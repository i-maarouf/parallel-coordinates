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6"/>
  <workbookPr/>
  <mc:AlternateContent xmlns:mc="http://schemas.openxmlformats.org/markup-compatibility/2006">
    <mc:Choice Requires="x15">
      <x15ac:absPath xmlns:x15ac="http://schemas.microsoft.com/office/spreadsheetml/2010/11/ac" url="C:\Users\BilalMaarouf\Desktop\Bilal\W\A23 - MGSI\A23P1 - TC Energy Tower\5-Parametric\"/>
    </mc:Choice>
  </mc:AlternateContent>
  <xr:revisionPtr revIDLastSave="0" documentId="8_{988EA74C-BFE5-44C9-8F3D-572C360C9288}" xr6:coauthVersionLast="47" xr6:coauthVersionMax="47" xr10:uidLastSave="{00000000-0000-0000-0000-000000000000}"/>
  <bookViews>
    <workbookView xWindow="1605" yWindow="0" windowWidth="23490" windowHeight="15585" firstSheet="1" xr2:uid="{00000000-000D-0000-FFFF-FFFF00000000}"/>
  </bookViews>
  <sheets>
    <sheet name="Final" sheetId="8" r:id="rId1"/>
    <sheet name="Raw" sheetId="1" r:id="rId2"/>
    <sheet name="Processed" sheetId="7" r:id="rId3"/>
    <sheet name="Measures" sheetId="4" r:id="rId4"/>
  </sheets>
  <externalReferences>
    <externalReference r:id="rId5"/>
  </externalReferences>
  <definedNames>
    <definedName name="_0___Floors">#REF!</definedName>
    <definedName name="_1___Wall_R_Value">#REF!</definedName>
    <definedName name="_2___Roof_R_Value">#REF!</definedName>
    <definedName name="_3___Window_U_Value">#REF!</definedName>
    <definedName name="_4___Window_SHGC">#REF!</definedName>
    <definedName name="_5___WWR">#REF!</definedName>
    <definedName name="_6___Corridor_Ventilation">#REF!</definedName>
    <definedName name="_7___ERV_Efficiency">#REF!</definedName>
    <definedName name="_xlnm._FilterDatabase" localSheetId="2" hidden="1">Processed!$B$17:$S$449</definedName>
    <definedName name="Assumptions">Measures!$B$2:$G$7</definedName>
    <definedName name="File_Name">#REF!</definedName>
    <definedName name="RAW_Data" localSheetId="2">[1]!Table1[#Data]</definedName>
    <definedName name="RAW_Data">[1]!Table1[#Data]</definedName>
    <definedName name="Slicer_Air_Leakage">#N/A</definedName>
    <definedName name="Slicer_Controls">#N/A</definedName>
    <definedName name="Slicer_En_Saving">#N/A</definedName>
    <definedName name="Slicer_ERV">#N/A</definedName>
    <definedName name="Slicer_GHG_Saving">#N/A</definedName>
    <definedName name="Slicer_Glass_R">#N/A</definedName>
    <definedName name="Slicer_HVAC_System">#N/A</definedName>
    <definedName name="Slicer_LPD">#N/A</definedName>
    <definedName name="Slicer_Spandrels_R">#N/A</definedName>
    <definedName name="TEDI">#REF!</definedName>
    <definedName name="TEDI_Data">#REF!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7" l="1"/>
  <c r="M449" i="7"/>
  <c r="L449" i="7"/>
  <c r="J449" i="7"/>
  <c r="I449" i="7"/>
  <c r="C449" i="7"/>
  <c r="B449" i="7"/>
  <c r="M448" i="7"/>
  <c r="L448" i="7"/>
  <c r="J448" i="7"/>
  <c r="I448" i="7"/>
  <c r="C448" i="7"/>
  <c r="B448" i="7"/>
  <c r="M447" i="7"/>
  <c r="L447" i="7"/>
  <c r="J447" i="7"/>
  <c r="I447" i="7"/>
  <c r="C447" i="7"/>
  <c r="B447" i="7"/>
  <c r="M446" i="7"/>
  <c r="L446" i="7"/>
  <c r="J446" i="7"/>
  <c r="I446" i="7"/>
  <c r="C446" i="7"/>
  <c r="B446" i="7"/>
  <c r="M445" i="7"/>
  <c r="L445" i="7"/>
  <c r="J445" i="7"/>
  <c r="I445" i="7"/>
  <c r="C445" i="7"/>
  <c r="B445" i="7"/>
  <c r="M444" i="7"/>
  <c r="L444" i="7"/>
  <c r="J444" i="7"/>
  <c r="I444" i="7"/>
  <c r="C444" i="7"/>
  <c r="B444" i="7"/>
  <c r="M443" i="7"/>
  <c r="L443" i="7"/>
  <c r="J443" i="7"/>
  <c r="I443" i="7"/>
  <c r="C443" i="7"/>
  <c r="B443" i="7"/>
  <c r="M442" i="7"/>
  <c r="L442" i="7"/>
  <c r="J442" i="7"/>
  <c r="I442" i="7"/>
  <c r="C442" i="7"/>
  <c r="B442" i="7"/>
  <c r="M441" i="7"/>
  <c r="L441" i="7"/>
  <c r="J441" i="7"/>
  <c r="I441" i="7"/>
  <c r="C441" i="7"/>
  <c r="B441" i="7"/>
  <c r="M440" i="7"/>
  <c r="L440" i="7"/>
  <c r="J440" i="7"/>
  <c r="I440" i="7"/>
  <c r="C440" i="7"/>
  <c r="B440" i="7"/>
  <c r="M439" i="7"/>
  <c r="L439" i="7"/>
  <c r="J439" i="7"/>
  <c r="I439" i="7"/>
  <c r="C439" i="7"/>
  <c r="B439" i="7"/>
  <c r="M438" i="7"/>
  <c r="L438" i="7"/>
  <c r="J438" i="7"/>
  <c r="I438" i="7"/>
  <c r="C438" i="7"/>
  <c r="B438" i="7"/>
  <c r="M437" i="7"/>
  <c r="L437" i="7"/>
  <c r="J437" i="7"/>
  <c r="I437" i="7"/>
  <c r="C437" i="7"/>
  <c r="B437" i="7"/>
  <c r="M436" i="7"/>
  <c r="L436" i="7"/>
  <c r="J436" i="7"/>
  <c r="I436" i="7"/>
  <c r="C436" i="7"/>
  <c r="B436" i="7"/>
  <c r="M435" i="7"/>
  <c r="L435" i="7"/>
  <c r="Q435" i="7" s="1"/>
  <c r="S435" i="7" s="1"/>
  <c r="J435" i="7"/>
  <c r="I435" i="7"/>
  <c r="C435" i="7"/>
  <c r="B435" i="7"/>
  <c r="M434" i="7"/>
  <c r="L434" i="7"/>
  <c r="J434" i="7"/>
  <c r="I434" i="7"/>
  <c r="C434" i="7"/>
  <c r="B434" i="7"/>
  <c r="M433" i="7"/>
  <c r="L433" i="7"/>
  <c r="J433" i="7"/>
  <c r="I433" i="7"/>
  <c r="C433" i="7"/>
  <c r="B433" i="7"/>
  <c r="M432" i="7"/>
  <c r="L432" i="7"/>
  <c r="J432" i="7"/>
  <c r="I432" i="7"/>
  <c r="C432" i="7"/>
  <c r="B432" i="7"/>
  <c r="M431" i="7"/>
  <c r="L431" i="7"/>
  <c r="J431" i="7"/>
  <c r="I431" i="7"/>
  <c r="C431" i="7"/>
  <c r="B431" i="7"/>
  <c r="M430" i="7"/>
  <c r="L430" i="7"/>
  <c r="J430" i="7"/>
  <c r="I430" i="7"/>
  <c r="C430" i="7"/>
  <c r="B430" i="7"/>
  <c r="M429" i="7"/>
  <c r="L429" i="7"/>
  <c r="J429" i="7"/>
  <c r="I429" i="7"/>
  <c r="C429" i="7"/>
  <c r="B429" i="7"/>
  <c r="M428" i="7"/>
  <c r="L428" i="7"/>
  <c r="J428" i="7"/>
  <c r="I428" i="7"/>
  <c r="C428" i="7"/>
  <c r="B428" i="7"/>
  <c r="M427" i="7"/>
  <c r="L427" i="7"/>
  <c r="J427" i="7"/>
  <c r="I427" i="7"/>
  <c r="C427" i="7"/>
  <c r="B427" i="7"/>
  <c r="M426" i="7"/>
  <c r="L426" i="7"/>
  <c r="J426" i="7"/>
  <c r="I426" i="7"/>
  <c r="C426" i="7"/>
  <c r="B426" i="7"/>
  <c r="M425" i="7"/>
  <c r="L425" i="7"/>
  <c r="J425" i="7"/>
  <c r="I425" i="7"/>
  <c r="C425" i="7"/>
  <c r="B425" i="7"/>
  <c r="M424" i="7"/>
  <c r="L424" i="7"/>
  <c r="J424" i="7"/>
  <c r="I424" i="7"/>
  <c r="C424" i="7"/>
  <c r="B424" i="7"/>
  <c r="M423" i="7"/>
  <c r="L423" i="7"/>
  <c r="J423" i="7"/>
  <c r="I423" i="7"/>
  <c r="C423" i="7"/>
  <c r="B423" i="7"/>
  <c r="M422" i="7"/>
  <c r="L422" i="7"/>
  <c r="J422" i="7"/>
  <c r="I422" i="7"/>
  <c r="C422" i="7"/>
  <c r="B422" i="7"/>
  <c r="M421" i="7"/>
  <c r="L421" i="7"/>
  <c r="J421" i="7"/>
  <c r="I421" i="7"/>
  <c r="C421" i="7"/>
  <c r="B421" i="7"/>
  <c r="M420" i="7"/>
  <c r="L420" i="7"/>
  <c r="J420" i="7"/>
  <c r="I420" i="7"/>
  <c r="C420" i="7"/>
  <c r="B420" i="7"/>
  <c r="M419" i="7"/>
  <c r="L419" i="7"/>
  <c r="J419" i="7"/>
  <c r="I419" i="7"/>
  <c r="C419" i="7"/>
  <c r="B419" i="7"/>
  <c r="M418" i="7"/>
  <c r="L418" i="7"/>
  <c r="J418" i="7"/>
  <c r="I418" i="7"/>
  <c r="C418" i="7"/>
  <c r="B418" i="7"/>
  <c r="M417" i="7"/>
  <c r="L417" i="7"/>
  <c r="J417" i="7"/>
  <c r="I417" i="7"/>
  <c r="C417" i="7"/>
  <c r="B417" i="7"/>
  <c r="M416" i="7"/>
  <c r="L416" i="7"/>
  <c r="J416" i="7"/>
  <c r="I416" i="7"/>
  <c r="C416" i="7"/>
  <c r="B416" i="7"/>
  <c r="M415" i="7"/>
  <c r="L415" i="7"/>
  <c r="Q415" i="7" s="1"/>
  <c r="S415" i="7" s="1"/>
  <c r="J415" i="7"/>
  <c r="I415" i="7"/>
  <c r="C415" i="7"/>
  <c r="B415" i="7"/>
  <c r="M414" i="7"/>
  <c r="L414" i="7"/>
  <c r="J414" i="7"/>
  <c r="I414" i="7"/>
  <c r="C414" i="7"/>
  <c r="B414" i="7"/>
  <c r="M413" i="7"/>
  <c r="L413" i="7"/>
  <c r="J413" i="7"/>
  <c r="I413" i="7"/>
  <c r="C413" i="7"/>
  <c r="B413" i="7"/>
  <c r="M412" i="7"/>
  <c r="L412" i="7"/>
  <c r="J412" i="7"/>
  <c r="I412" i="7"/>
  <c r="C412" i="7"/>
  <c r="B412" i="7"/>
  <c r="M411" i="7"/>
  <c r="L411" i="7"/>
  <c r="J411" i="7"/>
  <c r="I411" i="7"/>
  <c r="C411" i="7"/>
  <c r="B411" i="7"/>
  <c r="M410" i="7"/>
  <c r="L410" i="7"/>
  <c r="J410" i="7"/>
  <c r="I410" i="7"/>
  <c r="C410" i="7"/>
  <c r="B410" i="7"/>
  <c r="M409" i="7"/>
  <c r="L409" i="7"/>
  <c r="J409" i="7"/>
  <c r="I409" i="7"/>
  <c r="C409" i="7"/>
  <c r="B409" i="7"/>
  <c r="M408" i="7"/>
  <c r="L408" i="7"/>
  <c r="J408" i="7"/>
  <c r="I408" i="7"/>
  <c r="C408" i="7"/>
  <c r="B408" i="7"/>
  <c r="M407" i="7"/>
  <c r="L407" i="7"/>
  <c r="J407" i="7"/>
  <c r="I407" i="7"/>
  <c r="C407" i="7"/>
  <c r="B407" i="7"/>
  <c r="M406" i="7"/>
  <c r="L406" i="7"/>
  <c r="J406" i="7"/>
  <c r="I406" i="7"/>
  <c r="C406" i="7"/>
  <c r="B406" i="7"/>
  <c r="M405" i="7"/>
  <c r="L405" i="7"/>
  <c r="J405" i="7"/>
  <c r="I405" i="7"/>
  <c r="C405" i="7"/>
  <c r="B405" i="7"/>
  <c r="M404" i="7"/>
  <c r="L404" i="7"/>
  <c r="J404" i="7"/>
  <c r="I404" i="7"/>
  <c r="C404" i="7"/>
  <c r="B404" i="7"/>
  <c r="M403" i="7"/>
  <c r="L403" i="7"/>
  <c r="J403" i="7"/>
  <c r="I403" i="7"/>
  <c r="C403" i="7"/>
  <c r="B403" i="7"/>
  <c r="M402" i="7"/>
  <c r="L402" i="7"/>
  <c r="J402" i="7"/>
  <c r="I402" i="7"/>
  <c r="C402" i="7"/>
  <c r="B402" i="7"/>
  <c r="M401" i="7"/>
  <c r="L401" i="7"/>
  <c r="J401" i="7"/>
  <c r="I401" i="7"/>
  <c r="C401" i="7"/>
  <c r="B401" i="7"/>
  <c r="M400" i="7"/>
  <c r="L400" i="7"/>
  <c r="J400" i="7"/>
  <c r="I400" i="7"/>
  <c r="C400" i="7"/>
  <c r="B400" i="7"/>
  <c r="M399" i="7"/>
  <c r="L399" i="7"/>
  <c r="J399" i="7"/>
  <c r="I399" i="7"/>
  <c r="C399" i="7"/>
  <c r="B399" i="7"/>
  <c r="M398" i="7"/>
  <c r="L398" i="7"/>
  <c r="J398" i="7"/>
  <c r="I398" i="7"/>
  <c r="C398" i="7"/>
  <c r="B398" i="7"/>
  <c r="M397" i="7"/>
  <c r="L397" i="7"/>
  <c r="J397" i="7"/>
  <c r="I397" i="7"/>
  <c r="C397" i="7"/>
  <c r="B397" i="7"/>
  <c r="M396" i="7"/>
  <c r="L396" i="7"/>
  <c r="J396" i="7"/>
  <c r="I396" i="7"/>
  <c r="C396" i="7"/>
  <c r="B396" i="7"/>
  <c r="M395" i="7"/>
  <c r="L395" i="7"/>
  <c r="J395" i="7"/>
  <c r="I395" i="7"/>
  <c r="C395" i="7"/>
  <c r="B395" i="7"/>
  <c r="M394" i="7"/>
  <c r="L394" i="7"/>
  <c r="J394" i="7"/>
  <c r="I394" i="7"/>
  <c r="C394" i="7"/>
  <c r="B394" i="7"/>
  <c r="M393" i="7"/>
  <c r="L393" i="7"/>
  <c r="J393" i="7"/>
  <c r="I393" i="7"/>
  <c r="C393" i="7"/>
  <c r="B393" i="7"/>
  <c r="M392" i="7"/>
  <c r="L392" i="7"/>
  <c r="Q392" i="7" s="1"/>
  <c r="S392" i="7" s="1"/>
  <c r="J392" i="7"/>
  <c r="I392" i="7"/>
  <c r="C392" i="7"/>
  <c r="B392" i="7"/>
  <c r="M391" i="7"/>
  <c r="L391" i="7"/>
  <c r="J391" i="7"/>
  <c r="I391" i="7"/>
  <c r="C391" i="7"/>
  <c r="B391" i="7"/>
  <c r="M390" i="7"/>
  <c r="L390" i="7"/>
  <c r="J390" i="7"/>
  <c r="I390" i="7"/>
  <c r="C390" i="7"/>
  <c r="B390" i="7"/>
  <c r="M389" i="7"/>
  <c r="L389" i="7"/>
  <c r="J389" i="7"/>
  <c r="I389" i="7"/>
  <c r="C389" i="7"/>
  <c r="B389" i="7"/>
  <c r="M388" i="7"/>
  <c r="L388" i="7"/>
  <c r="J388" i="7"/>
  <c r="I388" i="7"/>
  <c r="C388" i="7"/>
  <c r="B388" i="7"/>
  <c r="M387" i="7"/>
  <c r="L387" i="7"/>
  <c r="J387" i="7"/>
  <c r="I387" i="7"/>
  <c r="C387" i="7"/>
  <c r="B387" i="7"/>
  <c r="M386" i="7"/>
  <c r="L386" i="7"/>
  <c r="J386" i="7"/>
  <c r="I386" i="7"/>
  <c r="C386" i="7"/>
  <c r="B386" i="7"/>
  <c r="M385" i="7"/>
  <c r="L385" i="7"/>
  <c r="J385" i="7"/>
  <c r="I385" i="7"/>
  <c r="C385" i="7"/>
  <c r="B385" i="7"/>
  <c r="M384" i="7"/>
  <c r="L384" i="7"/>
  <c r="J384" i="7"/>
  <c r="I384" i="7"/>
  <c r="C384" i="7"/>
  <c r="B384" i="7"/>
  <c r="M383" i="7"/>
  <c r="L383" i="7"/>
  <c r="J383" i="7"/>
  <c r="I383" i="7"/>
  <c r="C383" i="7"/>
  <c r="B383" i="7"/>
  <c r="M382" i="7"/>
  <c r="L382" i="7"/>
  <c r="Q382" i="7" s="1"/>
  <c r="S382" i="7" s="1"/>
  <c r="J382" i="7"/>
  <c r="I382" i="7"/>
  <c r="C382" i="7"/>
  <c r="B382" i="7"/>
  <c r="M381" i="7"/>
  <c r="L381" i="7"/>
  <c r="J381" i="7"/>
  <c r="I381" i="7"/>
  <c r="C381" i="7"/>
  <c r="B381" i="7"/>
  <c r="M380" i="7"/>
  <c r="L380" i="7"/>
  <c r="J380" i="7"/>
  <c r="I380" i="7"/>
  <c r="C380" i="7"/>
  <c r="B380" i="7"/>
  <c r="M379" i="7"/>
  <c r="L379" i="7"/>
  <c r="J379" i="7"/>
  <c r="I379" i="7"/>
  <c r="C379" i="7"/>
  <c r="B379" i="7"/>
  <c r="M378" i="7"/>
  <c r="L378" i="7"/>
  <c r="J378" i="7"/>
  <c r="I378" i="7"/>
  <c r="C378" i="7"/>
  <c r="B378" i="7"/>
  <c r="M377" i="7"/>
  <c r="L377" i="7"/>
  <c r="J377" i="7"/>
  <c r="I377" i="7"/>
  <c r="C377" i="7"/>
  <c r="B377" i="7"/>
  <c r="M376" i="7"/>
  <c r="L376" i="7"/>
  <c r="J376" i="7"/>
  <c r="I376" i="7"/>
  <c r="C376" i="7"/>
  <c r="B376" i="7"/>
  <c r="M375" i="7"/>
  <c r="L375" i="7"/>
  <c r="J375" i="7"/>
  <c r="I375" i="7"/>
  <c r="C375" i="7"/>
  <c r="B375" i="7"/>
  <c r="M374" i="7"/>
  <c r="L374" i="7"/>
  <c r="J374" i="7"/>
  <c r="I374" i="7"/>
  <c r="C374" i="7"/>
  <c r="B374" i="7"/>
  <c r="M373" i="7"/>
  <c r="L373" i="7"/>
  <c r="J373" i="7"/>
  <c r="I373" i="7"/>
  <c r="C373" i="7"/>
  <c r="B373" i="7"/>
  <c r="M372" i="7"/>
  <c r="L372" i="7"/>
  <c r="Q372" i="7" s="1"/>
  <c r="S372" i="7" s="1"/>
  <c r="J372" i="7"/>
  <c r="I372" i="7"/>
  <c r="C372" i="7"/>
  <c r="B372" i="7"/>
  <c r="M371" i="7"/>
  <c r="L371" i="7"/>
  <c r="J371" i="7"/>
  <c r="I371" i="7"/>
  <c r="C371" i="7"/>
  <c r="B371" i="7"/>
  <c r="M370" i="7"/>
  <c r="L370" i="7"/>
  <c r="J370" i="7"/>
  <c r="I370" i="7"/>
  <c r="C370" i="7"/>
  <c r="B370" i="7"/>
  <c r="M369" i="7"/>
  <c r="L369" i="7"/>
  <c r="J369" i="7"/>
  <c r="I369" i="7"/>
  <c r="C369" i="7"/>
  <c r="B369" i="7"/>
  <c r="M368" i="7"/>
  <c r="L368" i="7"/>
  <c r="J368" i="7"/>
  <c r="I368" i="7"/>
  <c r="C368" i="7"/>
  <c r="B368" i="7"/>
  <c r="M367" i="7"/>
  <c r="L367" i="7"/>
  <c r="J367" i="7"/>
  <c r="I367" i="7"/>
  <c r="C367" i="7"/>
  <c r="B367" i="7"/>
  <c r="M366" i="7"/>
  <c r="L366" i="7"/>
  <c r="J366" i="7"/>
  <c r="I366" i="7"/>
  <c r="C366" i="7"/>
  <c r="B366" i="7"/>
  <c r="M365" i="7"/>
  <c r="L365" i="7"/>
  <c r="J365" i="7"/>
  <c r="I365" i="7"/>
  <c r="C365" i="7"/>
  <c r="B365" i="7"/>
  <c r="M364" i="7"/>
  <c r="L364" i="7"/>
  <c r="J364" i="7"/>
  <c r="I364" i="7"/>
  <c r="C364" i="7"/>
  <c r="B364" i="7"/>
  <c r="M363" i="7"/>
  <c r="L363" i="7"/>
  <c r="J363" i="7"/>
  <c r="I363" i="7"/>
  <c r="C363" i="7"/>
  <c r="B363" i="7"/>
  <c r="M362" i="7"/>
  <c r="L362" i="7"/>
  <c r="J362" i="7"/>
  <c r="I362" i="7"/>
  <c r="C362" i="7"/>
  <c r="B362" i="7"/>
  <c r="M361" i="7"/>
  <c r="L361" i="7"/>
  <c r="J361" i="7"/>
  <c r="I361" i="7"/>
  <c r="C361" i="7"/>
  <c r="B361" i="7"/>
  <c r="M360" i="7"/>
  <c r="L360" i="7"/>
  <c r="J360" i="7"/>
  <c r="I360" i="7"/>
  <c r="C360" i="7"/>
  <c r="B360" i="7"/>
  <c r="M359" i="7"/>
  <c r="L359" i="7"/>
  <c r="J359" i="7"/>
  <c r="I359" i="7"/>
  <c r="C359" i="7"/>
  <c r="B359" i="7"/>
  <c r="M358" i="7"/>
  <c r="L358" i="7"/>
  <c r="J358" i="7"/>
  <c r="I358" i="7"/>
  <c r="C358" i="7"/>
  <c r="B358" i="7"/>
  <c r="M357" i="7"/>
  <c r="L357" i="7"/>
  <c r="J357" i="7"/>
  <c r="I357" i="7"/>
  <c r="C357" i="7"/>
  <c r="B357" i="7"/>
  <c r="M356" i="7"/>
  <c r="L356" i="7"/>
  <c r="J356" i="7"/>
  <c r="I356" i="7"/>
  <c r="C356" i="7"/>
  <c r="B356" i="7"/>
  <c r="M355" i="7"/>
  <c r="L355" i="7"/>
  <c r="Q355" i="7" s="1"/>
  <c r="S355" i="7" s="1"/>
  <c r="J355" i="7"/>
  <c r="I355" i="7"/>
  <c r="C355" i="7"/>
  <c r="B355" i="7"/>
  <c r="M354" i="7"/>
  <c r="L354" i="7"/>
  <c r="J354" i="7"/>
  <c r="I354" i="7"/>
  <c r="C354" i="7"/>
  <c r="B354" i="7"/>
  <c r="M353" i="7"/>
  <c r="L353" i="7"/>
  <c r="J353" i="7"/>
  <c r="I353" i="7"/>
  <c r="C353" i="7"/>
  <c r="B353" i="7"/>
  <c r="M352" i="7"/>
  <c r="L352" i="7"/>
  <c r="J352" i="7"/>
  <c r="I352" i="7"/>
  <c r="C352" i="7"/>
  <c r="B352" i="7"/>
  <c r="M351" i="7"/>
  <c r="L351" i="7"/>
  <c r="J351" i="7"/>
  <c r="I351" i="7"/>
  <c r="C351" i="7"/>
  <c r="B351" i="7"/>
  <c r="M350" i="7"/>
  <c r="L350" i="7"/>
  <c r="J350" i="7"/>
  <c r="I350" i="7"/>
  <c r="C350" i="7"/>
  <c r="B350" i="7"/>
  <c r="M349" i="7"/>
  <c r="L349" i="7"/>
  <c r="J349" i="7"/>
  <c r="I349" i="7"/>
  <c r="C349" i="7"/>
  <c r="B349" i="7"/>
  <c r="M348" i="7"/>
  <c r="L348" i="7"/>
  <c r="J348" i="7"/>
  <c r="I348" i="7"/>
  <c r="C348" i="7"/>
  <c r="B348" i="7"/>
  <c r="M347" i="7"/>
  <c r="L347" i="7"/>
  <c r="J347" i="7"/>
  <c r="I347" i="7"/>
  <c r="C347" i="7"/>
  <c r="B347" i="7"/>
  <c r="M346" i="7"/>
  <c r="L346" i="7"/>
  <c r="J346" i="7"/>
  <c r="I346" i="7"/>
  <c r="C346" i="7"/>
  <c r="B346" i="7"/>
  <c r="M345" i="7"/>
  <c r="L345" i="7"/>
  <c r="Q345" i="7" s="1"/>
  <c r="S345" i="7" s="1"/>
  <c r="J345" i="7"/>
  <c r="I345" i="7"/>
  <c r="C345" i="7"/>
  <c r="B345" i="7"/>
  <c r="M344" i="7"/>
  <c r="L344" i="7"/>
  <c r="J344" i="7"/>
  <c r="I344" i="7"/>
  <c r="C344" i="7"/>
  <c r="B344" i="7"/>
  <c r="M343" i="7"/>
  <c r="L343" i="7"/>
  <c r="J343" i="7"/>
  <c r="I343" i="7"/>
  <c r="C343" i="7"/>
  <c r="B343" i="7"/>
  <c r="M342" i="7"/>
  <c r="L342" i="7"/>
  <c r="J342" i="7"/>
  <c r="I342" i="7"/>
  <c r="C342" i="7"/>
  <c r="B342" i="7"/>
  <c r="M341" i="7"/>
  <c r="L341" i="7"/>
  <c r="J341" i="7"/>
  <c r="I341" i="7"/>
  <c r="C341" i="7"/>
  <c r="B341" i="7"/>
  <c r="M340" i="7"/>
  <c r="L340" i="7"/>
  <c r="J340" i="7"/>
  <c r="I340" i="7"/>
  <c r="C340" i="7"/>
  <c r="B340" i="7"/>
  <c r="M339" i="7"/>
  <c r="L339" i="7"/>
  <c r="J339" i="7"/>
  <c r="I339" i="7"/>
  <c r="C339" i="7"/>
  <c r="B339" i="7"/>
  <c r="M338" i="7"/>
  <c r="L338" i="7"/>
  <c r="J338" i="7"/>
  <c r="I338" i="7"/>
  <c r="C338" i="7"/>
  <c r="B338" i="7"/>
  <c r="M337" i="7"/>
  <c r="L337" i="7"/>
  <c r="J337" i="7"/>
  <c r="I337" i="7"/>
  <c r="C337" i="7"/>
  <c r="B337" i="7"/>
  <c r="M336" i="7"/>
  <c r="L336" i="7"/>
  <c r="J336" i="7"/>
  <c r="I336" i="7"/>
  <c r="C336" i="7"/>
  <c r="B336" i="7"/>
  <c r="M335" i="7"/>
  <c r="L335" i="7"/>
  <c r="Q335" i="7" s="1"/>
  <c r="S335" i="7" s="1"/>
  <c r="J335" i="7"/>
  <c r="I335" i="7"/>
  <c r="C335" i="7"/>
  <c r="B335" i="7"/>
  <c r="M334" i="7"/>
  <c r="L334" i="7"/>
  <c r="J334" i="7"/>
  <c r="I334" i="7"/>
  <c r="C334" i="7"/>
  <c r="B334" i="7"/>
  <c r="M333" i="7"/>
  <c r="L333" i="7"/>
  <c r="J333" i="7"/>
  <c r="I333" i="7"/>
  <c r="C333" i="7"/>
  <c r="B333" i="7"/>
  <c r="M332" i="7"/>
  <c r="L332" i="7"/>
  <c r="J332" i="7"/>
  <c r="I332" i="7"/>
  <c r="C332" i="7"/>
  <c r="B332" i="7"/>
  <c r="M331" i="7"/>
  <c r="L331" i="7"/>
  <c r="J331" i="7"/>
  <c r="I331" i="7"/>
  <c r="C331" i="7"/>
  <c r="B331" i="7"/>
  <c r="M330" i="7"/>
  <c r="L330" i="7"/>
  <c r="J330" i="7"/>
  <c r="I330" i="7"/>
  <c r="C330" i="7"/>
  <c r="B330" i="7"/>
  <c r="M329" i="7"/>
  <c r="L329" i="7"/>
  <c r="Q329" i="7" s="1"/>
  <c r="S329" i="7" s="1"/>
  <c r="J329" i="7"/>
  <c r="I329" i="7"/>
  <c r="C329" i="7"/>
  <c r="B329" i="7"/>
  <c r="M328" i="7"/>
  <c r="L328" i="7"/>
  <c r="J328" i="7"/>
  <c r="I328" i="7"/>
  <c r="C328" i="7"/>
  <c r="B328" i="7"/>
  <c r="M327" i="7"/>
  <c r="L327" i="7"/>
  <c r="J327" i="7"/>
  <c r="I327" i="7"/>
  <c r="C327" i="7"/>
  <c r="B327" i="7"/>
  <c r="M326" i="7"/>
  <c r="L326" i="7"/>
  <c r="J326" i="7"/>
  <c r="I326" i="7"/>
  <c r="C326" i="7"/>
  <c r="B326" i="7"/>
  <c r="M325" i="7"/>
  <c r="L325" i="7"/>
  <c r="J325" i="7"/>
  <c r="I325" i="7"/>
  <c r="C325" i="7"/>
  <c r="B325" i="7"/>
  <c r="M324" i="7"/>
  <c r="L324" i="7"/>
  <c r="J324" i="7"/>
  <c r="I324" i="7"/>
  <c r="C324" i="7"/>
  <c r="B324" i="7"/>
  <c r="M323" i="7"/>
  <c r="L323" i="7"/>
  <c r="J323" i="7"/>
  <c r="I323" i="7"/>
  <c r="C323" i="7"/>
  <c r="B323" i="7"/>
  <c r="M322" i="7"/>
  <c r="L322" i="7"/>
  <c r="J322" i="7"/>
  <c r="I322" i="7"/>
  <c r="C322" i="7"/>
  <c r="B322" i="7"/>
  <c r="M321" i="7"/>
  <c r="L321" i="7"/>
  <c r="J321" i="7"/>
  <c r="I321" i="7"/>
  <c r="C321" i="7"/>
  <c r="B321" i="7"/>
  <c r="M320" i="7"/>
  <c r="L320" i="7"/>
  <c r="J320" i="7"/>
  <c r="I320" i="7"/>
  <c r="C320" i="7"/>
  <c r="B320" i="7"/>
  <c r="M319" i="7"/>
  <c r="L319" i="7"/>
  <c r="J319" i="7"/>
  <c r="I319" i="7"/>
  <c r="C319" i="7"/>
  <c r="B319" i="7"/>
  <c r="M318" i="7"/>
  <c r="L318" i="7"/>
  <c r="J318" i="7"/>
  <c r="I318" i="7"/>
  <c r="C318" i="7"/>
  <c r="B318" i="7"/>
  <c r="M317" i="7"/>
  <c r="L317" i="7"/>
  <c r="J317" i="7"/>
  <c r="I317" i="7"/>
  <c r="C317" i="7"/>
  <c r="B317" i="7"/>
  <c r="M316" i="7"/>
  <c r="L316" i="7"/>
  <c r="J316" i="7"/>
  <c r="I316" i="7"/>
  <c r="C316" i="7"/>
  <c r="B316" i="7"/>
  <c r="M315" i="7"/>
  <c r="L315" i="7"/>
  <c r="J315" i="7"/>
  <c r="I315" i="7"/>
  <c r="C315" i="7"/>
  <c r="B315" i="7"/>
  <c r="M314" i="7"/>
  <c r="L314" i="7"/>
  <c r="J314" i="7"/>
  <c r="I314" i="7"/>
  <c r="C314" i="7"/>
  <c r="B314" i="7"/>
  <c r="M313" i="7"/>
  <c r="L313" i="7"/>
  <c r="J313" i="7"/>
  <c r="I313" i="7"/>
  <c r="C313" i="7"/>
  <c r="B313" i="7"/>
  <c r="M312" i="7"/>
  <c r="L312" i="7"/>
  <c r="J312" i="7"/>
  <c r="I312" i="7"/>
  <c r="C312" i="7"/>
  <c r="B312" i="7"/>
  <c r="M311" i="7"/>
  <c r="L311" i="7"/>
  <c r="J311" i="7"/>
  <c r="I311" i="7"/>
  <c r="C311" i="7"/>
  <c r="B311" i="7"/>
  <c r="M310" i="7"/>
  <c r="L310" i="7"/>
  <c r="J310" i="7"/>
  <c r="I310" i="7"/>
  <c r="C310" i="7"/>
  <c r="B310" i="7"/>
  <c r="M309" i="7"/>
  <c r="L309" i="7"/>
  <c r="J309" i="7"/>
  <c r="I309" i="7"/>
  <c r="C309" i="7"/>
  <c r="B309" i="7"/>
  <c r="M308" i="7"/>
  <c r="L308" i="7"/>
  <c r="J308" i="7"/>
  <c r="I308" i="7"/>
  <c r="C308" i="7"/>
  <c r="B308" i="7"/>
  <c r="M307" i="7"/>
  <c r="L307" i="7"/>
  <c r="J307" i="7"/>
  <c r="I307" i="7"/>
  <c r="C307" i="7"/>
  <c r="B307" i="7"/>
  <c r="M306" i="7"/>
  <c r="L306" i="7"/>
  <c r="J306" i="7"/>
  <c r="I306" i="7"/>
  <c r="C306" i="7"/>
  <c r="B306" i="7"/>
  <c r="M305" i="7"/>
  <c r="L305" i="7"/>
  <c r="J305" i="7"/>
  <c r="I305" i="7"/>
  <c r="C305" i="7"/>
  <c r="B305" i="7"/>
  <c r="M304" i="7"/>
  <c r="L304" i="7"/>
  <c r="J304" i="7"/>
  <c r="I304" i="7"/>
  <c r="C304" i="7"/>
  <c r="B304" i="7"/>
  <c r="M303" i="7"/>
  <c r="L303" i="7"/>
  <c r="J303" i="7"/>
  <c r="I303" i="7"/>
  <c r="C303" i="7"/>
  <c r="B303" i="7"/>
  <c r="M302" i="7"/>
  <c r="L302" i="7"/>
  <c r="J302" i="7"/>
  <c r="I302" i="7"/>
  <c r="C302" i="7"/>
  <c r="B302" i="7"/>
  <c r="M301" i="7"/>
  <c r="L301" i="7"/>
  <c r="J301" i="7"/>
  <c r="I301" i="7"/>
  <c r="C301" i="7"/>
  <c r="B301" i="7"/>
  <c r="M300" i="7"/>
  <c r="L300" i="7"/>
  <c r="J300" i="7"/>
  <c r="I300" i="7"/>
  <c r="C300" i="7"/>
  <c r="B300" i="7"/>
  <c r="M299" i="7"/>
  <c r="L299" i="7"/>
  <c r="J299" i="7"/>
  <c r="I299" i="7"/>
  <c r="C299" i="7"/>
  <c r="B299" i="7"/>
  <c r="M298" i="7"/>
  <c r="L298" i="7"/>
  <c r="J298" i="7"/>
  <c r="I298" i="7"/>
  <c r="C298" i="7"/>
  <c r="B298" i="7"/>
  <c r="M297" i="7"/>
  <c r="L297" i="7"/>
  <c r="J297" i="7"/>
  <c r="I297" i="7"/>
  <c r="C297" i="7"/>
  <c r="B297" i="7"/>
  <c r="M296" i="7"/>
  <c r="L296" i="7"/>
  <c r="J296" i="7"/>
  <c r="I296" i="7"/>
  <c r="C296" i="7"/>
  <c r="B296" i="7"/>
  <c r="M295" i="7"/>
  <c r="L295" i="7"/>
  <c r="J295" i="7"/>
  <c r="I295" i="7"/>
  <c r="C295" i="7"/>
  <c r="B295" i="7"/>
  <c r="M294" i="7"/>
  <c r="L294" i="7"/>
  <c r="J294" i="7"/>
  <c r="I294" i="7"/>
  <c r="C294" i="7"/>
  <c r="B294" i="7"/>
  <c r="M293" i="7"/>
  <c r="L293" i="7"/>
  <c r="J293" i="7"/>
  <c r="I293" i="7"/>
  <c r="C293" i="7"/>
  <c r="B293" i="7"/>
  <c r="M292" i="7"/>
  <c r="L292" i="7"/>
  <c r="J292" i="7"/>
  <c r="I292" i="7"/>
  <c r="C292" i="7"/>
  <c r="B292" i="7"/>
  <c r="M291" i="7"/>
  <c r="L291" i="7"/>
  <c r="J291" i="7"/>
  <c r="I291" i="7"/>
  <c r="C291" i="7"/>
  <c r="B291" i="7"/>
  <c r="M290" i="7"/>
  <c r="L290" i="7"/>
  <c r="J290" i="7"/>
  <c r="I290" i="7"/>
  <c r="C290" i="7"/>
  <c r="B290" i="7"/>
  <c r="M289" i="7"/>
  <c r="L289" i="7"/>
  <c r="Q289" i="7" s="1"/>
  <c r="S289" i="7" s="1"/>
  <c r="J289" i="7"/>
  <c r="I289" i="7"/>
  <c r="C289" i="7"/>
  <c r="B289" i="7"/>
  <c r="M288" i="7"/>
  <c r="L288" i="7"/>
  <c r="J288" i="7"/>
  <c r="I288" i="7"/>
  <c r="C288" i="7"/>
  <c r="B288" i="7"/>
  <c r="M287" i="7"/>
  <c r="L287" i="7"/>
  <c r="J287" i="7"/>
  <c r="I287" i="7"/>
  <c r="C287" i="7"/>
  <c r="B287" i="7"/>
  <c r="M286" i="7"/>
  <c r="L286" i="7"/>
  <c r="J286" i="7"/>
  <c r="I286" i="7"/>
  <c r="C286" i="7"/>
  <c r="B286" i="7"/>
  <c r="M285" i="7"/>
  <c r="L285" i="7"/>
  <c r="J285" i="7"/>
  <c r="I285" i="7"/>
  <c r="C285" i="7"/>
  <c r="B285" i="7"/>
  <c r="M284" i="7"/>
  <c r="L284" i="7"/>
  <c r="J284" i="7"/>
  <c r="I284" i="7"/>
  <c r="C284" i="7"/>
  <c r="B284" i="7"/>
  <c r="M283" i="7"/>
  <c r="L283" i="7"/>
  <c r="J283" i="7"/>
  <c r="I283" i="7"/>
  <c r="C283" i="7"/>
  <c r="B283" i="7"/>
  <c r="M282" i="7"/>
  <c r="L282" i="7"/>
  <c r="J282" i="7"/>
  <c r="I282" i="7"/>
  <c r="C282" i="7"/>
  <c r="B282" i="7"/>
  <c r="M281" i="7"/>
  <c r="L281" i="7"/>
  <c r="J281" i="7"/>
  <c r="I281" i="7"/>
  <c r="C281" i="7"/>
  <c r="B281" i="7"/>
  <c r="M280" i="7"/>
  <c r="L280" i="7"/>
  <c r="J280" i="7"/>
  <c r="I280" i="7"/>
  <c r="C280" i="7"/>
  <c r="B280" i="7"/>
  <c r="M279" i="7"/>
  <c r="L279" i="7"/>
  <c r="J279" i="7"/>
  <c r="I279" i="7"/>
  <c r="C279" i="7"/>
  <c r="B279" i="7"/>
  <c r="M278" i="7"/>
  <c r="L278" i="7"/>
  <c r="J278" i="7"/>
  <c r="I278" i="7"/>
  <c r="C278" i="7"/>
  <c r="B278" i="7"/>
  <c r="M277" i="7"/>
  <c r="L277" i="7"/>
  <c r="J277" i="7"/>
  <c r="I277" i="7"/>
  <c r="C277" i="7"/>
  <c r="B277" i="7"/>
  <c r="M276" i="7"/>
  <c r="L276" i="7"/>
  <c r="J276" i="7"/>
  <c r="I276" i="7"/>
  <c r="C276" i="7"/>
  <c r="B276" i="7"/>
  <c r="M275" i="7"/>
  <c r="L275" i="7"/>
  <c r="J275" i="7"/>
  <c r="I275" i="7"/>
  <c r="C275" i="7"/>
  <c r="B275" i="7"/>
  <c r="M274" i="7"/>
  <c r="L274" i="7"/>
  <c r="J274" i="7"/>
  <c r="I274" i="7"/>
  <c r="C274" i="7"/>
  <c r="B274" i="7"/>
  <c r="M273" i="7"/>
  <c r="L273" i="7"/>
  <c r="Q273" i="7" s="1"/>
  <c r="S273" i="7" s="1"/>
  <c r="J273" i="7"/>
  <c r="I273" i="7"/>
  <c r="C273" i="7"/>
  <c r="B273" i="7"/>
  <c r="M272" i="7"/>
  <c r="L272" i="7"/>
  <c r="J272" i="7"/>
  <c r="I272" i="7"/>
  <c r="C272" i="7"/>
  <c r="B272" i="7"/>
  <c r="M271" i="7"/>
  <c r="L271" i="7"/>
  <c r="J271" i="7"/>
  <c r="I271" i="7"/>
  <c r="C271" i="7"/>
  <c r="B271" i="7"/>
  <c r="M270" i="7"/>
  <c r="L270" i="7"/>
  <c r="J270" i="7"/>
  <c r="I270" i="7"/>
  <c r="C270" i="7"/>
  <c r="B270" i="7"/>
  <c r="M269" i="7"/>
  <c r="L269" i="7"/>
  <c r="J269" i="7"/>
  <c r="I269" i="7"/>
  <c r="C269" i="7"/>
  <c r="B269" i="7"/>
  <c r="M268" i="7"/>
  <c r="L268" i="7"/>
  <c r="J268" i="7"/>
  <c r="I268" i="7"/>
  <c r="C268" i="7"/>
  <c r="B268" i="7"/>
  <c r="M267" i="7"/>
  <c r="L267" i="7"/>
  <c r="J267" i="7"/>
  <c r="I267" i="7"/>
  <c r="C267" i="7"/>
  <c r="B267" i="7"/>
  <c r="M266" i="7"/>
  <c r="L266" i="7"/>
  <c r="J266" i="7"/>
  <c r="I266" i="7"/>
  <c r="C266" i="7"/>
  <c r="B266" i="7"/>
  <c r="M265" i="7"/>
  <c r="L265" i="7"/>
  <c r="J265" i="7"/>
  <c r="I265" i="7"/>
  <c r="C265" i="7"/>
  <c r="B265" i="7"/>
  <c r="M264" i="7"/>
  <c r="L264" i="7"/>
  <c r="J264" i="7"/>
  <c r="I264" i="7"/>
  <c r="C264" i="7"/>
  <c r="B264" i="7"/>
  <c r="M263" i="7"/>
  <c r="L263" i="7"/>
  <c r="J263" i="7"/>
  <c r="I263" i="7"/>
  <c r="C263" i="7"/>
  <c r="B263" i="7"/>
  <c r="M262" i="7"/>
  <c r="L262" i="7"/>
  <c r="J262" i="7"/>
  <c r="I262" i="7"/>
  <c r="C262" i="7"/>
  <c r="B262" i="7"/>
  <c r="M261" i="7"/>
  <c r="L261" i="7"/>
  <c r="J261" i="7"/>
  <c r="I261" i="7"/>
  <c r="C261" i="7"/>
  <c r="B261" i="7"/>
  <c r="M260" i="7"/>
  <c r="L260" i="7"/>
  <c r="J260" i="7"/>
  <c r="I260" i="7"/>
  <c r="C260" i="7"/>
  <c r="B260" i="7"/>
  <c r="M259" i="7"/>
  <c r="L259" i="7"/>
  <c r="J259" i="7"/>
  <c r="I259" i="7"/>
  <c r="C259" i="7"/>
  <c r="B259" i="7"/>
  <c r="M258" i="7"/>
  <c r="L258" i="7"/>
  <c r="J258" i="7"/>
  <c r="I258" i="7"/>
  <c r="C258" i="7"/>
  <c r="B258" i="7"/>
  <c r="M257" i="7"/>
  <c r="L257" i="7"/>
  <c r="J257" i="7"/>
  <c r="I257" i="7"/>
  <c r="C257" i="7"/>
  <c r="B257" i="7"/>
  <c r="M256" i="7"/>
  <c r="L256" i="7"/>
  <c r="J256" i="7"/>
  <c r="I256" i="7"/>
  <c r="C256" i="7"/>
  <c r="B256" i="7"/>
  <c r="M255" i="7"/>
  <c r="L255" i="7"/>
  <c r="J255" i="7"/>
  <c r="I255" i="7"/>
  <c r="C255" i="7"/>
  <c r="B255" i="7"/>
  <c r="M254" i="7"/>
  <c r="L254" i="7"/>
  <c r="J254" i="7"/>
  <c r="I254" i="7"/>
  <c r="C254" i="7"/>
  <c r="B254" i="7"/>
  <c r="M253" i="7"/>
  <c r="L253" i="7"/>
  <c r="J253" i="7"/>
  <c r="I253" i="7"/>
  <c r="C253" i="7"/>
  <c r="B253" i="7"/>
  <c r="M252" i="7"/>
  <c r="L252" i="7"/>
  <c r="J252" i="7"/>
  <c r="I252" i="7"/>
  <c r="C252" i="7"/>
  <c r="B252" i="7"/>
  <c r="M251" i="7"/>
  <c r="L251" i="7"/>
  <c r="J251" i="7"/>
  <c r="I251" i="7"/>
  <c r="C251" i="7"/>
  <c r="B251" i="7"/>
  <c r="M250" i="7"/>
  <c r="L250" i="7"/>
  <c r="J250" i="7"/>
  <c r="I250" i="7"/>
  <c r="C250" i="7"/>
  <c r="B250" i="7"/>
  <c r="M249" i="7"/>
  <c r="L249" i="7"/>
  <c r="J249" i="7"/>
  <c r="I249" i="7"/>
  <c r="C249" i="7"/>
  <c r="B249" i="7"/>
  <c r="M248" i="7"/>
  <c r="L248" i="7"/>
  <c r="J248" i="7"/>
  <c r="I248" i="7"/>
  <c r="C248" i="7"/>
  <c r="B248" i="7"/>
  <c r="M247" i="7"/>
  <c r="L247" i="7"/>
  <c r="J247" i="7"/>
  <c r="I247" i="7"/>
  <c r="C247" i="7"/>
  <c r="B247" i="7"/>
  <c r="M246" i="7"/>
  <c r="L246" i="7"/>
  <c r="J246" i="7"/>
  <c r="I246" i="7"/>
  <c r="C246" i="7"/>
  <c r="B246" i="7"/>
  <c r="M245" i="7"/>
  <c r="L245" i="7"/>
  <c r="J245" i="7"/>
  <c r="I245" i="7"/>
  <c r="C245" i="7"/>
  <c r="B245" i="7"/>
  <c r="M244" i="7"/>
  <c r="L244" i="7"/>
  <c r="J244" i="7"/>
  <c r="I244" i="7"/>
  <c r="C244" i="7"/>
  <c r="B244" i="7"/>
  <c r="M243" i="7"/>
  <c r="L243" i="7"/>
  <c r="J243" i="7"/>
  <c r="I243" i="7"/>
  <c r="C243" i="7"/>
  <c r="B243" i="7"/>
  <c r="M242" i="7"/>
  <c r="L242" i="7"/>
  <c r="J242" i="7"/>
  <c r="I242" i="7"/>
  <c r="C242" i="7"/>
  <c r="B242" i="7"/>
  <c r="M241" i="7"/>
  <c r="L241" i="7"/>
  <c r="J241" i="7"/>
  <c r="I241" i="7"/>
  <c r="C241" i="7"/>
  <c r="B241" i="7"/>
  <c r="M240" i="7"/>
  <c r="L240" i="7"/>
  <c r="J240" i="7"/>
  <c r="I240" i="7"/>
  <c r="C240" i="7"/>
  <c r="B240" i="7"/>
  <c r="M239" i="7"/>
  <c r="L239" i="7"/>
  <c r="J239" i="7"/>
  <c r="I239" i="7"/>
  <c r="C239" i="7"/>
  <c r="B239" i="7"/>
  <c r="M238" i="7"/>
  <c r="L238" i="7"/>
  <c r="J238" i="7"/>
  <c r="I238" i="7"/>
  <c r="C238" i="7"/>
  <c r="B238" i="7"/>
  <c r="M237" i="7"/>
  <c r="L237" i="7"/>
  <c r="J237" i="7"/>
  <c r="I237" i="7"/>
  <c r="C237" i="7"/>
  <c r="B237" i="7"/>
  <c r="M236" i="7"/>
  <c r="L236" i="7"/>
  <c r="J236" i="7"/>
  <c r="I236" i="7"/>
  <c r="C236" i="7"/>
  <c r="B236" i="7"/>
  <c r="M235" i="7"/>
  <c r="L235" i="7"/>
  <c r="J235" i="7"/>
  <c r="I235" i="7"/>
  <c r="C235" i="7"/>
  <c r="B235" i="7"/>
  <c r="C234" i="7"/>
  <c r="I234" i="7"/>
  <c r="J234" i="7"/>
  <c r="B234" i="7"/>
  <c r="M234" i="7"/>
  <c r="L234" i="7"/>
  <c r="P18" i="7"/>
  <c r="P234" i="7" s="1"/>
  <c r="M233" i="7"/>
  <c r="L50" i="7"/>
  <c r="L20" i="7"/>
  <c r="L19" i="7"/>
  <c r="Q310" i="7" l="1"/>
  <c r="S310" i="7" s="1"/>
  <c r="Q330" i="7"/>
  <c r="S330" i="7" s="1"/>
  <c r="N380" i="7"/>
  <c r="O380" i="7" s="1"/>
  <c r="Q238" i="7"/>
  <c r="S238" i="7" s="1"/>
  <c r="Q268" i="7"/>
  <c r="S268" i="7" s="1"/>
  <c r="Q278" i="7"/>
  <c r="S278" i="7" s="1"/>
  <c r="Q242" i="7"/>
  <c r="S242" i="7" s="1"/>
  <c r="Q252" i="7"/>
  <c r="S252" i="7" s="1"/>
  <c r="Q272" i="7"/>
  <c r="S272" i="7" s="1"/>
  <c r="Q292" i="7"/>
  <c r="S292" i="7" s="1"/>
  <c r="Q302" i="7"/>
  <c r="S302" i="7" s="1"/>
  <c r="Q322" i="7"/>
  <c r="S322" i="7" s="1"/>
  <c r="Q342" i="7"/>
  <c r="S342" i="7" s="1"/>
  <c r="Q352" i="7"/>
  <c r="S352" i="7" s="1"/>
  <c r="Q304" i="7"/>
  <c r="S304" i="7" s="1"/>
  <c r="Q334" i="7"/>
  <c r="S334" i="7" s="1"/>
  <c r="Q344" i="7"/>
  <c r="S344" i="7" s="1"/>
  <c r="Q354" i="7"/>
  <c r="S354" i="7" s="1"/>
  <c r="Q364" i="7"/>
  <c r="S364" i="7" s="1"/>
  <c r="Q374" i="7"/>
  <c r="S374" i="7" s="1"/>
  <c r="Q414" i="7"/>
  <c r="S414" i="7" s="1"/>
  <c r="N326" i="7"/>
  <c r="O326" i="7" s="1"/>
  <c r="R326" i="7" s="1"/>
  <c r="Q346" i="7"/>
  <c r="S346" i="7" s="1"/>
  <c r="Q356" i="7"/>
  <c r="S356" i="7" s="1"/>
  <c r="Q366" i="7"/>
  <c r="S366" i="7" s="1"/>
  <c r="Q416" i="7"/>
  <c r="S416" i="7" s="1"/>
  <c r="Q426" i="7"/>
  <c r="S426" i="7" s="1"/>
  <c r="Q436" i="7"/>
  <c r="S436" i="7" s="1"/>
  <c r="N446" i="7"/>
  <c r="O446" i="7" s="1"/>
  <c r="R446" i="7" s="1"/>
  <c r="Q261" i="7"/>
  <c r="S261" i="7" s="1"/>
  <c r="Q271" i="7"/>
  <c r="S271" i="7" s="1"/>
  <c r="Q301" i="7"/>
  <c r="S301" i="7" s="1"/>
  <c r="Q321" i="7"/>
  <c r="S321" i="7" s="1"/>
  <c r="Q331" i="7"/>
  <c r="S331" i="7" s="1"/>
  <c r="Q361" i="7"/>
  <c r="S361" i="7" s="1"/>
  <c r="Q401" i="7"/>
  <c r="S401" i="7" s="1"/>
  <c r="N307" i="7"/>
  <c r="O307" i="7" s="1"/>
  <c r="R307" i="7" s="1"/>
  <c r="N327" i="7"/>
  <c r="O327" i="7" s="1"/>
  <c r="R327" i="7" s="1"/>
  <c r="N367" i="7"/>
  <c r="O367" i="7" s="1"/>
  <c r="R367" i="7" s="1"/>
  <c r="N348" i="7"/>
  <c r="O348" i="7" s="1"/>
  <c r="R348" i="7" s="1"/>
  <c r="N358" i="7"/>
  <c r="O358" i="7" s="1"/>
  <c r="R358" i="7" s="1"/>
  <c r="N293" i="7"/>
  <c r="O293" i="7" s="1"/>
  <c r="N379" i="7"/>
  <c r="O379" i="7" s="1"/>
  <c r="R379" i="7" s="1"/>
  <c r="N376" i="7"/>
  <c r="Q234" i="7"/>
  <c r="S234" i="7" s="1"/>
  <c r="Q240" i="7"/>
  <c r="S240" i="7" s="1"/>
  <c r="Q270" i="7"/>
  <c r="S270" i="7" s="1"/>
  <c r="N313" i="7"/>
  <c r="O313" i="7" s="1"/>
  <c r="R313" i="7" s="1"/>
  <c r="N323" i="7"/>
  <c r="O323" i="7" s="1"/>
  <c r="Q393" i="7"/>
  <c r="S393" i="7" s="1"/>
  <c r="N403" i="7"/>
  <c r="O403" i="7" s="1"/>
  <c r="R403" i="7" s="1"/>
  <c r="N254" i="7"/>
  <c r="O254" i="7" s="1"/>
  <c r="R254" i="7" s="1"/>
  <c r="N274" i="7"/>
  <c r="O274" i="7" s="1"/>
  <c r="R274" i="7" s="1"/>
  <c r="Q284" i="7"/>
  <c r="S284" i="7" s="1"/>
  <c r="Q297" i="7"/>
  <c r="S297" i="7" s="1"/>
  <c r="Q387" i="7"/>
  <c r="S387" i="7" s="1"/>
  <c r="Q397" i="7"/>
  <c r="S397" i="7" s="1"/>
  <c r="Q407" i="7"/>
  <c r="S407" i="7" s="1"/>
  <c r="Q437" i="7"/>
  <c r="S437" i="7" s="1"/>
  <c r="Q235" i="7"/>
  <c r="S235" i="7" s="1"/>
  <c r="Q245" i="7"/>
  <c r="S245" i="7" s="1"/>
  <c r="Q255" i="7"/>
  <c r="S255" i="7" s="1"/>
  <c r="Q285" i="7"/>
  <c r="S285" i="7" s="1"/>
  <c r="Q378" i="7"/>
  <c r="S378" i="7" s="1"/>
  <c r="Q408" i="7"/>
  <c r="S408" i="7" s="1"/>
  <c r="Q418" i="7"/>
  <c r="S418" i="7" s="1"/>
  <c r="N295" i="7"/>
  <c r="N405" i="7"/>
  <c r="O405" i="7" s="1"/>
  <c r="N292" i="7"/>
  <c r="O292" i="7" s="1"/>
  <c r="R292" i="7" s="1"/>
  <c r="Q419" i="7"/>
  <c r="S419" i="7" s="1"/>
  <c r="Q439" i="7"/>
  <c r="S439" i="7" s="1"/>
  <c r="N413" i="7"/>
  <c r="O413" i="7" s="1"/>
  <c r="R413" i="7" s="1"/>
  <c r="Q423" i="7"/>
  <c r="S423" i="7" s="1"/>
  <c r="N281" i="7"/>
  <c r="O281" i="7" s="1"/>
  <c r="R281" i="7" s="1"/>
  <c r="N291" i="7"/>
  <c r="O291" i="7" s="1"/>
  <c r="R291" i="7" s="1"/>
  <c r="Q294" i="7"/>
  <c r="S294" i="7" s="1"/>
  <c r="Q347" i="7"/>
  <c r="S347" i="7" s="1"/>
  <c r="Q357" i="7"/>
  <c r="S357" i="7" s="1"/>
  <c r="Q367" i="7"/>
  <c r="S367" i="7" s="1"/>
  <c r="Q430" i="7"/>
  <c r="S430" i="7" s="1"/>
  <c r="N331" i="7"/>
  <c r="O331" i="7" s="1"/>
  <c r="R331" i="7" s="1"/>
  <c r="N424" i="7"/>
  <c r="O424" i="7" s="1"/>
  <c r="R424" i="7" s="1"/>
  <c r="Q315" i="7"/>
  <c r="S315" i="7" s="1"/>
  <c r="Q328" i="7"/>
  <c r="S328" i="7" s="1"/>
  <c r="Q368" i="7"/>
  <c r="S368" i="7" s="1"/>
  <c r="Q411" i="7"/>
  <c r="S411" i="7" s="1"/>
  <c r="Q421" i="7"/>
  <c r="S421" i="7" s="1"/>
  <c r="Q441" i="7"/>
  <c r="S441" i="7" s="1"/>
  <c r="N264" i="7"/>
  <c r="O264" i="7" s="1"/>
  <c r="R264" i="7" s="1"/>
  <c r="Q388" i="7"/>
  <c r="S388" i="7" s="1"/>
  <c r="Q236" i="7"/>
  <c r="S236" i="7" s="1"/>
  <c r="Q246" i="7"/>
  <c r="S246" i="7" s="1"/>
  <c r="Q256" i="7"/>
  <c r="S256" i="7" s="1"/>
  <c r="Q266" i="7"/>
  <c r="S266" i="7" s="1"/>
  <c r="Q276" i="7"/>
  <c r="S276" i="7" s="1"/>
  <c r="Q286" i="7"/>
  <c r="S286" i="7" s="1"/>
  <c r="N265" i="7"/>
  <c r="O265" i="7" s="1"/>
  <c r="R265" i="7" s="1"/>
  <c r="Q332" i="7"/>
  <c r="S332" i="7" s="1"/>
  <c r="N253" i="7"/>
  <c r="O253" i="7" s="1"/>
  <c r="R253" i="7" s="1"/>
  <c r="N374" i="7"/>
  <c r="O374" i="7" s="1"/>
  <c r="R374" i="7" s="1"/>
  <c r="Q339" i="7"/>
  <c r="S339" i="7" s="1"/>
  <c r="Q379" i="7"/>
  <c r="S379" i="7" s="1"/>
  <c r="Q412" i="7"/>
  <c r="S412" i="7" s="1"/>
  <c r="N384" i="7"/>
  <c r="O384" i="7" s="1"/>
  <c r="R384" i="7" s="1"/>
  <c r="N333" i="7"/>
  <c r="O333" i="7" s="1"/>
  <c r="R333" i="7" s="1"/>
  <c r="Q237" i="7"/>
  <c r="S237" i="7" s="1"/>
  <c r="Q247" i="7"/>
  <c r="S247" i="7" s="1"/>
  <c r="Q257" i="7"/>
  <c r="S257" i="7" s="1"/>
  <c r="Q267" i="7"/>
  <c r="S267" i="7" s="1"/>
  <c r="Q277" i="7"/>
  <c r="S277" i="7" s="1"/>
  <c r="Q287" i="7"/>
  <c r="S287" i="7" s="1"/>
  <c r="N244" i="7"/>
  <c r="O244" i="7" s="1"/>
  <c r="R244" i="7" s="1"/>
  <c r="Q280" i="7"/>
  <c r="S280" i="7" s="1"/>
  <c r="Q290" i="7"/>
  <c r="S290" i="7" s="1"/>
  <c r="N296" i="7"/>
  <c r="O296" i="7" s="1"/>
  <c r="R296" i="7" s="1"/>
  <c r="N306" i="7"/>
  <c r="O306" i="7" s="1"/>
  <c r="R306" i="7" s="1"/>
  <c r="N319" i="7"/>
  <c r="O319" i="7" s="1"/>
  <c r="R319" i="7" s="1"/>
  <c r="N341" i="7"/>
  <c r="O341" i="7" s="1"/>
  <c r="R341" i="7" s="1"/>
  <c r="N351" i="7"/>
  <c r="O351" i="7" s="1"/>
  <c r="R351" i="7" s="1"/>
  <c r="N361" i="7"/>
  <c r="O361" i="7" s="1"/>
  <c r="R361" i="7" s="1"/>
  <c r="N387" i="7"/>
  <c r="O387" i="7" s="1"/>
  <c r="R387" i="7" s="1"/>
  <c r="Q433" i="7"/>
  <c r="S433" i="7" s="1"/>
  <c r="N443" i="7"/>
  <c r="O443" i="7" s="1"/>
  <c r="R443" i="7" s="1"/>
  <c r="N257" i="7"/>
  <c r="O257" i="7" s="1"/>
  <c r="R257" i="7" s="1"/>
  <c r="Q241" i="7"/>
  <c r="S241" i="7" s="1"/>
  <c r="Q251" i="7"/>
  <c r="S251" i="7" s="1"/>
  <c r="Q316" i="7"/>
  <c r="S316" i="7" s="1"/>
  <c r="Q404" i="7"/>
  <c r="S404" i="7" s="1"/>
  <c r="N407" i="7"/>
  <c r="O407" i="7" s="1"/>
  <c r="R407" i="7" s="1"/>
  <c r="Q400" i="7"/>
  <c r="S400" i="7" s="1"/>
  <c r="N365" i="7"/>
  <c r="O365" i="7" s="1"/>
  <c r="R365" i="7" s="1"/>
  <c r="N381" i="7"/>
  <c r="O381" i="7" s="1"/>
  <c r="R381" i="7" s="1"/>
  <c r="N391" i="7"/>
  <c r="O391" i="7" s="1"/>
  <c r="R391" i="7" s="1"/>
  <c r="Q447" i="7"/>
  <c r="S447" i="7" s="1"/>
  <c r="N270" i="7"/>
  <c r="O270" i="7" s="1"/>
  <c r="R270" i="7" s="1"/>
  <c r="Q300" i="7"/>
  <c r="S300" i="7" s="1"/>
  <c r="Q313" i="7"/>
  <c r="S313" i="7" s="1"/>
  <c r="N268" i="7"/>
  <c r="O268" i="7" s="1"/>
  <c r="R268" i="7" s="1"/>
  <c r="N427" i="7"/>
  <c r="O427" i="7" s="1"/>
  <c r="R427" i="7" s="1"/>
  <c r="Q291" i="7"/>
  <c r="S291" i="7" s="1"/>
  <c r="Q320" i="7"/>
  <c r="S320" i="7" s="1"/>
  <c r="N362" i="7"/>
  <c r="O362" i="7" s="1"/>
  <c r="R362" i="7" s="1"/>
  <c r="N388" i="7"/>
  <c r="O388" i="7" s="1"/>
  <c r="R388" i="7" s="1"/>
  <c r="Q444" i="7"/>
  <c r="S444" i="7" s="1"/>
  <c r="Q359" i="7"/>
  <c r="S359" i="7" s="1"/>
  <c r="Q375" i="7"/>
  <c r="S375" i="7" s="1"/>
  <c r="Q395" i="7"/>
  <c r="S395" i="7" s="1"/>
  <c r="N432" i="7"/>
  <c r="O432" i="7" s="1"/>
  <c r="R432" i="7" s="1"/>
  <c r="N248" i="7"/>
  <c r="O248" i="7" s="1"/>
  <c r="R248" i="7" s="1"/>
  <c r="N421" i="7"/>
  <c r="O421" i="7" s="1"/>
  <c r="R421" i="7" s="1"/>
  <c r="N441" i="7"/>
  <c r="O441" i="7" s="1"/>
  <c r="R441" i="7" s="1"/>
  <c r="N442" i="7"/>
  <c r="O442" i="7" s="1"/>
  <c r="R442" i="7" s="1"/>
  <c r="Q383" i="7"/>
  <c r="S383" i="7" s="1"/>
  <c r="N247" i="7"/>
  <c r="O247" i="7" s="1"/>
  <c r="R247" i="7" s="1"/>
  <c r="N347" i="7"/>
  <c r="O347" i="7" s="1"/>
  <c r="R347" i="7" s="1"/>
  <c r="N249" i="7"/>
  <c r="O249" i="7" s="1"/>
  <c r="R249" i="7" s="1"/>
  <c r="Q269" i="7"/>
  <c r="S269" i="7" s="1"/>
  <c r="N311" i="7"/>
  <c r="O311" i="7" s="1"/>
  <c r="R311" i="7" s="1"/>
  <c r="Q399" i="7"/>
  <c r="S399" i="7" s="1"/>
  <c r="N428" i="7"/>
  <c r="O428" i="7" s="1"/>
  <c r="R428" i="7" s="1"/>
  <c r="N438" i="7"/>
  <c r="O438" i="7" s="1"/>
  <c r="R438" i="7" s="1"/>
  <c r="N234" i="7"/>
  <c r="O234" i="7" s="1"/>
  <c r="R234" i="7" s="1"/>
  <c r="N422" i="7"/>
  <c r="O422" i="7" s="1"/>
  <c r="R422" i="7" s="1"/>
  <c r="N299" i="7"/>
  <c r="O299" i="7" s="1"/>
  <c r="R299" i="7" s="1"/>
  <c r="N267" i="7"/>
  <c r="O267" i="7" s="1"/>
  <c r="R267" i="7" s="1"/>
  <c r="N271" i="7"/>
  <c r="O271" i="7" s="1"/>
  <c r="R271" i="7" s="1"/>
  <c r="N288" i="7"/>
  <c r="O288" i="7" s="1"/>
  <c r="R288" i="7" s="1"/>
  <c r="N336" i="7"/>
  <c r="O336" i="7" s="1"/>
  <c r="R336" i="7" s="1"/>
  <c r="N402" i="7"/>
  <c r="O402" i="7" s="1"/>
  <c r="R402" i="7" s="1"/>
  <c r="N298" i="7"/>
  <c r="O298" i="7" s="1"/>
  <c r="R298" i="7" s="1"/>
  <c r="Q308" i="7"/>
  <c r="S308" i="7" s="1"/>
  <c r="N353" i="7"/>
  <c r="O353" i="7" s="1"/>
  <c r="R353" i="7" s="1"/>
  <c r="N354" i="7"/>
  <c r="O354" i="7" s="1"/>
  <c r="R354" i="7" s="1"/>
  <c r="Q283" i="7"/>
  <c r="S283" i="7" s="1"/>
  <c r="N368" i="7"/>
  <c r="O368" i="7" s="1"/>
  <c r="R368" i="7" s="1"/>
  <c r="N431" i="7"/>
  <c r="O431" i="7" s="1"/>
  <c r="R431" i="7" s="1"/>
  <c r="Q314" i="7"/>
  <c r="S314" i="7" s="1"/>
  <c r="Q327" i="7"/>
  <c r="S327" i="7" s="1"/>
  <c r="Q305" i="7"/>
  <c r="S305" i="7" s="1"/>
  <c r="Q350" i="7"/>
  <c r="S350" i="7" s="1"/>
  <c r="Q396" i="7"/>
  <c r="S396" i="7" s="1"/>
  <c r="N425" i="7"/>
  <c r="O425" i="7" s="1"/>
  <c r="R425" i="7" s="1"/>
  <c r="Q263" i="7"/>
  <c r="S263" i="7" s="1"/>
  <c r="O376" i="7"/>
  <c r="R376" i="7" s="1"/>
  <c r="N236" i="7"/>
  <c r="Q244" i="7"/>
  <c r="S244" i="7" s="1"/>
  <c r="N246" i="7"/>
  <c r="Q248" i="7"/>
  <c r="S248" i="7" s="1"/>
  <c r="N273" i="7"/>
  <c r="O273" i="7" s="1"/>
  <c r="R273" i="7" s="1"/>
  <c r="Q275" i="7"/>
  <c r="S275" i="7" s="1"/>
  <c r="Q348" i="7"/>
  <c r="S348" i="7" s="1"/>
  <c r="N240" i="7"/>
  <c r="O240" i="7" s="1"/>
  <c r="R240" i="7" s="1"/>
  <c r="N355" i="7"/>
  <c r="N261" i="7"/>
  <c r="N258" i="7"/>
  <c r="N269" i="7"/>
  <c r="O269" i="7" s="1"/>
  <c r="R269" i="7" s="1"/>
  <c r="N256" i="7"/>
  <c r="N266" i="7"/>
  <c r="O266" i="7" s="1"/>
  <c r="R266" i="7" s="1"/>
  <c r="N282" i="7"/>
  <c r="N287" i="7"/>
  <c r="O287" i="7" s="1"/>
  <c r="R287" i="7" s="1"/>
  <c r="N328" i="7"/>
  <c r="N272" i="7"/>
  <c r="Q254" i="7"/>
  <c r="S254" i="7" s="1"/>
  <c r="Q293" i="7"/>
  <c r="S293" i="7" s="1"/>
  <c r="Q363" i="7"/>
  <c r="S363" i="7" s="1"/>
  <c r="N363" i="7"/>
  <c r="O363" i="7" s="1"/>
  <c r="R363" i="7" s="1"/>
  <c r="N419" i="7"/>
  <c r="O419" i="7" s="1"/>
  <c r="R419" i="7" s="1"/>
  <c r="N382" i="7"/>
  <c r="N396" i="7"/>
  <c r="O396" i="7" s="1"/>
  <c r="R396" i="7" s="1"/>
  <c r="N285" i="7"/>
  <c r="N245" i="7"/>
  <c r="N251" i="7"/>
  <c r="Q253" i="7"/>
  <c r="S253" i="7" s="1"/>
  <c r="Q296" i="7"/>
  <c r="S296" i="7" s="1"/>
  <c r="N300" i="7"/>
  <c r="Q312" i="7"/>
  <c r="S312" i="7" s="1"/>
  <c r="N314" i="7"/>
  <c r="O314" i="7" s="1"/>
  <c r="R314" i="7" s="1"/>
  <c r="N401" i="7"/>
  <c r="O401" i="7" s="1"/>
  <c r="R401" i="7" s="1"/>
  <c r="N416" i="7"/>
  <c r="Q337" i="7"/>
  <c r="S337" i="7" s="1"/>
  <c r="N339" i="7"/>
  <c r="O339" i="7" s="1"/>
  <c r="R339" i="7" s="1"/>
  <c r="Q341" i="7"/>
  <c r="S341" i="7" s="1"/>
  <c r="Q343" i="7"/>
  <c r="S343" i="7" s="1"/>
  <c r="N343" i="7"/>
  <c r="O343" i="7" s="1"/>
  <c r="R343" i="7" s="1"/>
  <c r="N371" i="7"/>
  <c r="Q373" i="7"/>
  <c r="S373" i="7" s="1"/>
  <c r="N373" i="7"/>
  <c r="O373" i="7" s="1"/>
  <c r="R373" i="7" s="1"/>
  <c r="Q385" i="7"/>
  <c r="S385" i="7" s="1"/>
  <c r="Q417" i="7"/>
  <c r="S417" i="7" s="1"/>
  <c r="Q427" i="7"/>
  <c r="S427" i="7" s="1"/>
  <c r="N392" i="7"/>
  <c r="O392" i="7" s="1"/>
  <c r="R392" i="7" s="1"/>
  <c r="Q317" i="7"/>
  <c r="S317" i="7" s="1"/>
  <c r="Q323" i="7"/>
  <c r="S323" i="7" s="1"/>
  <c r="Q333" i="7"/>
  <c r="S333" i="7" s="1"/>
  <c r="Q376" i="7"/>
  <c r="S376" i="7" s="1"/>
  <c r="Q390" i="7"/>
  <c r="S390" i="7" s="1"/>
  <c r="N262" i="7"/>
  <c r="N276" i="7"/>
  <c r="N301" i="7"/>
  <c r="O301" i="7" s="1"/>
  <c r="R301" i="7" s="1"/>
  <c r="N346" i="7"/>
  <c r="O346" i="7" s="1"/>
  <c r="R346" i="7" s="1"/>
  <c r="Q386" i="7"/>
  <c r="S386" i="7" s="1"/>
  <c r="N386" i="7"/>
  <c r="O386" i="7" s="1"/>
  <c r="R386" i="7" s="1"/>
  <c r="N280" i="7"/>
  <c r="N315" i="7"/>
  <c r="Q239" i="7"/>
  <c r="S239" i="7" s="1"/>
  <c r="Q264" i="7"/>
  <c r="S264" i="7" s="1"/>
  <c r="Q288" i="7"/>
  <c r="S288" i="7" s="1"/>
  <c r="Q307" i="7"/>
  <c r="S307" i="7" s="1"/>
  <c r="Q309" i="7"/>
  <c r="S309" i="7" s="1"/>
  <c r="N344" i="7"/>
  <c r="R405" i="7"/>
  <c r="Q428" i="7"/>
  <c r="S428" i="7" s="1"/>
  <c r="N436" i="7"/>
  <c r="N398" i="7"/>
  <c r="Q243" i="7"/>
  <c r="S243" i="7" s="1"/>
  <c r="N243" i="7"/>
  <c r="O243" i="7" s="1"/>
  <c r="R243" i="7" s="1"/>
  <c r="Q250" i="7"/>
  <c r="S250" i="7" s="1"/>
  <c r="N259" i="7"/>
  <c r="N294" i="7"/>
  <c r="O294" i="7" s="1"/>
  <c r="R294" i="7" s="1"/>
  <c r="Q336" i="7"/>
  <c r="S336" i="7" s="1"/>
  <c r="Q384" i="7"/>
  <c r="S384" i="7" s="1"/>
  <c r="N406" i="7"/>
  <c r="N408" i="7"/>
  <c r="O408" i="7" s="1"/>
  <c r="R408" i="7" s="1"/>
  <c r="Q377" i="7"/>
  <c r="S377" i="7" s="1"/>
  <c r="Q443" i="7"/>
  <c r="S443" i="7" s="1"/>
  <c r="Q318" i="7"/>
  <c r="S318" i="7" s="1"/>
  <c r="N325" i="7"/>
  <c r="N334" i="7"/>
  <c r="O334" i="7" s="1"/>
  <c r="R334" i="7" s="1"/>
  <c r="N352" i="7"/>
  <c r="N356" i="7"/>
  <c r="Q381" i="7"/>
  <c r="S381" i="7" s="1"/>
  <c r="Q403" i="7"/>
  <c r="S403" i="7" s="1"/>
  <c r="Q422" i="7"/>
  <c r="S422" i="7" s="1"/>
  <c r="Q424" i="7"/>
  <c r="S424" i="7" s="1"/>
  <c r="N448" i="7"/>
  <c r="O448" i="7" s="1"/>
  <c r="R448" i="7" s="1"/>
  <c r="Q448" i="7"/>
  <c r="S448" i="7" s="1"/>
  <c r="N302" i="7"/>
  <c r="N241" i="7"/>
  <c r="O241" i="7" s="1"/>
  <c r="R241" i="7" s="1"/>
  <c r="N260" i="7"/>
  <c r="N304" i="7"/>
  <c r="N433" i="7"/>
  <c r="O433" i="7" s="1"/>
  <c r="R433" i="7" s="1"/>
  <c r="N435" i="7"/>
  <c r="Q279" i="7"/>
  <c r="S279" i="7" s="1"/>
  <c r="Q281" i="7"/>
  <c r="S281" i="7" s="1"/>
  <c r="O295" i="7"/>
  <c r="R295" i="7" s="1"/>
  <c r="Q306" i="7"/>
  <c r="S306" i="7" s="1"/>
  <c r="N342" i="7"/>
  <c r="O342" i="7" s="1"/>
  <c r="R342" i="7" s="1"/>
  <c r="N395" i="7"/>
  <c r="N255" i="7"/>
  <c r="Q249" i="7"/>
  <c r="S249" i="7" s="1"/>
  <c r="Q274" i="7"/>
  <c r="S274" i="7" s="1"/>
  <c r="Q299" i="7"/>
  <c r="S299" i="7" s="1"/>
  <c r="Q353" i="7"/>
  <c r="S353" i="7" s="1"/>
  <c r="N414" i="7"/>
  <c r="O414" i="7" s="1"/>
  <c r="R414" i="7" s="1"/>
  <c r="Q425" i="7"/>
  <c r="S425" i="7" s="1"/>
  <c r="Q413" i="7"/>
  <c r="S413" i="7" s="1"/>
  <c r="Q445" i="7"/>
  <c r="S445" i="7" s="1"/>
  <c r="Q432" i="7"/>
  <c r="S432" i="7" s="1"/>
  <c r="N284" i="7"/>
  <c r="Q295" i="7"/>
  <c r="S295" i="7" s="1"/>
  <c r="Q303" i="7"/>
  <c r="S303" i="7" s="1"/>
  <c r="Q311" i="7"/>
  <c r="S311" i="7" s="1"/>
  <c r="Q319" i="7"/>
  <c r="S319" i="7" s="1"/>
  <c r="N322" i="7"/>
  <c r="N338" i="7"/>
  <c r="N357" i="7"/>
  <c r="Q362" i="7"/>
  <c r="S362" i="7" s="1"/>
  <c r="Q370" i="7"/>
  <c r="S370" i="7" s="1"/>
  <c r="N378" i="7"/>
  <c r="O378" i="7" s="1"/>
  <c r="R378" i="7" s="1"/>
  <c r="N397" i="7"/>
  <c r="Q402" i="7"/>
  <c r="S402" i="7" s="1"/>
  <c r="Q410" i="7"/>
  <c r="S410" i="7" s="1"/>
  <c r="N437" i="7"/>
  <c r="Q442" i="7"/>
  <c r="S442" i="7" s="1"/>
  <c r="N426" i="7"/>
  <c r="O426" i="7" s="1"/>
  <c r="R426" i="7" s="1"/>
  <c r="N394" i="7"/>
  <c r="O394" i="7" s="1"/>
  <c r="R394" i="7" s="1"/>
  <c r="N434" i="7"/>
  <c r="O434" i="7" s="1"/>
  <c r="R434" i="7" s="1"/>
  <c r="N447" i="7"/>
  <c r="O447" i="7" s="1"/>
  <c r="R447" i="7" s="1"/>
  <c r="N305" i="7"/>
  <c r="N308" i="7"/>
  <c r="O308" i="7" s="1"/>
  <c r="R308" i="7" s="1"/>
  <c r="N335" i="7"/>
  <c r="N359" i="7"/>
  <c r="N375" i="7"/>
  <c r="N383" i="7"/>
  <c r="O383" i="7" s="1"/>
  <c r="R383" i="7" s="1"/>
  <c r="N399" i="7"/>
  <c r="N415" i="7"/>
  <c r="N423" i="7"/>
  <c r="O423" i="7" s="1"/>
  <c r="R423" i="7" s="1"/>
  <c r="N439" i="7"/>
  <c r="O439" i="7" s="1"/>
  <c r="R439" i="7" s="1"/>
  <c r="N286" i="7"/>
  <c r="O286" i="7" s="1"/>
  <c r="R286" i="7" s="1"/>
  <c r="N316" i="7"/>
  <c r="N321" i="7"/>
  <c r="O321" i="7" s="1"/>
  <c r="R321" i="7" s="1"/>
  <c r="Q324" i="7"/>
  <c r="S324" i="7" s="1"/>
  <c r="N332" i="7"/>
  <c r="O332" i="7" s="1"/>
  <c r="R332" i="7" s="1"/>
  <c r="Q340" i="7"/>
  <c r="S340" i="7" s="1"/>
  <c r="N372" i="7"/>
  <c r="Q380" i="7"/>
  <c r="S380" i="7" s="1"/>
  <c r="Q394" i="7"/>
  <c r="S394" i="7" s="1"/>
  <c r="N412" i="7"/>
  <c r="O412" i="7" s="1"/>
  <c r="R412" i="7" s="1"/>
  <c r="Q420" i="7"/>
  <c r="S420" i="7" s="1"/>
  <c r="Q434" i="7"/>
  <c r="S434" i="7" s="1"/>
  <c r="N340" i="7"/>
  <c r="N420" i="7"/>
  <c r="O420" i="7" s="1"/>
  <c r="R420" i="7" s="1"/>
  <c r="R380" i="7"/>
  <c r="R293" i="7"/>
  <c r="R323" i="7"/>
  <c r="Q371" i="7"/>
  <c r="S371" i="7" s="1"/>
  <c r="N385" i="7"/>
  <c r="N440" i="7"/>
  <c r="Q440" i="7"/>
  <c r="S440" i="7" s="1"/>
  <c r="N238" i="7"/>
  <c r="N252" i="7"/>
  <c r="N278" i="7"/>
  <c r="N312" i="7"/>
  <c r="N404" i="7"/>
  <c r="N275" i="7"/>
  <c r="N320" i="7"/>
  <c r="N345" i="7"/>
  <c r="Q265" i="7"/>
  <c r="S265" i="7" s="1"/>
  <c r="N309" i="7"/>
  <c r="N393" i="7"/>
  <c r="N324" i="7"/>
  <c r="Q360" i="7"/>
  <c r="S360" i="7" s="1"/>
  <c r="N360" i="7"/>
  <c r="N444" i="7"/>
  <c r="N239" i="7"/>
  <c r="N364" i="7"/>
  <c r="N418" i="7"/>
  <c r="N411" i="7"/>
  <c r="N235" i="7"/>
  <c r="N283" i="7"/>
  <c r="N279" i="7"/>
  <c r="Q338" i="7"/>
  <c r="S338" i="7" s="1"/>
  <c r="Q282" i="7"/>
  <c r="S282" i="7" s="1"/>
  <c r="Q298" i="7"/>
  <c r="S298" i="7" s="1"/>
  <c r="N303" i="7"/>
  <c r="N337" i="7"/>
  <c r="N377" i="7"/>
  <c r="N417" i="7"/>
  <c r="N318" i="7"/>
  <c r="Q351" i="7"/>
  <c r="S351" i="7" s="1"/>
  <c r="Q358" i="7"/>
  <c r="S358" i="7" s="1"/>
  <c r="Q391" i="7"/>
  <c r="S391" i="7" s="1"/>
  <c r="Q398" i="7"/>
  <c r="S398" i="7" s="1"/>
  <c r="Q431" i="7"/>
  <c r="S431" i="7" s="1"/>
  <c r="Q438" i="7"/>
  <c r="S438" i="7" s="1"/>
  <c r="Q429" i="7"/>
  <c r="S429" i="7" s="1"/>
  <c r="N429" i="7"/>
  <c r="N366" i="7"/>
  <c r="Q406" i="7"/>
  <c r="S406" i="7" s="1"/>
  <c r="Q446" i="7"/>
  <c r="S446" i="7" s="1"/>
  <c r="Q258" i="7"/>
  <c r="S258" i="7" s="1"/>
  <c r="N263" i="7"/>
  <c r="Q325" i="7"/>
  <c r="S325" i="7" s="1"/>
  <c r="Q365" i="7"/>
  <c r="S365" i="7" s="1"/>
  <c r="Q405" i="7"/>
  <c r="S405" i="7" s="1"/>
  <c r="N400" i="7"/>
  <c r="Q389" i="7"/>
  <c r="S389" i="7" s="1"/>
  <c r="N389" i="7"/>
  <c r="N242" i="7"/>
  <c r="N250" i="7"/>
  <c r="Q259" i="7"/>
  <c r="S259" i="7" s="1"/>
  <c r="N310" i="7"/>
  <c r="N297" i="7"/>
  <c r="N445" i="7"/>
  <c r="Q349" i="7"/>
  <c r="S349" i="7" s="1"/>
  <c r="N349" i="7"/>
  <c r="Q369" i="7"/>
  <c r="S369" i="7" s="1"/>
  <c r="N369" i="7"/>
  <c r="Q409" i="7"/>
  <c r="S409" i="7" s="1"/>
  <c r="N409" i="7"/>
  <c r="Q449" i="7"/>
  <c r="S449" i="7" s="1"/>
  <c r="N449" i="7"/>
  <c r="N277" i="7"/>
  <c r="Q260" i="7"/>
  <c r="S260" i="7" s="1"/>
  <c r="Q326" i="7"/>
  <c r="S326" i="7" s="1"/>
  <c r="N289" i="7"/>
  <c r="N237" i="7"/>
  <c r="N290" i="7"/>
  <c r="N329" i="7"/>
  <c r="Q262" i="7"/>
  <c r="S262" i="7" s="1"/>
  <c r="N317" i="7"/>
  <c r="N330" i="7"/>
  <c r="N350" i="7"/>
  <c r="N370" i="7"/>
  <c r="N390" i="7"/>
  <c r="N410" i="7"/>
  <c r="N430" i="7"/>
  <c r="P233" i="7"/>
  <c r="P449" i="7" s="1"/>
  <c r="L233" i="7"/>
  <c r="P232" i="7"/>
  <c r="P448" i="7" s="1"/>
  <c r="M232" i="7"/>
  <c r="L232" i="7"/>
  <c r="P231" i="7"/>
  <c r="P447" i="7" s="1"/>
  <c r="M231" i="7"/>
  <c r="L231" i="7"/>
  <c r="Q231" i="7" s="1"/>
  <c r="P230" i="7"/>
  <c r="P446" i="7" s="1"/>
  <c r="M230" i="7"/>
  <c r="L230" i="7"/>
  <c r="P229" i="7"/>
  <c r="P445" i="7" s="1"/>
  <c r="M229" i="7"/>
  <c r="L229" i="7"/>
  <c r="P228" i="7"/>
  <c r="P444" i="7" s="1"/>
  <c r="M228" i="7"/>
  <c r="L228" i="7"/>
  <c r="P227" i="7"/>
  <c r="P443" i="7" s="1"/>
  <c r="M227" i="7"/>
  <c r="L227" i="7"/>
  <c r="P226" i="7"/>
  <c r="P442" i="7" s="1"/>
  <c r="M226" i="7"/>
  <c r="L226" i="7"/>
  <c r="Q226" i="7" s="1"/>
  <c r="P225" i="7"/>
  <c r="P441" i="7" s="1"/>
  <c r="M225" i="7"/>
  <c r="L225" i="7"/>
  <c r="P224" i="7"/>
  <c r="P440" i="7" s="1"/>
  <c r="M224" i="7"/>
  <c r="L224" i="7"/>
  <c r="P223" i="7"/>
  <c r="P439" i="7" s="1"/>
  <c r="M223" i="7"/>
  <c r="L223" i="7"/>
  <c r="P222" i="7"/>
  <c r="P438" i="7" s="1"/>
  <c r="M222" i="7"/>
  <c r="L222" i="7"/>
  <c r="P221" i="7"/>
  <c r="P437" i="7" s="1"/>
  <c r="M221" i="7"/>
  <c r="L221" i="7"/>
  <c r="Q221" i="7" s="1"/>
  <c r="P220" i="7"/>
  <c r="P436" i="7" s="1"/>
  <c r="M220" i="7"/>
  <c r="L220" i="7"/>
  <c r="P219" i="7"/>
  <c r="P435" i="7" s="1"/>
  <c r="M219" i="7"/>
  <c r="L219" i="7"/>
  <c r="P218" i="7"/>
  <c r="P434" i="7" s="1"/>
  <c r="M218" i="7"/>
  <c r="L218" i="7"/>
  <c r="P217" i="7"/>
  <c r="P433" i="7" s="1"/>
  <c r="M217" i="7"/>
  <c r="L217" i="7"/>
  <c r="P216" i="7"/>
  <c r="P432" i="7" s="1"/>
  <c r="M216" i="7"/>
  <c r="L216" i="7"/>
  <c r="Q216" i="7" s="1"/>
  <c r="P215" i="7"/>
  <c r="P431" i="7" s="1"/>
  <c r="M215" i="7"/>
  <c r="L215" i="7"/>
  <c r="P214" i="7"/>
  <c r="P430" i="7" s="1"/>
  <c r="M214" i="7"/>
  <c r="L214" i="7"/>
  <c r="P213" i="7"/>
  <c r="P429" i="7" s="1"/>
  <c r="M213" i="7"/>
  <c r="L213" i="7"/>
  <c r="P212" i="7"/>
  <c r="P428" i="7" s="1"/>
  <c r="M212" i="7"/>
  <c r="L212" i="7"/>
  <c r="P211" i="7"/>
  <c r="P427" i="7" s="1"/>
  <c r="M211" i="7"/>
  <c r="L211" i="7"/>
  <c r="Q211" i="7" s="1"/>
  <c r="P210" i="7"/>
  <c r="P426" i="7" s="1"/>
  <c r="M210" i="7"/>
  <c r="L210" i="7"/>
  <c r="P209" i="7"/>
  <c r="P425" i="7" s="1"/>
  <c r="M209" i="7"/>
  <c r="L209" i="7"/>
  <c r="P208" i="7"/>
  <c r="P424" i="7" s="1"/>
  <c r="M208" i="7"/>
  <c r="L208" i="7"/>
  <c r="P207" i="7"/>
  <c r="P423" i="7" s="1"/>
  <c r="M207" i="7"/>
  <c r="L207" i="7"/>
  <c r="P206" i="7"/>
  <c r="P422" i="7" s="1"/>
  <c r="M206" i="7"/>
  <c r="L206" i="7"/>
  <c r="Q206" i="7" s="1"/>
  <c r="P205" i="7"/>
  <c r="P421" i="7" s="1"/>
  <c r="M205" i="7"/>
  <c r="L205" i="7"/>
  <c r="P204" i="7"/>
  <c r="P420" i="7" s="1"/>
  <c r="M204" i="7"/>
  <c r="L204" i="7"/>
  <c r="P203" i="7"/>
  <c r="P419" i="7" s="1"/>
  <c r="M203" i="7"/>
  <c r="L203" i="7"/>
  <c r="P202" i="7"/>
  <c r="P418" i="7" s="1"/>
  <c r="M202" i="7"/>
  <c r="L202" i="7"/>
  <c r="P201" i="7"/>
  <c r="P417" i="7" s="1"/>
  <c r="M201" i="7"/>
  <c r="L201" i="7"/>
  <c r="P200" i="7"/>
  <c r="P416" i="7" s="1"/>
  <c r="M200" i="7"/>
  <c r="L200" i="7"/>
  <c r="P199" i="7"/>
  <c r="P415" i="7" s="1"/>
  <c r="M199" i="7"/>
  <c r="L199" i="7"/>
  <c r="P198" i="7"/>
  <c r="P414" i="7" s="1"/>
  <c r="M198" i="7"/>
  <c r="L198" i="7"/>
  <c r="P197" i="7"/>
  <c r="P413" i="7" s="1"/>
  <c r="M197" i="7"/>
  <c r="L197" i="7"/>
  <c r="P196" i="7"/>
  <c r="P412" i="7" s="1"/>
  <c r="M196" i="7"/>
  <c r="L196" i="7"/>
  <c r="P195" i="7"/>
  <c r="P411" i="7" s="1"/>
  <c r="M195" i="7"/>
  <c r="L195" i="7"/>
  <c r="P194" i="7"/>
  <c r="P410" i="7" s="1"/>
  <c r="M194" i="7"/>
  <c r="L194" i="7"/>
  <c r="P193" i="7"/>
  <c r="P409" i="7" s="1"/>
  <c r="M193" i="7"/>
  <c r="L193" i="7"/>
  <c r="P192" i="7"/>
  <c r="P408" i="7" s="1"/>
  <c r="M192" i="7"/>
  <c r="L192" i="7"/>
  <c r="P191" i="7"/>
  <c r="P407" i="7" s="1"/>
  <c r="M191" i="7"/>
  <c r="L191" i="7"/>
  <c r="Q191" i="7" s="1"/>
  <c r="P190" i="7"/>
  <c r="P406" i="7" s="1"/>
  <c r="M190" i="7"/>
  <c r="L190" i="7"/>
  <c r="P189" i="7"/>
  <c r="P405" i="7" s="1"/>
  <c r="M189" i="7"/>
  <c r="L189" i="7"/>
  <c r="P188" i="7"/>
  <c r="P404" i="7" s="1"/>
  <c r="M188" i="7"/>
  <c r="L188" i="7"/>
  <c r="P187" i="7"/>
  <c r="P403" i="7" s="1"/>
  <c r="M187" i="7"/>
  <c r="L187" i="7"/>
  <c r="P186" i="7"/>
  <c r="P402" i="7" s="1"/>
  <c r="M186" i="7"/>
  <c r="L186" i="7"/>
  <c r="Q186" i="7" s="1"/>
  <c r="P185" i="7"/>
  <c r="P401" i="7" s="1"/>
  <c r="M185" i="7"/>
  <c r="L185" i="7"/>
  <c r="P184" i="7"/>
  <c r="P400" i="7" s="1"/>
  <c r="M184" i="7"/>
  <c r="L184" i="7"/>
  <c r="P183" i="7"/>
  <c r="P399" i="7" s="1"/>
  <c r="M183" i="7"/>
  <c r="L183" i="7"/>
  <c r="P182" i="7"/>
  <c r="P398" i="7" s="1"/>
  <c r="M182" i="7"/>
  <c r="L182" i="7"/>
  <c r="P181" i="7"/>
  <c r="P397" i="7" s="1"/>
  <c r="M181" i="7"/>
  <c r="L181" i="7"/>
  <c r="Q181" i="7" s="1"/>
  <c r="P180" i="7"/>
  <c r="P396" i="7" s="1"/>
  <c r="M180" i="7"/>
  <c r="L180" i="7"/>
  <c r="P179" i="7"/>
  <c r="P395" i="7" s="1"/>
  <c r="M179" i="7"/>
  <c r="L179" i="7"/>
  <c r="P178" i="7"/>
  <c r="P394" i="7" s="1"/>
  <c r="M178" i="7"/>
  <c r="L178" i="7"/>
  <c r="P177" i="7"/>
  <c r="P393" i="7" s="1"/>
  <c r="M177" i="7"/>
  <c r="L177" i="7"/>
  <c r="P176" i="7"/>
  <c r="P392" i="7" s="1"/>
  <c r="M176" i="7"/>
  <c r="L176" i="7"/>
  <c r="Q176" i="7" s="1"/>
  <c r="P175" i="7"/>
  <c r="P391" i="7" s="1"/>
  <c r="M175" i="7"/>
  <c r="L175" i="7"/>
  <c r="P174" i="7"/>
  <c r="P390" i="7" s="1"/>
  <c r="M174" i="7"/>
  <c r="L174" i="7"/>
  <c r="P173" i="7"/>
  <c r="P389" i="7" s="1"/>
  <c r="M173" i="7"/>
  <c r="L173" i="7"/>
  <c r="P172" i="7"/>
  <c r="P388" i="7" s="1"/>
  <c r="M172" i="7"/>
  <c r="L172" i="7"/>
  <c r="P171" i="7"/>
  <c r="P387" i="7" s="1"/>
  <c r="M171" i="7"/>
  <c r="L171" i="7"/>
  <c r="P170" i="7"/>
  <c r="P386" i="7" s="1"/>
  <c r="M170" i="7"/>
  <c r="L170" i="7"/>
  <c r="P169" i="7"/>
  <c r="P385" i="7" s="1"/>
  <c r="M169" i="7"/>
  <c r="L169" i="7"/>
  <c r="P168" i="7"/>
  <c r="P384" i="7" s="1"/>
  <c r="M168" i="7"/>
  <c r="L168" i="7"/>
  <c r="P167" i="7"/>
  <c r="P383" i="7" s="1"/>
  <c r="M167" i="7"/>
  <c r="L167" i="7"/>
  <c r="P166" i="7"/>
  <c r="P382" i="7" s="1"/>
  <c r="M166" i="7"/>
  <c r="L166" i="7"/>
  <c r="Q166" i="7" s="1"/>
  <c r="P165" i="7"/>
  <c r="P381" i="7" s="1"/>
  <c r="M165" i="7"/>
  <c r="L165" i="7"/>
  <c r="P164" i="7"/>
  <c r="P380" i="7" s="1"/>
  <c r="M164" i="7"/>
  <c r="L164" i="7"/>
  <c r="P163" i="7"/>
  <c r="P379" i="7" s="1"/>
  <c r="M163" i="7"/>
  <c r="L163" i="7"/>
  <c r="P162" i="7"/>
  <c r="P378" i="7" s="1"/>
  <c r="M162" i="7"/>
  <c r="L162" i="7"/>
  <c r="P161" i="7"/>
  <c r="P377" i="7" s="1"/>
  <c r="M161" i="7"/>
  <c r="L161" i="7"/>
  <c r="Q161" i="7" s="1"/>
  <c r="P160" i="7"/>
  <c r="P376" i="7" s="1"/>
  <c r="M160" i="7"/>
  <c r="L160" i="7"/>
  <c r="P159" i="7"/>
  <c r="P375" i="7" s="1"/>
  <c r="M159" i="7"/>
  <c r="L159" i="7"/>
  <c r="P158" i="7"/>
  <c r="P374" i="7" s="1"/>
  <c r="M158" i="7"/>
  <c r="L158" i="7"/>
  <c r="P157" i="7"/>
  <c r="P373" i="7" s="1"/>
  <c r="M157" i="7"/>
  <c r="L157" i="7"/>
  <c r="P156" i="7"/>
  <c r="P372" i="7" s="1"/>
  <c r="M156" i="7"/>
  <c r="L156" i="7"/>
  <c r="Q156" i="7" s="1"/>
  <c r="P155" i="7"/>
  <c r="P371" i="7" s="1"/>
  <c r="M155" i="7"/>
  <c r="L155" i="7"/>
  <c r="P154" i="7"/>
  <c r="P370" i="7" s="1"/>
  <c r="M154" i="7"/>
  <c r="L154" i="7"/>
  <c r="P153" i="7"/>
  <c r="P369" i="7" s="1"/>
  <c r="M153" i="7"/>
  <c r="L153" i="7"/>
  <c r="P152" i="7"/>
  <c r="P368" i="7" s="1"/>
  <c r="M152" i="7"/>
  <c r="L152" i="7"/>
  <c r="P151" i="7"/>
  <c r="P367" i="7" s="1"/>
  <c r="M151" i="7"/>
  <c r="L151" i="7"/>
  <c r="P150" i="7"/>
  <c r="P366" i="7" s="1"/>
  <c r="M150" i="7"/>
  <c r="L150" i="7"/>
  <c r="P149" i="7"/>
  <c r="P365" i="7" s="1"/>
  <c r="M149" i="7"/>
  <c r="L149" i="7"/>
  <c r="P148" i="7"/>
  <c r="P364" i="7" s="1"/>
  <c r="M148" i="7"/>
  <c r="L148" i="7"/>
  <c r="P147" i="7"/>
  <c r="P363" i="7" s="1"/>
  <c r="M147" i="7"/>
  <c r="L147" i="7"/>
  <c r="P146" i="7"/>
  <c r="P362" i="7" s="1"/>
  <c r="M146" i="7"/>
  <c r="L146" i="7"/>
  <c r="Q146" i="7" s="1"/>
  <c r="P145" i="7"/>
  <c r="P361" i="7" s="1"/>
  <c r="M145" i="7"/>
  <c r="L145" i="7"/>
  <c r="P144" i="7"/>
  <c r="P360" i="7" s="1"/>
  <c r="M144" i="7"/>
  <c r="L144" i="7"/>
  <c r="P143" i="7"/>
  <c r="P359" i="7" s="1"/>
  <c r="M143" i="7"/>
  <c r="L143" i="7"/>
  <c r="P142" i="7"/>
  <c r="P358" i="7" s="1"/>
  <c r="M142" i="7"/>
  <c r="L142" i="7"/>
  <c r="P141" i="7"/>
  <c r="P357" i="7" s="1"/>
  <c r="M141" i="7"/>
  <c r="L141" i="7"/>
  <c r="P140" i="7"/>
  <c r="P356" i="7" s="1"/>
  <c r="M140" i="7"/>
  <c r="L140" i="7"/>
  <c r="P139" i="7"/>
  <c r="P355" i="7" s="1"/>
  <c r="M139" i="7"/>
  <c r="L139" i="7"/>
  <c r="P138" i="7"/>
  <c r="P354" i="7" s="1"/>
  <c r="M138" i="7"/>
  <c r="L138" i="7"/>
  <c r="P137" i="7"/>
  <c r="P353" i="7" s="1"/>
  <c r="M137" i="7"/>
  <c r="L137" i="7"/>
  <c r="P136" i="7"/>
  <c r="P352" i="7" s="1"/>
  <c r="M136" i="7"/>
  <c r="L136" i="7"/>
  <c r="Q136" i="7" s="1"/>
  <c r="P135" i="7"/>
  <c r="P351" i="7" s="1"/>
  <c r="M135" i="7"/>
  <c r="L135" i="7"/>
  <c r="P134" i="7"/>
  <c r="P350" i="7" s="1"/>
  <c r="M134" i="7"/>
  <c r="L134" i="7"/>
  <c r="P133" i="7"/>
  <c r="P349" i="7" s="1"/>
  <c r="M133" i="7"/>
  <c r="L133" i="7"/>
  <c r="P132" i="7"/>
  <c r="P348" i="7" s="1"/>
  <c r="M132" i="7"/>
  <c r="L132" i="7"/>
  <c r="P131" i="7"/>
  <c r="P347" i="7" s="1"/>
  <c r="M131" i="7"/>
  <c r="L131" i="7"/>
  <c r="P130" i="7"/>
  <c r="P346" i="7" s="1"/>
  <c r="M130" i="7"/>
  <c r="L130" i="7"/>
  <c r="P129" i="7"/>
  <c r="P345" i="7" s="1"/>
  <c r="M129" i="7"/>
  <c r="L129" i="7"/>
  <c r="P128" i="7"/>
  <c r="P344" i="7" s="1"/>
  <c r="M128" i="7"/>
  <c r="L128" i="7"/>
  <c r="P127" i="7"/>
  <c r="P343" i="7" s="1"/>
  <c r="M127" i="7"/>
  <c r="L127" i="7"/>
  <c r="P126" i="7"/>
  <c r="P342" i="7" s="1"/>
  <c r="M126" i="7"/>
  <c r="L126" i="7"/>
  <c r="Q126" i="7" s="1"/>
  <c r="P125" i="7"/>
  <c r="P341" i="7" s="1"/>
  <c r="M125" i="7"/>
  <c r="L125" i="7"/>
  <c r="P124" i="7"/>
  <c r="P340" i="7" s="1"/>
  <c r="M124" i="7"/>
  <c r="L124" i="7"/>
  <c r="P123" i="7"/>
  <c r="P339" i="7" s="1"/>
  <c r="M123" i="7"/>
  <c r="L123" i="7"/>
  <c r="P122" i="7"/>
  <c r="P338" i="7" s="1"/>
  <c r="M122" i="7"/>
  <c r="L122" i="7"/>
  <c r="P121" i="7"/>
  <c r="P337" i="7" s="1"/>
  <c r="M121" i="7"/>
  <c r="L121" i="7"/>
  <c r="Q121" i="7" s="1"/>
  <c r="P120" i="7"/>
  <c r="P336" i="7" s="1"/>
  <c r="M120" i="7"/>
  <c r="L120" i="7"/>
  <c r="P119" i="7"/>
  <c r="P335" i="7" s="1"/>
  <c r="M119" i="7"/>
  <c r="L119" i="7"/>
  <c r="P118" i="7"/>
  <c r="P334" i="7" s="1"/>
  <c r="M118" i="7"/>
  <c r="L118" i="7"/>
  <c r="P117" i="7"/>
  <c r="P333" i="7" s="1"/>
  <c r="M117" i="7"/>
  <c r="L117" i="7"/>
  <c r="P116" i="7"/>
  <c r="P332" i="7" s="1"/>
  <c r="M116" i="7"/>
  <c r="L116" i="7"/>
  <c r="Q116" i="7" s="1"/>
  <c r="P115" i="7"/>
  <c r="P331" i="7" s="1"/>
  <c r="M115" i="7"/>
  <c r="L115" i="7"/>
  <c r="P114" i="7"/>
  <c r="P330" i="7" s="1"/>
  <c r="M114" i="7"/>
  <c r="L114" i="7"/>
  <c r="P113" i="7"/>
  <c r="P329" i="7" s="1"/>
  <c r="M113" i="7"/>
  <c r="L113" i="7"/>
  <c r="P112" i="7"/>
  <c r="P328" i="7" s="1"/>
  <c r="M112" i="7"/>
  <c r="L112" i="7"/>
  <c r="P111" i="7"/>
  <c r="P327" i="7" s="1"/>
  <c r="M111" i="7"/>
  <c r="L111" i="7"/>
  <c r="P110" i="7"/>
  <c r="P326" i="7" s="1"/>
  <c r="M110" i="7"/>
  <c r="L110" i="7"/>
  <c r="P109" i="7"/>
  <c r="P325" i="7" s="1"/>
  <c r="M109" i="7"/>
  <c r="L109" i="7"/>
  <c r="Q109" i="7" s="1"/>
  <c r="P108" i="7"/>
  <c r="P324" i="7" s="1"/>
  <c r="M108" i="7"/>
  <c r="L108" i="7"/>
  <c r="P107" i="7"/>
  <c r="P323" i="7" s="1"/>
  <c r="M107" i="7"/>
  <c r="L107" i="7"/>
  <c r="P106" i="7"/>
  <c r="P322" i="7" s="1"/>
  <c r="M106" i="7"/>
  <c r="L106" i="7"/>
  <c r="P105" i="7"/>
  <c r="P321" i="7" s="1"/>
  <c r="M105" i="7"/>
  <c r="L105" i="7"/>
  <c r="P104" i="7"/>
  <c r="P320" i="7" s="1"/>
  <c r="M104" i="7"/>
  <c r="L104" i="7"/>
  <c r="P103" i="7"/>
  <c r="P319" i="7" s="1"/>
  <c r="M103" i="7"/>
  <c r="L103" i="7"/>
  <c r="P102" i="7"/>
  <c r="P318" i="7" s="1"/>
  <c r="M102" i="7"/>
  <c r="L102" i="7"/>
  <c r="P101" i="7"/>
  <c r="P317" i="7" s="1"/>
  <c r="M101" i="7"/>
  <c r="L101" i="7"/>
  <c r="P100" i="7"/>
  <c r="P316" i="7" s="1"/>
  <c r="M100" i="7"/>
  <c r="L100" i="7"/>
  <c r="P99" i="7"/>
  <c r="P315" i="7" s="1"/>
  <c r="M99" i="7"/>
  <c r="L99" i="7"/>
  <c r="P98" i="7"/>
  <c r="P314" i="7" s="1"/>
  <c r="M98" i="7"/>
  <c r="L98" i="7"/>
  <c r="P97" i="7"/>
  <c r="P313" i="7" s="1"/>
  <c r="M97" i="7"/>
  <c r="L97" i="7"/>
  <c r="P96" i="7"/>
  <c r="P312" i="7" s="1"/>
  <c r="M96" i="7"/>
  <c r="L96" i="7"/>
  <c r="Q96" i="7" s="1"/>
  <c r="P95" i="7"/>
  <c r="P311" i="7" s="1"/>
  <c r="M95" i="7"/>
  <c r="L95" i="7"/>
  <c r="P94" i="7"/>
  <c r="P310" i="7" s="1"/>
  <c r="M94" i="7"/>
  <c r="L94" i="7"/>
  <c r="P93" i="7"/>
  <c r="P309" i="7" s="1"/>
  <c r="M93" i="7"/>
  <c r="L93" i="7"/>
  <c r="P92" i="7"/>
  <c r="P308" i="7" s="1"/>
  <c r="M92" i="7"/>
  <c r="L92" i="7"/>
  <c r="P91" i="7"/>
  <c r="P307" i="7" s="1"/>
  <c r="M91" i="7"/>
  <c r="L91" i="7"/>
  <c r="P90" i="7"/>
  <c r="P306" i="7" s="1"/>
  <c r="M90" i="7"/>
  <c r="L90" i="7"/>
  <c r="P89" i="7"/>
  <c r="P305" i="7" s="1"/>
  <c r="M89" i="7"/>
  <c r="L89" i="7"/>
  <c r="P88" i="7"/>
  <c r="P304" i="7" s="1"/>
  <c r="M88" i="7"/>
  <c r="L88" i="7"/>
  <c r="P87" i="7"/>
  <c r="P303" i="7" s="1"/>
  <c r="M87" i="7"/>
  <c r="L87" i="7"/>
  <c r="P86" i="7"/>
  <c r="P302" i="7" s="1"/>
  <c r="M86" i="7"/>
  <c r="L86" i="7"/>
  <c r="P85" i="7"/>
  <c r="P301" i="7" s="1"/>
  <c r="M85" i="7"/>
  <c r="L85" i="7"/>
  <c r="P84" i="7"/>
  <c r="P300" i="7" s="1"/>
  <c r="M84" i="7"/>
  <c r="L84" i="7"/>
  <c r="P83" i="7"/>
  <c r="P299" i="7" s="1"/>
  <c r="M83" i="7"/>
  <c r="L83" i="7"/>
  <c r="P82" i="7"/>
  <c r="P298" i="7" s="1"/>
  <c r="M82" i="7"/>
  <c r="L82" i="7"/>
  <c r="P81" i="7"/>
  <c r="P297" i="7" s="1"/>
  <c r="M81" i="7"/>
  <c r="L81" i="7"/>
  <c r="P80" i="7"/>
  <c r="P296" i="7" s="1"/>
  <c r="M80" i="7"/>
  <c r="L80" i="7"/>
  <c r="Q80" i="7" s="1"/>
  <c r="P79" i="7"/>
  <c r="P295" i="7" s="1"/>
  <c r="M79" i="7"/>
  <c r="L79" i="7"/>
  <c r="P78" i="7"/>
  <c r="P294" i="7" s="1"/>
  <c r="M78" i="7"/>
  <c r="L78" i="7"/>
  <c r="P77" i="7"/>
  <c r="P293" i="7" s="1"/>
  <c r="M77" i="7"/>
  <c r="L77" i="7"/>
  <c r="P76" i="7"/>
  <c r="P292" i="7" s="1"/>
  <c r="M76" i="7"/>
  <c r="L76" i="7"/>
  <c r="P75" i="7"/>
  <c r="P291" i="7" s="1"/>
  <c r="M75" i="7"/>
  <c r="L75" i="7"/>
  <c r="P74" i="7"/>
  <c r="P290" i="7" s="1"/>
  <c r="M74" i="7"/>
  <c r="L74" i="7"/>
  <c r="P73" i="7"/>
  <c r="P289" i="7" s="1"/>
  <c r="M73" i="7"/>
  <c r="L73" i="7"/>
  <c r="P72" i="7"/>
  <c r="P288" i="7" s="1"/>
  <c r="M72" i="7"/>
  <c r="L72" i="7"/>
  <c r="P71" i="7"/>
  <c r="P287" i="7" s="1"/>
  <c r="M71" i="7"/>
  <c r="L71" i="7"/>
  <c r="P70" i="7"/>
  <c r="P286" i="7" s="1"/>
  <c r="M70" i="7"/>
  <c r="L70" i="7"/>
  <c r="P69" i="7"/>
  <c r="P285" i="7" s="1"/>
  <c r="M69" i="7"/>
  <c r="L69" i="7"/>
  <c r="P68" i="7"/>
  <c r="P284" i="7" s="1"/>
  <c r="M68" i="7"/>
  <c r="L68" i="7"/>
  <c r="P67" i="7"/>
  <c r="P283" i="7" s="1"/>
  <c r="M67" i="7"/>
  <c r="L67" i="7"/>
  <c r="P66" i="7"/>
  <c r="P282" i="7" s="1"/>
  <c r="M66" i="7"/>
  <c r="L66" i="7"/>
  <c r="P65" i="7"/>
  <c r="P281" i="7" s="1"/>
  <c r="M65" i="7"/>
  <c r="L65" i="7"/>
  <c r="P64" i="7"/>
  <c r="P280" i="7" s="1"/>
  <c r="M64" i="7"/>
  <c r="L64" i="7"/>
  <c r="P63" i="7"/>
  <c r="P279" i="7" s="1"/>
  <c r="M63" i="7"/>
  <c r="L63" i="7"/>
  <c r="P62" i="7"/>
  <c r="P278" i="7" s="1"/>
  <c r="M62" i="7"/>
  <c r="L62" i="7"/>
  <c r="P61" i="7"/>
  <c r="P277" i="7" s="1"/>
  <c r="M61" i="7"/>
  <c r="L61" i="7"/>
  <c r="P60" i="7"/>
  <c r="P276" i="7" s="1"/>
  <c r="M60" i="7"/>
  <c r="L60" i="7"/>
  <c r="P59" i="7"/>
  <c r="P275" i="7" s="1"/>
  <c r="M59" i="7"/>
  <c r="L59" i="7"/>
  <c r="P58" i="7"/>
  <c r="P274" i="7" s="1"/>
  <c r="M58" i="7"/>
  <c r="L58" i="7"/>
  <c r="P57" i="7"/>
  <c r="P273" i="7" s="1"/>
  <c r="M57" i="7"/>
  <c r="L57" i="7"/>
  <c r="P56" i="7"/>
  <c r="P272" i="7" s="1"/>
  <c r="M56" i="7"/>
  <c r="L56" i="7"/>
  <c r="P55" i="7"/>
  <c r="P271" i="7" s="1"/>
  <c r="M55" i="7"/>
  <c r="L55" i="7"/>
  <c r="P54" i="7"/>
  <c r="P270" i="7" s="1"/>
  <c r="M54" i="7"/>
  <c r="L54" i="7"/>
  <c r="P53" i="7"/>
  <c r="P269" i="7" s="1"/>
  <c r="M53" i="7"/>
  <c r="L53" i="7"/>
  <c r="P52" i="7"/>
  <c r="P268" i="7" s="1"/>
  <c r="M52" i="7"/>
  <c r="L52" i="7"/>
  <c r="P51" i="7"/>
  <c r="P267" i="7" s="1"/>
  <c r="M51" i="7"/>
  <c r="L51" i="7"/>
  <c r="P50" i="7"/>
  <c r="P266" i="7" s="1"/>
  <c r="M50" i="7"/>
  <c r="Q50" i="7" s="1"/>
  <c r="S50" i="7" s="1"/>
  <c r="P49" i="7"/>
  <c r="P265" i="7" s="1"/>
  <c r="M49" i="7"/>
  <c r="L49" i="7"/>
  <c r="P48" i="7"/>
  <c r="P264" i="7" s="1"/>
  <c r="M48" i="7"/>
  <c r="L48" i="7"/>
  <c r="P47" i="7"/>
  <c r="P263" i="7" s="1"/>
  <c r="M47" i="7"/>
  <c r="L47" i="7"/>
  <c r="P46" i="7"/>
  <c r="P262" i="7" s="1"/>
  <c r="M46" i="7"/>
  <c r="L46" i="7"/>
  <c r="P45" i="7"/>
  <c r="P261" i="7" s="1"/>
  <c r="M45" i="7"/>
  <c r="L45" i="7"/>
  <c r="P44" i="7"/>
  <c r="P260" i="7" s="1"/>
  <c r="M44" i="7"/>
  <c r="L44" i="7"/>
  <c r="P43" i="7"/>
  <c r="P259" i="7" s="1"/>
  <c r="M43" i="7"/>
  <c r="L43" i="7"/>
  <c r="P42" i="7"/>
  <c r="P258" i="7" s="1"/>
  <c r="M42" i="7"/>
  <c r="L42" i="7"/>
  <c r="P41" i="7"/>
  <c r="P257" i="7" s="1"/>
  <c r="M41" i="7"/>
  <c r="L41" i="7"/>
  <c r="P40" i="7"/>
  <c r="P256" i="7" s="1"/>
  <c r="M40" i="7"/>
  <c r="L40" i="7"/>
  <c r="P39" i="7"/>
  <c r="P255" i="7" s="1"/>
  <c r="M39" i="7"/>
  <c r="L39" i="7"/>
  <c r="P38" i="7"/>
  <c r="P254" i="7" s="1"/>
  <c r="M38" i="7"/>
  <c r="L38" i="7"/>
  <c r="P37" i="7"/>
  <c r="P253" i="7" s="1"/>
  <c r="M37" i="7"/>
  <c r="L37" i="7"/>
  <c r="P36" i="7"/>
  <c r="P252" i="7" s="1"/>
  <c r="M36" i="7"/>
  <c r="L36" i="7"/>
  <c r="P35" i="7"/>
  <c r="P251" i="7" s="1"/>
  <c r="M35" i="7"/>
  <c r="L35" i="7"/>
  <c r="P34" i="7"/>
  <c r="P250" i="7" s="1"/>
  <c r="M34" i="7"/>
  <c r="L34" i="7"/>
  <c r="P33" i="7"/>
  <c r="P249" i="7" s="1"/>
  <c r="M33" i="7"/>
  <c r="L33" i="7"/>
  <c r="P32" i="7"/>
  <c r="P248" i="7" s="1"/>
  <c r="M32" i="7"/>
  <c r="L32" i="7"/>
  <c r="P31" i="7"/>
  <c r="P247" i="7" s="1"/>
  <c r="M31" i="7"/>
  <c r="L31" i="7"/>
  <c r="P30" i="7"/>
  <c r="P246" i="7" s="1"/>
  <c r="M30" i="7"/>
  <c r="L30" i="7"/>
  <c r="P29" i="7"/>
  <c r="P245" i="7" s="1"/>
  <c r="M29" i="7"/>
  <c r="L29" i="7"/>
  <c r="P28" i="7"/>
  <c r="P244" i="7" s="1"/>
  <c r="M28" i="7"/>
  <c r="L28" i="7"/>
  <c r="P27" i="7"/>
  <c r="P243" i="7" s="1"/>
  <c r="M27" i="7"/>
  <c r="L27" i="7"/>
  <c r="P26" i="7"/>
  <c r="P242" i="7" s="1"/>
  <c r="M26" i="7"/>
  <c r="L26" i="7"/>
  <c r="P25" i="7"/>
  <c r="P241" i="7" s="1"/>
  <c r="M25" i="7"/>
  <c r="L25" i="7"/>
  <c r="Q25" i="7" s="1"/>
  <c r="P24" i="7"/>
  <c r="P240" i="7" s="1"/>
  <c r="M24" i="7"/>
  <c r="L24" i="7"/>
  <c r="P23" i="7"/>
  <c r="P239" i="7" s="1"/>
  <c r="M23" i="7"/>
  <c r="L23" i="7"/>
  <c r="P22" i="7"/>
  <c r="P238" i="7" s="1"/>
  <c r="M22" i="7"/>
  <c r="L22" i="7"/>
  <c r="P21" i="7"/>
  <c r="P237" i="7" s="1"/>
  <c r="M21" i="7"/>
  <c r="L21" i="7"/>
  <c r="P20" i="7"/>
  <c r="P236" i="7" s="1"/>
  <c r="M20" i="7"/>
  <c r="Q20" i="7" s="1"/>
  <c r="S20" i="7" s="1"/>
  <c r="P19" i="7"/>
  <c r="P235" i="7" s="1"/>
  <c r="M19" i="7"/>
  <c r="H233" i="7"/>
  <c r="H449" i="7" s="1"/>
  <c r="G233" i="7"/>
  <c r="G449" i="7" s="1"/>
  <c r="F233" i="7"/>
  <c r="F449" i="7" s="1"/>
  <c r="E233" i="7"/>
  <c r="E449" i="7" s="1"/>
  <c r="D233" i="7"/>
  <c r="D449" i="7" s="1"/>
  <c r="H232" i="7"/>
  <c r="H448" i="7" s="1"/>
  <c r="G232" i="7"/>
  <c r="G448" i="7" s="1"/>
  <c r="F232" i="7"/>
  <c r="F448" i="7" s="1"/>
  <c r="E232" i="7"/>
  <c r="E448" i="7" s="1"/>
  <c r="D232" i="7"/>
  <c r="D448" i="7" s="1"/>
  <c r="H231" i="7"/>
  <c r="H447" i="7" s="1"/>
  <c r="G231" i="7"/>
  <c r="G447" i="7" s="1"/>
  <c r="F231" i="7"/>
  <c r="F447" i="7" s="1"/>
  <c r="E231" i="7"/>
  <c r="E447" i="7" s="1"/>
  <c r="D231" i="7"/>
  <c r="D447" i="7" s="1"/>
  <c r="H230" i="7"/>
  <c r="H446" i="7" s="1"/>
  <c r="G230" i="7"/>
  <c r="G446" i="7" s="1"/>
  <c r="F230" i="7"/>
  <c r="F446" i="7" s="1"/>
  <c r="E230" i="7"/>
  <c r="E446" i="7" s="1"/>
  <c r="D230" i="7"/>
  <c r="D446" i="7" s="1"/>
  <c r="H229" i="7"/>
  <c r="H445" i="7" s="1"/>
  <c r="G229" i="7"/>
  <c r="G445" i="7" s="1"/>
  <c r="F229" i="7"/>
  <c r="F445" i="7" s="1"/>
  <c r="E229" i="7"/>
  <c r="E445" i="7" s="1"/>
  <c r="D229" i="7"/>
  <c r="D445" i="7" s="1"/>
  <c r="H228" i="7"/>
  <c r="H444" i="7" s="1"/>
  <c r="G228" i="7"/>
  <c r="G444" i="7" s="1"/>
  <c r="F228" i="7"/>
  <c r="F444" i="7" s="1"/>
  <c r="E228" i="7"/>
  <c r="E444" i="7" s="1"/>
  <c r="D228" i="7"/>
  <c r="D444" i="7" s="1"/>
  <c r="H227" i="7"/>
  <c r="H443" i="7" s="1"/>
  <c r="G227" i="7"/>
  <c r="G443" i="7" s="1"/>
  <c r="F227" i="7"/>
  <c r="F443" i="7" s="1"/>
  <c r="E227" i="7"/>
  <c r="E443" i="7" s="1"/>
  <c r="D227" i="7"/>
  <c r="D443" i="7" s="1"/>
  <c r="H226" i="7"/>
  <c r="H442" i="7" s="1"/>
  <c r="G226" i="7"/>
  <c r="G442" i="7" s="1"/>
  <c r="F226" i="7"/>
  <c r="F442" i="7" s="1"/>
  <c r="E226" i="7"/>
  <c r="E442" i="7" s="1"/>
  <c r="D226" i="7"/>
  <c r="D442" i="7" s="1"/>
  <c r="H225" i="7"/>
  <c r="H441" i="7" s="1"/>
  <c r="G225" i="7"/>
  <c r="G441" i="7" s="1"/>
  <c r="F225" i="7"/>
  <c r="F441" i="7" s="1"/>
  <c r="E225" i="7"/>
  <c r="E441" i="7" s="1"/>
  <c r="D225" i="7"/>
  <c r="D441" i="7" s="1"/>
  <c r="H224" i="7"/>
  <c r="H440" i="7" s="1"/>
  <c r="G224" i="7"/>
  <c r="G440" i="7" s="1"/>
  <c r="F224" i="7"/>
  <c r="F440" i="7" s="1"/>
  <c r="E224" i="7"/>
  <c r="E440" i="7" s="1"/>
  <c r="D224" i="7"/>
  <c r="D440" i="7" s="1"/>
  <c r="H223" i="7"/>
  <c r="H439" i="7" s="1"/>
  <c r="G223" i="7"/>
  <c r="G439" i="7" s="1"/>
  <c r="F223" i="7"/>
  <c r="F439" i="7" s="1"/>
  <c r="E223" i="7"/>
  <c r="E439" i="7" s="1"/>
  <c r="D223" i="7"/>
  <c r="D439" i="7" s="1"/>
  <c r="H222" i="7"/>
  <c r="H438" i="7" s="1"/>
  <c r="G222" i="7"/>
  <c r="G438" i="7" s="1"/>
  <c r="F222" i="7"/>
  <c r="F438" i="7" s="1"/>
  <c r="E222" i="7"/>
  <c r="E438" i="7" s="1"/>
  <c r="D222" i="7"/>
  <c r="D438" i="7" s="1"/>
  <c r="H221" i="7"/>
  <c r="H437" i="7" s="1"/>
  <c r="G221" i="7"/>
  <c r="G437" i="7" s="1"/>
  <c r="F221" i="7"/>
  <c r="F437" i="7" s="1"/>
  <c r="E221" i="7"/>
  <c r="E437" i="7" s="1"/>
  <c r="D221" i="7"/>
  <c r="D437" i="7" s="1"/>
  <c r="H220" i="7"/>
  <c r="H436" i="7" s="1"/>
  <c r="G220" i="7"/>
  <c r="G436" i="7" s="1"/>
  <c r="F220" i="7"/>
  <c r="F436" i="7" s="1"/>
  <c r="E220" i="7"/>
  <c r="E436" i="7" s="1"/>
  <c r="D220" i="7"/>
  <c r="D436" i="7" s="1"/>
  <c r="H219" i="7"/>
  <c r="H435" i="7" s="1"/>
  <c r="G219" i="7"/>
  <c r="G435" i="7" s="1"/>
  <c r="F219" i="7"/>
  <c r="F435" i="7" s="1"/>
  <c r="E219" i="7"/>
  <c r="E435" i="7" s="1"/>
  <c r="D219" i="7"/>
  <c r="D435" i="7" s="1"/>
  <c r="H218" i="7"/>
  <c r="H434" i="7" s="1"/>
  <c r="G218" i="7"/>
  <c r="G434" i="7" s="1"/>
  <c r="F218" i="7"/>
  <c r="F434" i="7" s="1"/>
  <c r="E218" i="7"/>
  <c r="E434" i="7" s="1"/>
  <c r="D218" i="7"/>
  <c r="D434" i="7" s="1"/>
  <c r="H217" i="7"/>
  <c r="H433" i="7" s="1"/>
  <c r="G217" i="7"/>
  <c r="G433" i="7" s="1"/>
  <c r="F217" i="7"/>
  <c r="F433" i="7" s="1"/>
  <c r="E217" i="7"/>
  <c r="E433" i="7" s="1"/>
  <c r="D217" i="7"/>
  <c r="D433" i="7" s="1"/>
  <c r="H216" i="7"/>
  <c r="H432" i="7" s="1"/>
  <c r="G216" i="7"/>
  <c r="G432" i="7" s="1"/>
  <c r="F216" i="7"/>
  <c r="F432" i="7" s="1"/>
  <c r="E216" i="7"/>
  <c r="E432" i="7" s="1"/>
  <c r="D216" i="7"/>
  <c r="D432" i="7" s="1"/>
  <c r="H215" i="7"/>
  <c r="H431" i="7" s="1"/>
  <c r="G215" i="7"/>
  <c r="G431" i="7" s="1"/>
  <c r="F215" i="7"/>
  <c r="F431" i="7" s="1"/>
  <c r="E215" i="7"/>
  <c r="E431" i="7" s="1"/>
  <c r="D215" i="7"/>
  <c r="D431" i="7" s="1"/>
  <c r="H214" i="7"/>
  <c r="H430" i="7" s="1"/>
  <c r="G214" i="7"/>
  <c r="G430" i="7" s="1"/>
  <c r="F214" i="7"/>
  <c r="F430" i="7" s="1"/>
  <c r="E214" i="7"/>
  <c r="E430" i="7" s="1"/>
  <c r="D214" i="7"/>
  <c r="D430" i="7" s="1"/>
  <c r="H213" i="7"/>
  <c r="H429" i="7" s="1"/>
  <c r="G213" i="7"/>
  <c r="G429" i="7" s="1"/>
  <c r="F213" i="7"/>
  <c r="F429" i="7" s="1"/>
  <c r="E213" i="7"/>
  <c r="E429" i="7" s="1"/>
  <c r="D213" i="7"/>
  <c r="D429" i="7" s="1"/>
  <c r="H212" i="7"/>
  <c r="H428" i="7" s="1"/>
  <c r="G212" i="7"/>
  <c r="G428" i="7" s="1"/>
  <c r="F212" i="7"/>
  <c r="F428" i="7" s="1"/>
  <c r="E212" i="7"/>
  <c r="E428" i="7" s="1"/>
  <c r="D212" i="7"/>
  <c r="D428" i="7" s="1"/>
  <c r="H211" i="7"/>
  <c r="H427" i="7" s="1"/>
  <c r="G211" i="7"/>
  <c r="G427" i="7" s="1"/>
  <c r="F211" i="7"/>
  <c r="F427" i="7" s="1"/>
  <c r="E211" i="7"/>
  <c r="E427" i="7" s="1"/>
  <c r="D211" i="7"/>
  <c r="D427" i="7" s="1"/>
  <c r="H210" i="7"/>
  <c r="H426" i="7" s="1"/>
  <c r="G210" i="7"/>
  <c r="G426" i="7" s="1"/>
  <c r="F210" i="7"/>
  <c r="F426" i="7" s="1"/>
  <c r="E210" i="7"/>
  <c r="E426" i="7" s="1"/>
  <c r="D210" i="7"/>
  <c r="D426" i="7" s="1"/>
  <c r="H209" i="7"/>
  <c r="H425" i="7" s="1"/>
  <c r="G209" i="7"/>
  <c r="G425" i="7" s="1"/>
  <c r="F209" i="7"/>
  <c r="F425" i="7" s="1"/>
  <c r="E209" i="7"/>
  <c r="E425" i="7" s="1"/>
  <c r="D209" i="7"/>
  <c r="D425" i="7" s="1"/>
  <c r="H208" i="7"/>
  <c r="H424" i="7" s="1"/>
  <c r="G208" i="7"/>
  <c r="G424" i="7" s="1"/>
  <c r="F208" i="7"/>
  <c r="F424" i="7" s="1"/>
  <c r="E208" i="7"/>
  <c r="E424" i="7" s="1"/>
  <c r="D208" i="7"/>
  <c r="D424" i="7" s="1"/>
  <c r="H207" i="7"/>
  <c r="H423" i="7" s="1"/>
  <c r="G207" i="7"/>
  <c r="G423" i="7" s="1"/>
  <c r="F207" i="7"/>
  <c r="F423" i="7" s="1"/>
  <c r="E207" i="7"/>
  <c r="E423" i="7" s="1"/>
  <c r="D207" i="7"/>
  <c r="D423" i="7" s="1"/>
  <c r="H206" i="7"/>
  <c r="H422" i="7" s="1"/>
  <c r="G206" i="7"/>
  <c r="G422" i="7" s="1"/>
  <c r="F206" i="7"/>
  <c r="F422" i="7" s="1"/>
  <c r="E206" i="7"/>
  <c r="E422" i="7" s="1"/>
  <c r="D206" i="7"/>
  <c r="D422" i="7" s="1"/>
  <c r="H205" i="7"/>
  <c r="H421" i="7" s="1"/>
  <c r="G205" i="7"/>
  <c r="G421" i="7" s="1"/>
  <c r="F205" i="7"/>
  <c r="F421" i="7" s="1"/>
  <c r="E205" i="7"/>
  <c r="E421" i="7" s="1"/>
  <c r="D205" i="7"/>
  <c r="D421" i="7" s="1"/>
  <c r="H204" i="7"/>
  <c r="H420" i="7" s="1"/>
  <c r="G204" i="7"/>
  <c r="G420" i="7" s="1"/>
  <c r="F204" i="7"/>
  <c r="F420" i="7" s="1"/>
  <c r="E204" i="7"/>
  <c r="E420" i="7" s="1"/>
  <c r="D204" i="7"/>
  <c r="D420" i="7" s="1"/>
  <c r="H203" i="7"/>
  <c r="H419" i="7" s="1"/>
  <c r="G203" i="7"/>
  <c r="G419" i="7" s="1"/>
  <c r="F203" i="7"/>
  <c r="F419" i="7" s="1"/>
  <c r="E203" i="7"/>
  <c r="E419" i="7" s="1"/>
  <c r="D203" i="7"/>
  <c r="D419" i="7" s="1"/>
  <c r="H202" i="7"/>
  <c r="H418" i="7" s="1"/>
  <c r="G202" i="7"/>
  <c r="G418" i="7" s="1"/>
  <c r="F202" i="7"/>
  <c r="F418" i="7" s="1"/>
  <c r="E202" i="7"/>
  <c r="E418" i="7" s="1"/>
  <c r="D202" i="7"/>
  <c r="D418" i="7" s="1"/>
  <c r="H201" i="7"/>
  <c r="H417" i="7" s="1"/>
  <c r="G201" i="7"/>
  <c r="G417" i="7" s="1"/>
  <c r="F201" i="7"/>
  <c r="F417" i="7" s="1"/>
  <c r="E201" i="7"/>
  <c r="E417" i="7" s="1"/>
  <c r="D201" i="7"/>
  <c r="D417" i="7" s="1"/>
  <c r="H200" i="7"/>
  <c r="H416" i="7" s="1"/>
  <c r="G200" i="7"/>
  <c r="G416" i="7" s="1"/>
  <c r="F200" i="7"/>
  <c r="F416" i="7" s="1"/>
  <c r="E200" i="7"/>
  <c r="E416" i="7" s="1"/>
  <c r="D200" i="7"/>
  <c r="D416" i="7" s="1"/>
  <c r="H199" i="7"/>
  <c r="H415" i="7" s="1"/>
  <c r="G199" i="7"/>
  <c r="G415" i="7" s="1"/>
  <c r="F199" i="7"/>
  <c r="F415" i="7" s="1"/>
  <c r="E199" i="7"/>
  <c r="E415" i="7" s="1"/>
  <c r="D199" i="7"/>
  <c r="D415" i="7" s="1"/>
  <c r="H198" i="7"/>
  <c r="H414" i="7" s="1"/>
  <c r="G198" i="7"/>
  <c r="G414" i="7" s="1"/>
  <c r="F198" i="7"/>
  <c r="F414" i="7" s="1"/>
  <c r="E198" i="7"/>
  <c r="E414" i="7" s="1"/>
  <c r="D198" i="7"/>
  <c r="D414" i="7" s="1"/>
  <c r="H197" i="7"/>
  <c r="H413" i="7" s="1"/>
  <c r="G197" i="7"/>
  <c r="G413" i="7" s="1"/>
  <c r="F197" i="7"/>
  <c r="F413" i="7" s="1"/>
  <c r="E197" i="7"/>
  <c r="E413" i="7" s="1"/>
  <c r="D197" i="7"/>
  <c r="D413" i="7" s="1"/>
  <c r="H196" i="7"/>
  <c r="H412" i="7" s="1"/>
  <c r="G196" i="7"/>
  <c r="G412" i="7" s="1"/>
  <c r="F196" i="7"/>
  <c r="F412" i="7" s="1"/>
  <c r="E196" i="7"/>
  <c r="E412" i="7" s="1"/>
  <c r="D196" i="7"/>
  <c r="D412" i="7" s="1"/>
  <c r="H195" i="7"/>
  <c r="H411" i="7" s="1"/>
  <c r="G195" i="7"/>
  <c r="G411" i="7" s="1"/>
  <c r="F195" i="7"/>
  <c r="F411" i="7" s="1"/>
  <c r="E195" i="7"/>
  <c r="E411" i="7" s="1"/>
  <c r="D195" i="7"/>
  <c r="D411" i="7" s="1"/>
  <c r="H194" i="7"/>
  <c r="H410" i="7" s="1"/>
  <c r="G194" i="7"/>
  <c r="G410" i="7" s="1"/>
  <c r="F194" i="7"/>
  <c r="F410" i="7" s="1"/>
  <c r="E194" i="7"/>
  <c r="E410" i="7" s="1"/>
  <c r="D194" i="7"/>
  <c r="D410" i="7" s="1"/>
  <c r="H193" i="7"/>
  <c r="H409" i="7" s="1"/>
  <c r="G193" i="7"/>
  <c r="G409" i="7" s="1"/>
  <c r="F193" i="7"/>
  <c r="F409" i="7" s="1"/>
  <c r="E193" i="7"/>
  <c r="E409" i="7" s="1"/>
  <c r="D193" i="7"/>
  <c r="D409" i="7" s="1"/>
  <c r="H192" i="7"/>
  <c r="H408" i="7" s="1"/>
  <c r="G192" i="7"/>
  <c r="G408" i="7" s="1"/>
  <c r="F192" i="7"/>
  <c r="F408" i="7" s="1"/>
  <c r="E192" i="7"/>
  <c r="E408" i="7" s="1"/>
  <c r="D192" i="7"/>
  <c r="D408" i="7" s="1"/>
  <c r="H191" i="7"/>
  <c r="H407" i="7" s="1"/>
  <c r="G191" i="7"/>
  <c r="G407" i="7" s="1"/>
  <c r="F191" i="7"/>
  <c r="F407" i="7" s="1"/>
  <c r="E191" i="7"/>
  <c r="E407" i="7" s="1"/>
  <c r="D191" i="7"/>
  <c r="D407" i="7" s="1"/>
  <c r="H190" i="7"/>
  <c r="H406" i="7" s="1"/>
  <c r="G190" i="7"/>
  <c r="G406" i="7" s="1"/>
  <c r="F190" i="7"/>
  <c r="F406" i="7" s="1"/>
  <c r="E190" i="7"/>
  <c r="E406" i="7" s="1"/>
  <c r="D190" i="7"/>
  <c r="D406" i="7" s="1"/>
  <c r="H189" i="7"/>
  <c r="H405" i="7" s="1"/>
  <c r="G189" i="7"/>
  <c r="G405" i="7" s="1"/>
  <c r="F189" i="7"/>
  <c r="F405" i="7" s="1"/>
  <c r="E189" i="7"/>
  <c r="E405" i="7" s="1"/>
  <c r="D189" i="7"/>
  <c r="D405" i="7" s="1"/>
  <c r="H188" i="7"/>
  <c r="H404" i="7" s="1"/>
  <c r="G188" i="7"/>
  <c r="G404" i="7" s="1"/>
  <c r="F188" i="7"/>
  <c r="F404" i="7" s="1"/>
  <c r="E188" i="7"/>
  <c r="E404" i="7" s="1"/>
  <c r="D188" i="7"/>
  <c r="D404" i="7" s="1"/>
  <c r="H187" i="7"/>
  <c r="H403" i="7" s="1"/>
  <c r="G187" i="7"/>
  <c r="G403" i="7" s="1"/>
  <c r="F187" i="7"/>
  <c r="F403" i="7" s="1"/>
  <c r="E187" i="7"/>
  <c r="E403" i="7" s="1"/>
  <c r="D187" i="7"/>
  <c r="D403" i="7" s="1"/>
  <c r="H186" i="7"/>
  <c r="H402" i="7" s="1"/>
  <c r="G186" i="7"/>
  <c r="G402" i="7" s="1"/>
  <c r="F186" i="7"/>
  <c r="F402" i="7" s="1"/>
  <c r="E186" i="7"/>
  <c r="E402" i="7" s="1"/>
  <c r="D186" i="7"/>
  <c r="D402" i="7" s="1"/>
  <c r="H185" i="7"/>
  <c r="H401" i="7" s="1"/>
  <c r="G185" i="7"/>
  <c r="G401" i="7" s="1"/>
  <c r="F185" i="7"/>
  <c r="F401" i="7" s="1"/>
  <c r="E185" i="7"/>
  <c r="E401" i="7" s="1"/>
  <c r="D185" i="7"/>
  <c r="D401" i="7" s="1"/>
  <c r="H184" i="7"/>
  <c r="H400" i="7" s="1"/>
  <c r="G184" i="7"/>
  <c r="G400" i="7" s="1"/>
  <c r="F184" i="7"/>
  <c r="F400" i="7" s="1"/>
  <c r="E184" i="7"/>
  <c r="E400" i="7" s="1"/>
  <c r="D184" i="7"/>
  <c r="D400" i="7" s="1"/>
  <c r="H183" i="7"/>
  <c r="H399" i="7" s="1"/>
  <c r="G183" i="7"/>
  <c r="G399" i="7" s="1"/>
  <c r="F183" i="7"/>
  <c r="F399" i="7" s="1"/>
  <c r="E183" i="7"/>
  <c r="E399" i="7" s="1"/>
  <c r="D183" i="7"/>
  <c r="D399" i="7" s="1"/>
  <c r="H182" i="7"/>
  <c r="H398" i="7" s="1"/>
  <c r="G182" i="7"/>
  <c r="G398" i="7" s="1"/>
  <c r="F182" i="7"/>
  <c r="F398" i="7" s="1"/>
  <c r="E182" i="7"/>
  <c r="E398" i="7" s="1"/>
  <c r="D182" i="7"/>
  <c r="D398" i="7" s="1"/>
  <c r="H181" i="7"/>
  <c r="H397" i="7" s="1"/>
  <c r="G181" i="7"/>
  <c r="G397" i="7" s="1"/>
  <c r="F181" i="7"/>
  <c r="F397" i="7" s="1"/>
  <c r="E181" i="7"/>
  <c r="E397" i="7" s="1"/>
  <c r="D181" i="7"/>
  <c r="D397" i="7" s="1"/>
  <c r="H180" i="7"/>
  <c r="H396" i="7" s="1"/>
  <c r="G180" i="7"/>
  <c r="G396" i="7" s="1"/>
  <c r="F180" i="7"/>
  <c r="F396" i="7" s="1"/>
  <c r="E180" i="7"/>
  <c r="E396" i="7" s="1"/>
  <c r="D180" i="7"/>
  <c r="D396" i="7" s="1"/>
  <c r="H179" i="7"/>
  <c r="H395" i="7" s="1"/>
  <c r="G179" i="7"/>
  <c r="G395" i="7" s="1"/>
  <c r="F179" i="7"/>
  <c r="F395" i="7" s="1"/>
  <c r="E179" i="7"/>
  <c r="E395" i="7" s="1"/>
  <c r="D179" i="7"/>
  <c r="D395" i="7" s="1"/>
  <c r="H178" i="7"/>
  <c r="H394" i="7" s="1"/>
  <c r="G178" i="7"/>
  <c r="G394" i="7" s="1"/>
  <c r="F178" i="7"/>
  <c r="F394" i="7" s="1"/>
  <c r="E178" i="7"/>
  <c r="E394" i="7" s="1"/>
  <c r="D178" i="7"/>
  <c r="D394" i="7" s="1"/>
  <c r="H177" i="7"/>
  <c r="H393" i="7" s="1"/>
  <c r="G177" i="7"/>
  <c r="G393" i="7" s="1"/>
  <c r="F177" i="7"/>
  <c r="F393" i="7" s="1"/>
  <c r="E177" i="7"/>
  <c r="E393" i="7" s="1"/>
  <c r="D177" i="7"/>
  <c r="D393" i="7" s="1"/>
  <c r="H176" i="7"/>
  <c r="H392" i="7" s="1"/>
  <c r="G176" i="7"/>
  <c r="G392" i="7" s="1"/>
  <c r="F176" i="7"/>
  <c r="F392" i="7" s="1"/>
  <c r="E176" i="7"/>
  <c r="E392" i="7" s="1"/>
  <c r="D176" i="7"/>
  <c r="D392" i="7" s="1"/>
  <c r="H175" i="7"/>
  <c r="H391" i="7" s="1"/>
  <c r="G175" i="7"/>
  <c r="G391" i="7" s="1"/>
  <c r="F175" i="7"/>
  <c r="F391" i="7" s="1"/>
  <c r="E175" i="7"/>
  <c r="E391" i="7" s="1"/>
  <c r="D175" i="7"/>
  <c r="D391" i="7" s="1"/>
  <c r="H174" i="7"/>
  <c r="H390" i="7" s="1"/>
  <c r="G174" i="7"/>
  <c r="G390" i="7" s="1"/>
  <c r="F174" i="7"/>
  <c r="F390" i="7" s="1"/>
  <c r="E174" i="7"/>
  <c r="E390" i="7" s="1"/>
  <c r="D174" i="7"/>
  <c r="D390" i="7" s="1"/>
  <c r="H173" i="7"/>
  <c r="H389" i="7" s="1"/>
  <c r="G173" i="7"/>
  <c r="G389" i="7" s="1"/>
  <c r="F173" i="7"/>
  <c r="F389" i="7" s="1"/>
  <c r="E173" i="7"/>
  <c r="E389" i="7" s="1"/>
  <c r="D173" i="7"/>
  <c r="D389" i="7" s="1"/>
  <c r="H172" i="7"/>
  <c r="H388" i="7" s="1"/>
  <c r="G172" i="7"/>
  <c r="G388" i="7" s="1"/>
  <c r="F172" i="7"/>
  <c r="F388" i="7" s="1"/>
  <c r="E172" i="7"/>
  <c r="E388" i="7" s="1"/>
  <c r="D172" i="7"/>
  <c r="D388" i="7" s="1"/>
  <c r="H171" i="7"/>
  <c r="H387" i="7" s="1"/>
  <c r="G171" i="7"/>
  <c r="G387" i="7" s="1"/>
  <c r="F171" i="7"/>
  <c r="F387" i="7" s="1"/>
  <c r="E171" i="7"/>
  <c r="E387" i="7" s="1"/>
  <c r="D171" i="7"/>
  <c r="D387" i="7" s="1"/>
  <c r="H170" i="7"/>
  <c r="H386" i="7" s="1"/>
  <c r="G170" i="7"/>
  <c r="G386" i="7" s="1"/>
  <c r="F170" i="7"/>
  <c r="F386" i="7" s="1"/>
  <c r="E170" i="7"/>
  <c r="E386" i="7" s="1"/>
  <c r="D170" i="7"/>
  <c r="D386" i="7" s="1"/>
  <c r="H169" i="7"/>
  <c r="H385" i="7" s="1"/>
  <c r="G169" i="7"/>
  <c r="G385" i="7" s="1"/>
  <c r="F169" i="7"/>
  <c r="F385" i="7" s="1"/>
  <c r="E169" i="7"/>
  <c r="E385" i="7" s="1"/>
  <c r="D169" i="7"/>
  <c r="D385" i="7" s="1"/>
  <c r="H168" i="7"/>
  <c r="H384" i="7" s="1"/>
  <c r="G168" i="7"/>
  <c r="G384" i="7" s="1"/>
  <c r="F168" i="7"/>
  <c r="F384" i="7" s="1"/>
  <c r="E168" i="7"/>
  <c r="E384" i="7" s="1"/>
  <c r="D168" i="7"/>
  <c r="D384" i="7" s="1"/>
  <c r="H167" i="7"/>
  <c r="H383" i="7" s="1"/>
  <c r="G167" i="7"/>
  <c r="G383" i="7" s="1"/>
  <c r="F167" i="7"/>
  <c r="F383" i="7" s="1"/>
  <c r="E167" i="7"/>
  <c r="E383" i="7" s="1"/>
  <c r="D167" i="7"/>
  <c r="D383" i="7" s="1"/>
  <c r="H166" i="7"/>
  <c r="H382" i="7" s="1"/>
  <c r="G166" i="7"/>
  <c r="G382" i="7" s="1"/>
  <c r="F166" i="7"/>
  <c r="F382" i="7" s="1"/>
  <c r="E166" i="7"/>
  <c r="E382" i="7" s="1"/>
  <c r="D166" i="7"/>
  <c r="D382" i="7" s="1"/>
  <c r="H165" i="7"/>
  <c r="H381" i="7" s="1"/>
  <c r="G165" i="7"/>
  <c r="G381" i="7" s="1"/>
  <c r="F165" i="7"/>
  <c r="F381" i="7" s="1"/>
  <c r="E165" i="7"/>
  <c r="E381" i="7" s="1"/>
  <c r="D165" i="7"/>
  <c r="D381" i="7" s="1"/>
  <c r="H164" i="7"/>
  <c r="H380" i="7" s="1"/>
  <c r="G164" i="7"/>
  <c r="G380" i="7" s="1"/>
  <c r="F164" i="7"/>
  <c r="F380" i="7" s="1"/>
  <c r="E164" i="7"/>
  <c r="E380" i="7" s="1"/>
  <c r="D164" i="7"/>
  <c r="D380" i="7" s="1"/>
  <c r="H163" i="7"/>
  <c r="H379" i="7" s="1"/>
  <c r="G163" i="7"/>
  <c r="G379" i="7" s="1"/>
  <c r="F163" i="7"/>
  <c r="F379" i="7" s="1"/>
  <c r="E163" i="7"/>
  <c r="E379" i="7" s="1"/>
  <c r="D163" i="7"/>
  <c r="D379" i="7" s="1"/>
  <c r="H162" i="7"/>
  <c r="H378" i="7" s="1"/>
  <c r="G162" i="7"/>
  <c r="G378" i="7" s="1"/>
  <c r="F162" i="7"/>
  <c r="F378" i="7" s="1"/>
  <c r="E162" i="7"/>
  <c r="E378" i="7" s="1"/>
  <c r="D162" i="7"/>
  <c r="D378" i="7" s="1"/>
  <c r="H161" i="7"/>
  <c r="H377" i="7" s="1"/>
  <c r="G161" i="7"/>
  <c r="G377" i="7" s="1"/>
  <c r="F161" i="7"/>
  <c r="F377" i="7" s="1"/>
  <c r="E161" i="7"/>
  <c r="E377" i="7" s="1"/>
  <c r="D161" i="7"/>
  <c r="D377" i="7" s="1"/>
  <c r="H160" i="7"/>
  <c r="H376" i="7" s="1"/>
  <c r="G160" i="7"/>
  <c r="G376" i="7" s="1"/>
  <c r="F160" i="7"/>
  <c r="F376" i="7" s="1"/>
  <c r="E160" i="7"/>
  <c r="E376" i="7" s="1"/>
  <c r="D160" i="7"/>
  <c r="D376" i="7" s="1"/>
  <c r="H159" i="7"/>
  <c r="H375" i="7" s="1"/>
  <c r="G159" i="7"/>
  <c r="G375" i="7" s="1"/>
  <c r="F159" i="7"/>
  <c r="F375" i="7" s="1"/>
  <c r="E159" i="7"/>
  <c r="E375" i="7" s="1"/>
  <c r="D159" i="7"/>
  <c r="D375" i="7" s="1"/>
  <c r="H158" i="7"/>
  <c r="H374" i="7" s="1"/>
  <c r="G158" i="7"/>
  <c r="G374" i="7" s="1"/>
  <c r="F158" i="7"/>
  <c r="F374" i="7" s="1"/>
  <c r="E158" i="7"/>
  <c r="E374" i="7" s="1"/>
  <c r="D158" i="7"/>
  <c r="D374" i="7" s="1"/>
  <c r="H157" i="7"/>
  <c r="H373" i="7" s="1"/>
  <c r="G157" i="7"/>
  <c r="G373" i="7" s="1"/>
  <c r="F157" i="7"/>
  <c r="F373" i="7" s="1"/>
  <c r="E157" i="7"/>
  <c r="E373" i="7" s="1"/>
  <c r="D157" i="7"/>
  <c r="D373" i="7" s="1"/>
  <c r="H156" i="7"/>
  <c r="H372" i="7" s="1"/>
  <c r="G156" i="7"/>
  <c r="G372" i="7" s="1"/>
  <c r="F156" i="7"/>
  <c r="F372" i="7" s="1"/>
  <c r="E156" i="7"/>
  <c r="E372" i="7" s="1"/>
  <c r="D156" i="7"/>
  <c r="D372" i="7" s="1"/>
  <c r="H155" i="7"/>
  <c r="H371" i="7" s="1"/>
  <c r="G155" i="7"/>
  <c r="G371" i="7" s="1"/>
  <c r="F155" i="7"/>
  <c r="F371" i="7" s="1"/>
  <c r="E155" i="7"/>
  <c r="E371" i="7" s="1"/>
  <c r="D155" i="7"/>
  <c r="D371" i="7" s="1"/>
  <c r="H154" i="7"/>
  <c r="H370" i="7" s="1"/>
  <c r="G154" i="7"/>
  <c r="G370" i="7" s="1"/>
  <c r="F154" i="7"/>
  <c r="F370" i="7" s="1"/>
  <c r="E154" i="7"/>
  <c r="E370" i="7" s="1"/>
  <c r="D154" i="7"/>
  <c r="D370" i="7" s="1"/>
  <c r="H153" i="7"/>
  <c r="H369" i="7" s="1"/>
  <c r="G153" i="7"/>
  <c r="G369" i="7" s="1"/>
  <c r="F153" i="7"/>
  <c r="F369" i="7" s="1"/>
  <c r="E153" i="7"/>
  <c r="E369" i="7" s="1"/>
  <c r="D153" i="7"/>
  <c r="D369" i="7" s="1"/>
  <c r="H152" i="7"/>
  <c r="H368" i="7" s="1"/>
  <c r="G152" i="7"/>
  <c r="G368" i="7" s="1"/>
  <c r="F152" i="7"/>
  <c r="F368" i="7" s="1"/>
  <c r="E152" i="7"/>
  <c r="E368" i="7" s="1"/>
  <c r="D152" i="7"/>
  <c r="D368" i="7" s="1"/>
  <c r="H151" i="7"/>
  <c r="H367" i="7" s="1"/>
  <c r="G151" i="7"/>
  <c r="G367" i="7" s="1"/>
  <c r="F151" i="7"/>
  <c r="F367" i="7" s="1"/>
  <c r="E151" i="7"/>
  <c r="E367" i="7" s="1"/>
  <c r="D151" i="7"/>
  <c r="D367" i="7" s="1"/>
  <c r="H150" i="7"/>
  <c r="H366" i="7" s="1"/>
  <c r="G150" i="7"/>
  <c r="G366" i="7" s="1"/>
  <c r="F150" i="7"/>
  <c r="F366" i="7" s="1"/>
  <c r="E150" i="7"/>
  <c r="E366" i="7" s="1"/>
  <c r="D150" i="7"/>
  <c r="D366" i="7" s="1"/>
  <c r="H149" i="7"/>
  <c r="H365" i="7" s="1"/>
  <c r="G149" i="7"/>
  <c r="G365" i="7" s="1"/>
  <c r="F149" i="7"/>
  <c r="F365" i="7" s="1"/>
  <c r="E149" i="7"/>
  <c r="E365" i="7" s="1"/>
  <c r="D149" i="7"/>
  <c r="D365" i="7" s="1"/>
  <c r="H148" i="7"/>
  <c r="H364" i="7" s="1"/>
  <c r="G148" i="7"/>
  <c r="G364" i="7" s="1"/>
  <c r="F148" i="7"/>
  <c r="F364" i="7" s="1"/>
  <c r="E148" i="7"/>
  <c r="E364" i="7" s="1"/>
  <c r="D148" i="7"/>
  <c r="D364" i="7" s="1"/>
  <c r="H147" i="7"/>
  <c r="H363" i="7" s="1"/>
  <c r="G147" i="7"/>
  <c r="G363" i="7" s="1"/>
  <c r="F147" i="7"/>
  <c r="F363" i="7" s="1"/>
  <c r="E147" i="7"/>
  <c r="E363" i="7" s="1"/>
  <c r="D147" i="7"/>
  <c r="D363" i="7" s="1"/>
  <c r="H146" i="7"/>
  <c r="H362" i="7" s="1"/>
  <c r="G146" i="7"/>
  <c r="G362" i="7" s="1"/>
  <c r="F146" i="7"/>
  <c r="F362" i="7" s="1"/>
  <c r="E146" i="7"/>
  <c r="E362" i="7" s="1"/>
  <c r="D146" i="7"/>
  <c r="D362" i="7" s="1"/>
  <c r="H145" i="7"/>
  <c r="H361" i="7" s="1"/>
  <c r="G145" i="7"/>
  <c r="G361" i="7" s="1"/>
  <c r="F145" i="7"/>
  <c r="F361" i="7" s="1"/>
  <c r="E145" i="7"/>
  <c r="E361" i="7" s="1"/>
  <c r="D145" i="7"/>
  <c r="D361" i="7" s="1"/>
  <c r="H144" i="7"/>
  <c r="H360" i="7" s="1"/>
  <c r="G144" i="7"/>
  <c r="G360" i="7" s="1"/>
  <c r="F144" i="7"/>
  <c r="F360" i="7" s="1"/>
  <c r="E144" i="7"/>
  <c r="E360" i="7" s="1"/>
  <c r="D144" i="7"/>
  <c r="D360" i="7" s="1"/>
  <c r="H143" i="7"/>
  <c r="H359" i="7" s="1"/>
  <c r="G143" i="7"/>
  <c r="G359" i="7" s="1"/>
  <c r="F143" i="7"/>
  <c r="F359" i="7" s="1"/>
  <c r="E143" i="7"/>
  <c r="E359" i="7" s="1"/>
  <c r="D143" i="7"/>
  <c r="D359" i="7" s="1"/>
  <c r="H142" i="7"/>
  <c r="H358" i="7" s="1"/>
  <c r="G142" i="7"/>
  <c r="G358" i="7" s="1"/>
  <c r="F142" i="7"/>
  <c r="F358" i="7" s="1"/>
  <c r="E142" i="7"/>
  <c r="E358" i="7" s="1"/>
  <c r="D142" i="7"/>
  <c r="D358" i="7" s="1"/>
  <c r="H141" i="7"/>
  <c r="H357" i="7" s="1"/>
  <c r="G141" i="7"/>
  <c r="G357" i="7" s="1"/>
  <c r="F141" i="7"/>
  <c r="F357" i="7" s="1"/>
  <c r="E141" i="7"/>
  <c r="E357" i="7" s="1"/>
  <c r="D141" i="7"/>
  <c r="D357" i="7" s="1"/>
  <c r="H140" i="7"/>
  <c r="H356" i="7" s="1"/>
  <c r="G140" i="7"/>
  <c r="G356" i="7" s="1"/>
  <c r="F140" i="7"/>
  <c r="F356" i="7" s="1"/>
  <c r="E140" i="7"/>
  <c r="E356" i="7" s="1"/>
  <c r="D140" i="7"/>
  <c r="D356" i="7" s="1"/>
  <c r="H139" i="7"/>
  <c r="H355" i="7" s="1"/>
  <c r="G139" i="7"/>
  <c r="G355" i="7" s="1"/>
  <c r="F139" i="7"/>
  <c r="F355" i="7" s="1"/>
  <c r="E139" i="7"/>
  <c r="E355" i="7" s="1"/>
  <c r="D139" i="7"/>
  <c r="D355" i="7" s="1"/>
  <c r="H138" i="7"/>
  <c r="H354" i="7" s="1"/>
  <c r="G138" i="7"/>
  <c r="G354" i="7" s="1"/>
  <c r="F138" i="7"/>
  <c r="F354" i="7" s="1"/>
  <c r="E138" i="7"/>
  <c r="E354" i="7" s="1"/>
  <c r="D138" i="7"/>
  <c r="D354" i="7" s="1"/>
  <c r="H137" i="7"/>
  <c r="H353" i="7" s="1"/>
  <c r="G137" i="7"/>
  <c r="G353" i="7" s="1"/>
  <c r="F137" i="7"/>
  <c r="F353" i="7" s="1"/>
  <c r="E137" i="7"/>
  <c r="E353" i="7" s="1"/>
  <c r="D137" i="7"/>
  <c r="D353" i="7" s="1"/>
  <c r="H136" i="7"/>
  <c r="H352" i="7" s="1"/>
  <c r="G136" i="7"/>
  <c r="G352" i="7" s="1"/>
  <c r="F136" i="7"/>
  <c r="F352" i="7" s="1"/>
  <c r="E136" i="7"/>
  <c r="E352" i="7" s="1"/>
  <c r="D136" i="7"/>
  <c r="D352" i="7" s="1"/>
  <c r="H135" i="7"/>
  <c r="H351" i="7" s="1"/>
  <c r="G135" i="7"/>
  <c r="G351" i="7" s="1"/>
  <c r="F135" i="7"/>
  <c r="F351" i="7" s="1"/>
  <c r="E135" i="7"/>
  <c r="E351" i="7" s="1"/>
  <c r="D135" i="7"/>
  <c r="D351" i="7" s="1"/>
  <c r="H134" i="7"/>
  <c r="H350" i="7" s="1"/>
  <c r="G134" i="7"/>
  <c r="G350" i="7" s="1"/>
  <c r="F134" i="7"/>
  <c r="F350" i="7" s="1"/>
  <c r="E134" i="7"/>
  <c r="E350" i="7" s="1"/>
  <c r="D134" i="7"/>
  <c r="D350" i="7" s="1"/>
  <c r="H133" i="7"/>
  <c r="H349" i="7" s="1"/>
  <c r="G133" i="7"/>
  <c r="G349" i="7" s="1"/>
  <c r="F133" i="7"/>
  <c r="F349" i="7" s="1"/>
  <c r="E133" i="7"/>
  <c r="E349" i="7" s="1"/>
  <c r="D133" i="7"/>
  <c r="D349" i="7" s="1"/>
  <c r="H132" i="7"/>
  <c r="H348" i="7" s="1"/>
  <c r="G132" i="7"/>
  <c r="G348" i="7" s="1"/>
  <c r="F132" i="7"/>
  <c r="F348" i="7" s="1"/>
  <c r="E132" i="7"/>
  <c r="E348" i="7" s="1"/>
  <c r="D132" i="7"/>
  <c r="D348" i="7" s="1"/>
  <c r="H131" i="7"/>
  <c r="H347" i="7" s="1"/>
  <c r="G131" i="7"/>
  <c r="G347" i="7" s="1"/>
  <c r="F131" i="7"/>
  <c r="F347" i="7" s="1"/>
  <c r="E131" i="7"/>
  <c r="E347" i="7" s="1"/>
  <c r="D131" i="7"/>
  <c r="D347" i="7" s="1"/>
  <c r="H130" i="7"/>
  <c r="H346" i="7" s="1"/>
  <c r="G130" i="7"/>
  <c r="G346" i="7" s="1"/>
  <c r="F130" i="7"/>
  <c r="F346" i="7" s="1"/>
  <c r="E130" i="7"/>
  <c r="E346" i="7" s="1"/>
  <c r="D130" i="7"/>
  <c r="D346" i="7" s="1"/>
  <c r="H129" i="7"/>
  <c r="H345" i="7" s="1"/>
  <c r="G129" i="7"/>
  <c r="G345" i="7" s="1"/>
  <c r="F129" i="7"/>
  <c r="F345" i="7" s="1"/>
  <c r="E129" i="7"/>
  <c r="E345" i="7" s="1"/>
  <c r="D129" i="7"/>
  <c r="D345" i="7" s="1"/>
  <c r="H128" i="7"/>
  <c r="H344" i="7" s="1"/>
  <c r="G128" i="7"/>
  <c r="G344" i="7" s="1"/>
  <c r="F128" i="7"/>
  <c r="F344" i="7" s="1"/>
  <c r="E128" i="7"/>
  <c r="E344" i="7" s="1"/>
  <c r="D128" i="7"/>
  <c r="D344" i="7" s="1"/>
  <c r="H127" i="7"/>
  <c r="H343" i="7" s="1"/>
  <c r="G127" i="7"/>
  <c r="G343" i="7" s="1"/>
  <c r="F127" i="7"/>
  <c r="F343" i="7" s="1"/>
  <c r="E127" i="7"/>
  <c r="E343" i="7" s="1"/>
  <c r="D127" i="7"/>
  <c r="D343" i="7" s="1"/>
  <c r="H126" i="7"/>
  <c r="H342" i="7" s="1"/>
  <c r="G126" i="7"/>
  <c r="G342" i="7" s="1"/>
  <c r="F126" i="7"/>
  <c r="F342" i="7" s="1"/>
  <c r="E126" i="7"/>
  <c r="E342" i="7" s="1"/>
  <c r="D126" i="7"/>
  <c r="D342" i="7" s="1"/>
  <c r="H125" i="7"/>
  <c r="H341" i="7" s="1"/>
  <c r="G125" i="7"/>
  <c r="G341" i="7" s="1"/>
  <c r="F125" i="7"/>
  <c r="F341" i="7" s="1"/>
  <c r="E125" i="7"/>
  <c r="E341" i="7" s="1"/>
  <c r="D125" i="7"/>
  <c r="D341" i="7" s="1"/>
  <c r="H124" i="7"/>
  <c r="H340" i="7" s="1"/>
  <c r="G124" i="7"/>
  <c r="G340" i="7" s="1"/>
  <c r="F124" i="7"/>
  <c r="F340" i="7" s="1"/>
  <c r="E124" i="7"/>
  <c r="E340" i="7" s="1"/>
  <c r="D124" i="7"/>
  <c r="D340" i="7" s="1"/>
  <c r="H123" i="7"/>
  <c r="H339" i="7" s="1"/>
  <c r="G123" i="7"/>
  <c r="G339" i="7" s="1"/>
  <c r="F123" i="7"/>
  <c r="F339" i="7" s="1"/>
  <c r="E123" i="7"/>
  <c r="E339" i="7" s="1"/>
  <c r="D123" i="7"/>
  <c r="D339" i="7" s="1"/>
  <c r="H122" i="7"/>
  <c r="H338" i="7" s="1"/>
  <c r="G122" i="7"/>
  <c r="G338" i="7" s="1"/>
  <c r="F122" i="7"/>
  <c r="F338" i="7" s="1"/>
  <c r="E122" i="7"/>
  <c r="E338" i="7" s="1"/>
  <c r="D122" i="7"/>
  <c r="D338" i="7" s="1"/>
  <c r="H121" i="7"/>
  <c r="H337" i="7" s="1"/>
  <c r="G121" i="7"/>
  <c r="G337" i="7" s="1"/>
  <c r="F121" i="7"/>
  <c r="F337" i="7" s="1"/>
  <c r="E121" i="7"/>
  <c r="E337" i="7" s="1"/>
  <c r="D121" i="7"/>
  <c r="D337" i="7" s="1"/>
  <c r="H120" i="7"/>
  <c r="H336" i="7" s="1"/>
  <c r="G120" i="7"/>
  <c r="G336" i="7" s="1"/>
  <c r="F120" i="7"/>
  <c r="F336" i="7" s="1"/>
  <c r="E120" i="7"/>
  <c r="E336" i="7" s="1"/>
  <c r="D120" i="7"/>
  <c r="D336" i="7" s="1"/>
  <c r="H119" i="7"/>
  <c r="H335" i="7" s="1"/>
  <c r="G119" i="7"/>
  <c r="G335" i="7" s="1"/>
  <c r="F119" i="7"/>
  <c r="F335" i="7" s="1"/>
  <c r="E119" i="7"/>
  <c r="E335" i="7" s="1"/>
  <c r="D119" i="7"/>
  <c r="D335" i="7" s="1"/>
  <c r="H118" i="7"/>
  <c r="H334" i="7" s="1"/>
  <c r="G118" i="7"/>
  <c r="G334" i="7" s="1"/>
  <c r="F118" i="7"/>
  <c r="F334" i="7" s="1"/>
  <c r="E118" i="7"/>
  <c r="E334" i="7" s="1"/>
  <c r="D118" i="7"/>
  <c r="D334" i="7" s="1"/>
  <c r="H117" i="7"/>
  <c r="H333" i="7" s="1"/>
  <c r="G117" i="7"/>
  <c r="G333" i="7" s="1"/>
  <c r="F117" i="7"/>
  <c r="F333" i="7" s="1"/>
  <c r="E117" i="7"/>
  <c r="E333" i="7" s="1"/>
  <c r="D117" i="7"/>
  <c r="D333" i="7" s="1"/>
  <c r="H116" i="7"/>
  <c r="H332" i="7" s="1"/>
  <c r="G116" i="7"/>
  <c r="G332" i="7" s="1"/>
  <c r="F116" i="7"/>
  <c r="F332" i="7" s="1"/>
  <c r="E116" i="7"/>
  <c r="E332" i="7" s="1"/>
  <c r="D116" i="7"/>
  <c r="D332" i="7" s="1"/>
  <c r="H115" i="7"/>
  <c r="H331" i="7" s="1"/>
  <c r="G115" i="7"/>
  <c r="G331" i="7" s="1"/>
  <c r="F115" i="7"/>
  <c r="F331" i="7" s="1"/>
  <c r="E115" i="7"/>
  <c r="E331" i="7" s="1"/>
  <c r="D115" i="7"/>
  <c r="D331" i="7" s="1"/>
  <c r="H114" i="7"/>
  <c r="H330" i="7" s="1"/>
  <c r="G114" i="7"/>
  <c r="G330" i="7" s="1"/>
  <c r="F114" i="7"/>
  <c r="F330" i="7" s="1"/>
  <c r="E114" i="7"/>
  <c r="E330" i="7" s="1"/>
  <c r="D114" i="7"/>
  <c r="D330" i="7" s="1"/>
  <c r="H113" i="7"/>
  <c r="H329" i="7" s="1"/>
  <c r="G113" i="7"/>
  <c r="G329" i="7" s="1"/>
  <c r="F113" i="7"/>
  <c r="F329" i="7" s="1"/>
  <c r="E113" i="7"/>
  <c r="E329" i="7" s="1"/>
  <c r="D113" i="7"/>
  <c r="D329" i="7" s="1"/>
  <c r="H112" i="7"/>
  <c r="H328" i="7" s="1"/>
  <c r="G112" i="7"/>
  <c r="G328" i="7" s="1"/>
  <c r="F112" i="7"/>
  <c r="F328" i="7" s="1"/>
  <c r="E112" i="7"/>
  <c r="E328" i="7" s="1"/>
  <c r="D112" i="7"/>
  <c r="D328" i="7" s="1"/>
  <c r="H111" i="7"/>
  <c r="H327" i="7" s="1"/>
  <c r="G111" i="7"/>
  <c r="G327" i="7" s="1"/>
  <c r="F111" i="7"/>
  <c r="F327" i="7" s="1"/>
  <c r="E111" i="7"/>
  <c r="E327" i="7" s="1"/>
  <c r="D111" i="7"/>
  <c r="D327" i="7" s="1"/>
  <c r="H110" i="7"/>
  <c r="H326" i="7" s="1"/>
  <c r="G110" i="7"/>
  <c r="G326" i="7" s="1"/>
  <c r="F110" i="7"/>
  <c r="F326" i="7" s="1"/>
  <c r="E110" i="7"/>
  <c r="E326" i="7" s="1"/>
  <c r="D110" i="7"/>
  <c r="D326" i="7" s="1"/>
  <c r="H109" i="7"/>
  <c r="H325" i="7" s="1"/>
  <c r="G109" i="7"/>
  <c r="G325" i="7" s="1"/>
  <c r="F109" i="7"/>
  <c r="F325" i="7" s="1"/>
  <c r="E109" i="7"/>
  <c r="E325" i="7" s="1"/>
  <c r="D109" i="7"/>
  <c r="D325" i="7" s="1"/>
  <c r="H108" i="7"/>
  <c r="H324" i="7" s="1"/>
  <c r="G108" i="7"/>
  <c r="G324" i="7" s="1"/>
  <c r="F108" i="7"/>
  <c r="F324" i="7" s="1"/>
  <c r="E108" i="7"/>
  <c r="E324" i="7" s="1"/>
  <c r="D108" i="7"/>
  <c r="D324" i="7" s="1"/>
  <c r="H107" i="7"/>
  <c r="H323" i="7" s="1"/>
  <c r="G107" i="7"/>
  <c r="G323" i="7" s="1"/>
  <c r="F107" i="7"/>
  <c r="F323" i="7" s="1"/>
  <c r="E107" i="7"/>
  <c r="E323" i="7" s="1"/>
  <c r="D107" i="7"/>
  <c r="D323" i="7" s="1"/>
  <c r="H106" i="7"/>
  <c r="H322" i="7" s="1"/>
  <c r="G106" i="7"/>
  <c r="G322" i="7" s="1"/>
  <c r="F106" i="7"/>
  <c r="F322" i="7" s="1"/>
  <c r="E106" i="7"/>
  <c r="E322" i="7" s="1"/>
  <c r="D106" i="7"/>
  <c r="D322" i="7" s="1"/>
  <c r="H105" i="7"/>
  <c r="H321" i="7" s="1"/>
  <c r="G105" i="7"/>
  <c r="G321" i="7" s="1"/>
  <c r="F105" i="7"/>
  <c r="F321" i="7" s="1"/>
  <c r="E105" i="7"/>
  <c r="E321" i="7" s="1"/>
  <c r="D105" i="7"/>
  <c r="D321" i="7" s="1"/>
  <c r="H104" i="7"/>
  <c r="H320" i="7" s="1"/>
  <c r="G104" i="7"/>
  <c r="G320" i="7" s="1"/>
  <c r="F104" i="7"/>
  <c r="F320" i="7" s="1"/>
  <c r="E104" i="7"/>
  <c r="E320" i="7" s="1"/>
  <c r="D104" i="7"/>
  <c r="D320" i="7" s="1"/>
  <c r="H103" i="7"/>
  <c r="H319" i="7" s="1"/>
  <c r="G103" i="7"/>
  <c r="G319" i="7" s="1"/>
  <c r="F103" i="7"/>
  <c r="F319" i="7" s="1"/>
  <c r="E103" i="7"/>
  <c r="E319" i="7" s="1"/>
  <c r="D103" i="7"/>
  <c r="D319" i="7" s="1"/>
  <c r="H102" i="7"/>
  <c r="H318" i="7" s="1"/>
  <c r="G102" i="7"/>
  <c r="G318" i="7" s="1"/>
  <c r="F102" i="7"/>
  <c r="F318" i="7" s="1"/>
  <c r="E102" i="7"/>
  <c r="E318" i="7" s="1"/>
  <c r="D102" i="7"/>
  <c r="D318" i="7" s="1"/>
  <c r="H101" i="7"/>
  <c r="H317" i="7" s="1"/>
  <c r="G101" i="7"/>
  <c r="G317" i="7" s="1"/>
  <c r="F101" i="7"/>
  <c r="F317" i="7" s="1"/>
  <c r="E101" i="7"/>
  <c r="E317" i="7" s="1"/>
  <c r="D101" i="7"/>
  <c r="D317" i="7" s="1"/>
  <c r="H100" i="7"/>
  <c r="H316" i="7" s="1"/>
  <c r="G100" i="7"/>
  <c r="G316" i="7" s="1"/>
  <c r="F100" i="7"/>
  <c r="F316" i="7" s="1"/>
  <c r="E100" i="7"/>
  <c r="E316" i="7" s="1"/>
  <c r="D100" i="7"/>
  <c r="D316" i="7" s="1"/>
  <c r="H99" i="7"/>
  <c r="H315" i="7" s="1"/>
  <c r="G99" i="7"/>
  <c r="G315" i="7" s="1"/>
  <c r="F99" i="7"/>
  <c r="F315" i="7" s="1"/>
  <c r="E99" i="7"/>
  <c r="E315" i="7" s="1"/>
  <c r="D99" i="7"/>
  <c r="D315" i="7" s="1"/>
  <c r="H98" i="7"/>
  <c r="H314" i="7" s="1"/>
  <c r="G98" i="7"/>
  <c r="G314" i="7" s="1"/>
  <c r="F98" i="7"/>
  <c r="F314" i="7" s="1"/>
  <c r="E98" i="7"/>
  <c r="E314" i="7" s="1"/>
  <c r="D98" i="7"/>
  <c r="D314" i="7" s="1"/>
  <c r="H97" i="7"/>
  <c r="H313" i="7" s="1"/>
  <c r="G97" i="7"/>
  <c r="G313" i="7" s="1"/>
  <c r="F97" i="7"/>
  <c r="F313" i="7" s="1"/>
  <c r="E97" i="7"/>
  <c r="E313" i="7" s="1"/>
  <c r="D97" i="7"/>
  <c r="D313" i="7" s="1"/>
  <c r="H96" i="7"/>
  <c r="H312" i="7" s="1"/>
  <c r="G96" i="7"/>
  <c r="G312" i="7" s="1"/>
  <c r="F96" i="7"/>
  <c r="F312" i="7" s="1"/>
  <c r="E96" i="7"/>
  <c r="E312" i="7" s="1"/>
  <c r="D96" i="7"/>
  <c r="D312" i="7" s="1"/>
  <c r="H95" i="7"/>
  <c r="H311" i="7" s="1"/>
  <c r="G95" i="7"/>
  <c r="G311" i="7" s="1"/>
  <c r="F95" i="7"/>
  <c r="F311" i="7" s="1"/>
  <c r="E95" i="7"/>
  <c r="E311" i="7" s="1"/>
  <c r="D95" i="7"/>
  <c r="D311" i="7" s="1"/>
  <c r="H94" i="7"/>
  <c r="H310" i="7" s="1"/>
  <c r="G94" i="7"/>
  <c r="G310" i="7" s="1"/>
  <c r="F94" i="7"/>
  <c r="F310" i="7" s="1"/>
  <c r="E94" i="7"/>
  <c r="E310" i="7" s="1"/>
  <c r="D94" i="7"/>
  <c r="D310" i="7" s="1"/>
  <c r="H93" i="7"/>
  <c r="H309" i="7" s="1"/>
  <c r="G93" i="7"/>
  <c r="G309" i="7" s="1"/>
  <c r="F93" i="7"/>
  <c r="F309" i="7" s="1"/>
  <c r="E93" i="7"/>
  <c r="E309" i="7" s="1"/>
  <c r="D93" i="7"/>
  <c r="D309" i="7" s="1"/>
  <c r="H92" i="7"/>
  <c r="H308" i="7" s="1"/>
  <c r="G92" i="7"/>
  <c r="G308" i="7" s="1"/>
  <c r="F92" i="7"/>
  <c r="F308" i="7" s="1"/>
  <c r="E92" i="7"/>
  <c r="E308" i="7" s="1"/>
  <c r="D92" i="7"/>
  <c r="D308" i="7" s="1"/>
  <c r="H91" i="7"/>
  <c r="H307" i="7" s="1"/>
  <c r="G91" i="7"/>
  <c r="G307" i="7" s="1"/>
  <c r="F91" i="7"/>
  <c r="F307" i="7" s="1"/>
  <c r="E91" i="7"/>
  <c r="E307" i="7" s="1"/>
  <c r="D91" i="7"/>
  <c r="D307" i="7" s="1"/>
  <c r="H90" i="7"/>
  <c r="H306" i="7" s="1"/>
  <c r="G90" i="7"/>
  <c r="G306" i="7" s="1"/>
  <c r="F90" i="7"/>
  <c r="F306" i="7" s="1"/>
  <c r="E90" i="7"/>
  <c r="E306" i="7" s="1"/>
  <c r="D90" i="7"/>
  <c r="D306" i="7" s="1"/>
  <c r="D19" i="7"/>
  <c r="D235" i="7" s="1"/>
  <c r="E19" i="7"/>
  <c r="E235" i="7" s="1"/>
  <c r="F19" i="7"/>
  <c r="F235" i="7" s="1"/>
  <c r="G19" i="7"/>
  <c r="G235" i="7" s="1"/>
  <c r="H19" i="7"/>
  <c r="H235" i="7" s="1"/>
  <c r="D20" i="7"/>
  <c r="D236" i="7" s="1"/>
  <c r="E20" i="7"/>
  <c r="E236" i="7" s="1"/>
  <c r="F20" i="7"/>
  <c r="F236" i="7" s="1"/>
  <c r="G20" i="7"/>
  <c r="G236" i="7" s="1"/>
  <c r="H20" i="7"/>
  <c r="H236" i="7" s="1"/>
  <c r="D21" i="7"/>
  <c r="D237" i="7" s="1"/>
  <c r="E21" i="7"/>
  <c r="E237" i="7" s="1"/>
  <c r="F21" i="7"/>
  <c r="F237" i="7" s="1"/>
  <c r="G21" i="7"/>
  <c r="G237" i="7" s="1"/>
  <c r="H21" i="7"/>
  <c r="H237" i="7" s="1"/>
  <c r="D22" i="7"/>
  <c r="D238" i="7" s="1"/>
  <c r="E22" i="7"/>
  <c r="E238" i="7" s="1"/>
  <c r="F22" i="7"/>
  <c r="F238" i="7" s="1"/>
  <c r="G22" i="7"/>
  <c r="G238" i="7" s="1"/>
  <c r="H22" i="7"/>
  <c r="H238" i="7" s="1"/>
  <c r="D23" i="7"/>
  <c r="D239" i="7" s="1"/>
  <c r="E23" i="7"/>
  <c r="E239" i="7" s="1"/>
  <c r="F23" i="7"/>
  <c r="F239" i="7" s="1"/>
  <c r="G23" i="7"/>
  <c r="G239" i="7" s="1"/>
  <c r="H23" i="7"/>
  <c r="H239" i="7" s="1"/>
  <c r="D24" i="7"/>
  <c r="D240" i="7" s="1"/>
  <c r="E24" i="7"/>
  <c r="E240" i="7" s="1"/>
  <c r="F24" i="7"/>
  <c r="F240" i="7" s="1"/>
  <c r="G24" i="7"/>
  <c r="G240" i="7" s="1"/>
  <c r="H24" i="7"/>
  <c r="H240" i="7" s="1"/>
  <c r="D25" i="7"/>
  <c r="D241" i="7" s="1"/>
  <c r="E25" i="7"/>
  <c r="E241" i="7" s="1"/>
  <c r="F25" i="7"/>
  <c r="F241" i="7" s="1"/>
  <c r="G25" i="7"/>
  <c r="G241" i="7" s="1"/>
  <c r="H25" i="7"/>
  <c r="H241" i="7" s="1"/>
  <c r="D26" i="7"/>
  <c r="D242" i="7" s="1"/>
  <c r="E26" i="7"/>
  <c r="E242" i="7" s="1"/>
  <c r="F26" i="7"/>
  <c r="F242" i="7" s="1"/>
  <c r="G26" i="7"/>
  <c r="G242" i="7" s="1"/>
  <c r="H26" i="7"/>
  <c r="H242" i="7" s="1"/>
  <c r="D27" i="7"/>
  <c r="D243" i="7" s="1"/>
  <c r="E27" i="7"/>
  <c r="E243" i="7" s="1"/>
  <c r="F27" i="7"/>
  <c r="F243" i="7" s="1"/>
  <c r="G27" i="7"/>
  <c r="G243" i="7" s="1"/>
  <c r="H27" i="7"/>
  <c r="H243" i="7" s="1"/>
  <c r="D28" i="7"/>
  <c r="D244" i="7" s="1"/>
  <c r="E28" i="7"/>
  <c r="E244" i="7" s="1"/>
  <c r="F28" i="7"/>
  <c r="F244" i="7" s="1"/>
  <c r="G28" i="7"/>
  <c r="G244" i="7" s="1"/>
  <c r="H28" i="7"/>
  <c r="H244" i="7" s="1"/>
  <c r="D29" i="7"/>
  <c r="D245" i="7" s="1"/>
  <c r="E29" i="7"/>
  <c r="E245" i="7" s="1"/>
  <c r="F29" i="7"/>
  <c r="F245" i="7" s="1"/>
  <c r="G29" i="7"/>
  <c r="G245" i="7" s="1"/>
  <c r="H29" i="7"/>
  <c r="H245" i="7" s="1"/>
  <c r="D30" i="7"/>
  <c r="D246" i="7" s="1"/>
  <c r="E30" i="7"/>
  <c r="E246" i="7" s="1"/>
  <c r="F30" i="7"/>
  <c r="F246" i="7" s="1"/>
  <c r="G30" i="7"/>
  <c r="G246" i="7" s="1"/>
  <c r="H30" i="7"/>
  <c r="H246" i="7" s="1"/>
  <c r="D31" i="7"/>
  <c r="D247" i="7" s="1"/>
  <c r="E31" i="7"/>
  <c r="E247" i="7" s="1"/>
  <c r="F31" i="7"/>
  <c r="F247" i="7" s="1"/>
  <c r="G31" i="7"/>
  <c r="G247" i="7" s="1"/>
  <c r="H31" i="7"/>
  <c r="H247" i="7" s="1"/>
  <c r="D32" i="7"/>
  <c r="D248" i="7" s="1"/>
  <c r="E32" i="7"/>
  <c r="E248" i="7" s="1"/>
  <c r="F32" i="7"/>
  <c r="F248" i="7" s="1"/>
  <c r="G32" i="7"/>
  <c r="G248" i="7" s="1"/>
  <c r="H32" i="7"/>
  <c r="H248" i="7" s="1"/>
  <c r="D33" i="7"/>
  <c r="D249" i="7" s="1"/>
  <c r="E33" i="7"/>
  <c r="E249" i="7" s="1"/>
  <c r="F33" i="7"/>
  <c r="F249" i="7" s="1"/>
  <c r="G33" i="7"/>
  <c r="G249" i="7" s="1"/>
  <c r="H33" i="7"/>
  <c r="H249" i="7" s="1"/>
  <c r="D34" i="7"/>
  <c r="D250" i="7" s="1"/>
  <c r="E34" i="7"/>
  <c r="E250" i="7" s="1"/>
  <c r="F34" i="7"/>
  <c r="F250" i="7" s="1"/>
  <c r="G34" i="7"/>
  <c r="G250" i="7" s="1"/>
  <c r="H34" i="7"/>
  <c r="H250" i="7" s="1"/>
  <c r="D35" i="7"/>
  <c r="D251" i="7" s="1"/>
  <c r="E35" i="7"/>
  <c r="E251" i="7" s="1"/>
  <c r="F35" i="7"/>
  <c r="F251" i="7" s="1"/>
  <c r="G35" i="7"/>
  <c r="G251" i="7" s="1"/>
  <c r="H35" i="7"/>
  <c r="H251" i="7" s="1"/>
  <c r="D36" i="7"/>
  <c r="D252" i="7" s="1"/>
  <c r="E36" i="7"/>
  <c r="E252" i="7" s="1"/>
  <c r="F36" i="7"/>
  <c r="F252" i="7" s="1"/>
  <c r="G36" i="7"/>
  <c r="G252" i="7" s="1"/>
  <c r="H36" i="7"/>
  <c r="H252" i="7" s="1"/>
  <c r="D37" i="7"/>
  <c r="D253" i="7" s="1"/>
  <c r="E37" i="7"/>
  <c r="E253" i="7" s="1"/>
  <c r="F37" i="7"/>
  <c r="F253" i="7" s="1"/>
  <c r="G37" i="7"/>
  <c r="G253" i="7" s="1"/>
  <c r="H37" i="7"/>
  <c r="H253" i="7" s="1"/>
  <c r="D38" i="7"/>
  <c r="D254" i="7" s="1"/>
  <c r="E38" i="7"/>
  <c r="E254" i="7" s="1"/>
  <c r="F38" i="7"/>
  <c r="F254" i="7" s="1"/>
  <c r="G38" i="7"/>
  <c r="G254" i="7" s="1"/>
  <c r="H38" i="7"/>
  <c r="H254" i="7" s="1"/>
  <c r="D39" i="7"/>
  <c r="D255" i="7" s="1"/>
  <c r="E39" i="7"/>
  <c r="E255" i="7" s="1"/>
  <c r="F39" i="7"/>
  <c r="F255" i="7" s="1"/>
  <c r="G39" i="7"/>
  <c r="G255" i="7" s="1"/>
  <c r="H39" i="7"/>
  <c r="H255" i="7" s="1"/>
  <c r="D40" i="7"/>
  <c r="D256" i="7" s="1"/>
  <c r="E40" i="7"/>
  <c r="E256" i="7" s="1"/>
  <c r="F40" i="7"/>
  <c r="F256" i="7" s="1"/>
  <c r="G40" i="7"/>
  <c r="G256" i="7" s="1"/>
  <c r="H40" i="7"/>
  <c r="H256" i="7" s="1"/>
  <c r="D41" i="7"/>
  <c r="D257" i="7" s="1"/>
  <c r="E41" i="7"/>
  <c r="E257" i="7" s="1"/>
  <c r="F41" i="7"/>
  <c r="F257" i="7" s="1"/>
  <c r="G41" i="7"/>
  <c r="G257" i="7" s="1"/>
  <c r="H41" i="7"/>
  <c r="H257" i="7" s="1"/>
  <c r="D42" i="7"/>
  <c r="D258" i="7" s="1"/>
  <c r="E42" i="7"/>
  <c r="E258" i="7" s="1"/>
  <c r="F42" i="7"/>
  <c r="F258" i="7" s="1"/>
  <c r="G42" i="7"/>
  <c r="G258" i="7" s="1"/>
  <c r="H42" i="7"/>
  <c r="H258" i="7" s="1"/>
  <c r="D43" i="7"/>
  <c r="D259" i="7" s="1"/>
  <c r="E43" i="7"/>
  <c r="E259" i="7" s="1"/>
  <c r="F43" i="7"/>
  <c r="F259" i="7" s="1"/>
  <c r="G43" i="7"/>
  <c r="G259" i="7" s="1"/>
  <c r="H43" i="7"/>
  <c r="H259" i="7" s="1"/>
  <c r="D44" i="7"/>
  <c r="D260" i="7" s="1"/>
  <c r="E44" i="7"/>
  <c r="E260" i="7" s="1"/>
  <c r="F44" i="7"/>
  <c r="F260" i="7" s="1"/>
  <c r="G44" i="7"/>
  <c r="G260" i="7" s="1"/>
  <c r="H44" i="7"/>
  <c r="H260" i="7" s="1"/>
  <c r="D45" i="7"/>
  <c r="D261" i="7" s="1"/>
  <c r="E45" i="7"/>
  <c r="E261" i="7" s="1"/>
  <c r="F45" i="7"/>
  <c r="F261" i="7" s="1"/>
  <c r="G45" i="7"/>
  <c r="G261" i="7" s="1"/>
  <c r="H45" i="7"/>
  <c r="H261" i="7" s="1"/>
  <c r="D46" i="7"/>
  <c r="D262" i="7" s="1"/>
  <c r="E46" i="7"/>
  <c r="E262" i="7" s="1"/>
  <c r="F46" i="7"/>
  <c r="F262" i="7" s="1"/>
  <c r="G46" i="7"/>
  <c r="G262" i="7" s="1"/>
  <c r="H46" i="7"/>
  <c r="H262" i="7" s="1"/>
  <c r="D47" i="7"/>
  <c r="D263" i="7" s="1"/>
  <c r="E47" i="7"/>
  <c r="E263" i="7" s="1"/>
  <c r="F47" i="7"/>
  <c r="F263" i="7" s="1"/>
  <c r="G47" i="7"/>
  <c r="G263" i="7" s="1"/>
  <c r="H47" i="7"/>
  <c r="H263" i="7" s="1"/>
  <c r="D48" i="7"/>
  <c r="D264" i="7" s="1"/>
  <c r="E48" i="7"/>
  <c r="E264" i="7" s="1"/>
  <c r="F48" i="7"/>
  <c r="F264" i="7" s="1"/>
  <c r="G48" i="7"/>
  <c r="G264" i="7" s="1"/>
  <c r="H48" i="7"/>
  <c r="H264" i="7" s="1"/>
  <c r="D49" i="7"/>
  <c r="D265" i="7" s="1"/>
  <c r="E49" i="7"/>
  <c r="E265" i="7" s="1"/>
  <c r="F49" i="7"/>
  <c r="F265" i="7" s="1"/>
  <c r="G49" i="7"/>
  <c r="G265" i="7" s="1"/>
  <c r="H49" i="7"/>
  <c r="H265" i="7" s="1"/>
  <c r="D50" i="7"/>
  <c r="D266" i="7" s="1"/>
  <c r="E50" i="7"/>
  <c r="E266" i="7" s="1"/>
  <c r="F50" i="7"/>
  <c r="F266" i="7" s="1"/>
  <c r="G50" i="7"/>
  <c r="G266" i="7" s="1"/>
  <c r="H50" i="7"/>
  <c r="H266" i="7" s="1"/>
  <c r="D51" i="7"/>
  <c r="D267" i="7" s="1"/>
  <c r="E51" i="7"/>
  <c r="E267" i="7" s="1"/>
  <c r="F51" i="7"/>
  <c r="F267" i="7" s="1"/>
  <c r="G51" i="7"/>
  <c r="G267" i="7" s="1"/>
  <c r="H51" i="7"/>
  <c r="H267" i="7" s="1"/>
  <c r="D52" i="7"/>
  <c r="D268" i="7" s="1"/>
  <c r="E52" i="7"/>
  <c r="E268" i="7" s="1"/>
  <c r="F52" i="7"/>
  <c r="F268" i="7" s="1"/>
  <c r="G52" i="7"/>
  <c r="G268" i="7" s="1"/>
  <c r="H52" i="7"/>
  <c r="H268" i="7" s="1"/>
  <c r="D53" i="7"/>
  <c r="D269" i="7" s="1"/>
  <c r="E53" i="7"/>
  <c r="E269" i="7" s="1"/>
  <c r="F53" i="7"/>
  <c r="F269" i="7" s="1"/>
  <c r="G53" i="7"/>
  <c r="G269" i="7" s="1"/>
  <c r="H53" i="7"/>
  <c r="H269" i="7" s="1"/>
  <c r="D54" i="7"/>
  <c r="D270" i="7" s="1"/>
  <c r="E54" i="7"/>
  <c r="E270" i="7" s="1"/>
  <c r="F54" i="7"/>
  <c r="F270" i="7" s="1"/>
  <c r="G54" i="7"/>
  <c r="G270" i="7" s="1"/>
  <c r="H54" i="7"/>
  <c r="H270" i="7" s="1"/>
  <c r="D55" i="7"/>
  <c r="D271" i="7" s="1"/>
  <c r="E55" i="7"/>
  <c r="E271" i="7" s="1"/>
  <c r="F55" i="7"/>
  <c r="F271" i="7" s="1"/>
  <c r="G55" i="7"/>
  <c r="G271" i="7" s="1"/>
  <c r="H55" i="7"/>
  <c r="H271" i="7" s="1"/>
  <c r="D56" i="7"/>
  <c r="D272" i="7" s="1"/>
  <c r="E56" i="7"/>
  <c r="E272" i="7" s="1"/>
  <c r="F56" i="7"/>
  <c r="F272" i="7" s="1"/>
  <c r="G56" i="7"/>
  <c r="G272" i="7" s="1"/>
  <c r="H56" i="7"/>
  <c r="H272" i="7" s="1"/>
  <c r="D57" i="7"/>
  <c r="D273" i="7" s="1"/>
  <c r="E57" i="7"/>
  <c r="E273" i="7" s="1"/>
  <c r="F57" i="7"/>
  <c r="F273" i="7" s="1"/>
  <c r="G57" i="7"/>
  <c r="G273" i="7" s="1"/>
  <c r="H57" i="7"/>
  <c r="H273" i="7" s="1"/>
  <c r="D58" i="7"/>
  <c r="D274" i="7" s="1"/>
  <c r="E58" i="7"/>
  <c r="E274" i="7" s="1"/>
  <c r="F58" i="7"/>
  <c r="F274" i="7" s="1"/>
  <c r="G58" i="7"/>
  <c r="G274" i="7" s="1"/>
  <c r="H58" i="7"/>
  <c r="H274" i="7" s="1"/>
  <c r="D59" i="7"/>
  <c r="D275" i="7" s="1"/>
  <c r="E59" i="7"/>
  <c r="E275" i="7" s="1"/>
  <c r="F59" i="7"/>
  <c r="F275" i="7" s="1"/>
  <c r="G59" i="7"/>
  <c r="G275" i="7" s="1"/>
  <c r="H59" i="7"/>
  <c r="H275" i="7" s="1"/>
  <c r="D60" i="7"/>
  <c r="D276" i="7" s="1"/>
  <c r="E60" i="7"/>
  <c r="E276" i="7" s="1"/>
  <c r="F60" i="7"/>
  <c r="F276" i="7" s="1"/>
  <c r="G60" i="7"/>
  <c r="G276" i="7" s="1"/>
  <c r="H60" i="7"/>
  <c r="H276" i="7" s="1"/>
  <c r="D61" i="7"/>
  <c r="D277" i="7" s="1"/>
  <c r="E61" i="7"/>
  <c r="E277" i="7" s="1"/>
  <c r="F61" i="7"/>
  <c r="F277" i="7" s="1"/>
  <c r="G61" i="7"/>
  <c r="G277" i="7" s="1"/>
  <c r="H61" i="7"/>
  <c r="H277" i="7" s="1"/>
  <c r="D62" i="7"/>
  <c r="D278" i="7" s="1"/>
  <c r="E62" i="7"/>
  <c r="E278" i="7" s="1"/>
  <c r="F62" i="7"/>
  <c r="F278" i="7" s="1"/>
  <c r="G62" i="7"/>
  <c r="G278" i="7" s="1"/>
  <c r="H62" i="7"/>
  <c r="H278" i="7" s="1"/>
  <c r="D63" i="7"/>
  <c r="D279" i="7" s="1"/>
  <c r="E63" i="7"/>
  <c r="E279" i="7" s="1"/>
  <c r="F63" i="7"/>
  <c r="F279" i="7" s="1"/>
  <c r="G63" i="7"/>
  <c r="G279" i="7" s="1"/>
  <c r="H63" i="7"/>
  <c r="H279" i="7" s="1"/>
  <c r="D64" i="7"/>
  <c r="D280" i="7" s="1"/>
  <c r="E64" i="7"/>
  <c r="E280" i="7" s="1"/>
  <c r="F64" i="7"/>
  <c r="F280" i="7" s="1"/>
  <c r="G64" i="7"/>
  <c r="G280" i="7" s="1"/>
  <c r="H64" i="7"/>
  <c r="H280" i="7" s="1"/>
  <c r="D65" i="7"/>
  <c r="D281" i="7" s="1"/>
  <c r="E65" i="7"/>
  <c r="E281" i="7" s="1"/>
  <c r="F65" i="7"/>
  <c r="F281" i="7" s="1"/>
  <c r="G65" i="7"/>
  <c r="G281" i="7" s="1"/>
  <c r="H65" i="7"/>
  <c r="H281" i="7" s="1"/>
  <c r="D66" i="7"/>
  <c r="D282" i="7" s="1"/>
  <c r="E66" i="7"/>
  <c r="E282" i="7" s="1"/>
  <c r="F66" i="7"/>
  <c r="F282" i="7" s="1"/>
  <c r="G66" i="7"/>
  <c r="G282" i="7" s="1"/>
  <c r="H66" i="7"/>
  <c r="H282" i="7" s="1"/>
  <c r="D67" i="7"/>
  <c r="D283" i="7" s="1"/>
  <c r="E67" i="7"/>
  <c r="E283" i="7" s="1"/>
  <c r="F67" i="7"/>
  <c r="F283" i="7" s="1"/>
  <c r="G67" i="7"/>
  <c r="G283" i="7" s="1"/>
  <c r="H67" i="7"/>
  <c r="H283" i="7" s="1"/>
  <c r="D68" i="7"/>
  <c r="D284" i="7" s="1"/>
  <c r="E68" i="7"/>
  <c r="E284" i="7" s="1"/>
  <c r="F68" i="7"/>
  <c r="F284" i="7" s="1"/>
  <c r="G68" i="7"/>
  <c r="G284" i="7" s="1"/>
  <c r="H68" i="7"/>
  <c r="H284" i="7" s="1"/>
  <c r="D69" i="7"/>
  <c r="D285" i="7" s="1"/>
  <c r="E69" i="7"/>
  <c r="E285" i="7" s="1"/>
  <c r="F69" i="7"/>
  <c r="F285" i="7" s="1"/>
  <c r="G69" i="7"/>
  <c r="G285" i="7" s="1"/>
  <c r="H69" i="7"/>
  <c r="H285" i="7" s="1"/>
  <c r="D70" i="7"/>
  <c r="D286" i="7" s="1"/>
  <c r="E70" i="7"/>
  <c r="E286" i="7" s="1"/>
  <c r="F70" i="7"/>
  <c r="F286" i="7" s="1"/>
  <c r="G70" i="7"/>
  <c r="G286" i="7" s="1"/>
  <c r="H70" i="7"/>
  <c r="H286" i="7" s="1"/>
  <c r="D71" i="7"/>
  <c r="D287" i="7" s="1"/>
  <c r="E71" i="7"/>
  <c r="E287" i="7" s="1"/>
  <c r="F71" i="7"/>
  <c r="F287" i="7" s="1"/>
  <c r="G71" i="7"/>
  <c r="G287" i="7" s="1"/>
  <c r="H71" i="7"/>
  <c r="H287" i="7" s="1"/>
  <c r="D72" i="7"/>
  <c r="D288" i="7" s="1"/>
  <c r="E72" i="7"/>
  <c r="E288" i="7" s="1"/>
  <c r="F72" i="7"/>
  <c r="F288" i="7" s="1"/>
  <c r="G72" i="7"/>
  <c r="G288" i="7" s="1"/>
  <c r="H72" i="7"/>
  <c r="H288" i="7" s="1"/>
  <c r="D73" i="7"/>
  <c r="D289" i="7" s="1"/>
  <c r="E73" i="7"/>
  <c r="E289" i="7" s="1"/>
  <c r="F73" i="7"/>
  <c r="F289" i="7" s="1"/>
  <c r="G73" i="7"/>
  <c r="G289" i="7" s="1"/>
  <c r="H73" i="7"/>
  <c r="H289" i="7" s="1"/>
  <c r="D74" i="7"/>
  <c r="D290" i="7" s="1"/>
  <c r="E74" i="7"/>
  <c r="E290" i="7" s="1"/>
  <c r="F74" i="7"/>
  <c r="F290" i="7" s="1"/>
  <c r="G74" i="7"/>
  <c r="G290" i="7" s="1"/>
  <c r="H74" i="7"/>
  <c r="H290" i="7" s="1"/>
  <c r="D75" i="7"/>
  <c r="D291" i="7" s="1"/>
  <c r="E75" i="7"/>
  <c r="E291" i="7" s="1"/>
  <c r="F75" i="7"/>
  <c r="F291" i="7" s="1"/>
  <c r="G75" i="7"/>
  <c r="G291" i="7" s="1"/>
  <c r="H75" i="7"/>
  <c r="H291" i="7" s="1"/>
  <c r="D76" i="7"/>
  <c r="D292" i="7" s="1"/>
  <c r="E76" i="7"/>
  <c r="E292" i="7" s="1"/>
  <c r="F76" i="7"/>
  <c r="F292" i="7" s="1"/>
  <c r="G76" i="7"/>
  <c r="G292" i="7" s="1"/>
  <c r="H76" i="7"/>
  <c r="H292" i="7" s="1"/>
  <c r="D77" i="7"/>
  <c r="D293" i="7" s="1"/>
  <c r="E77" i="7"/>
  <c r="E293" i="7" s="1"/>
  <c r="F77" i="7"/>
  <c r="F293" i="7" s="1"/>
  <c r="G77" i="7"/>
  <c r="G293" i="7" s="1"/>
  <c r="H77" i="7"/>
  <c r="H293" i="7" s="1"/>
  <c r="D78" i="7"/>
  <c r="D294" i="7" s="1"/>
  <c r="E78" i="7"/>
  <c r="E294" i="7" s="1"/>
  <c r="F78" i="7"/>
  <c r="F294" i="7" s="1"/>
  <c r="G78" i="7"/>
  <c r="G294" i="7" s="1"/>
  <c r="H78" i="7"/>
  <c r="H294" i="7" s="1"/>
  <c r="D79" i="7"/>
  <c r="D295" i="7" s="1"/>
  <c r="E79" i="7"/>
  <c r="E295" i="7" s="1"/>
  <c r="F79" i="7"/>
  <c r="F295" i="7" s="1"/>
  <c r="G79" i="7"/>
  <c r="G295" i="7" s="1"/>
  <c r="H79" i="7"/>
  <c r="H295" i="7" s="1"/>
  <c r="D80" i="7"/>
  <c r="D296" i="7" s="1"/>
  <c r="E80" i="7"/>
  <c r="E296" i="7" s="1"/>
  <c r="F80" i="7"/>
  <c r="F296" i="7" s="1"/>
  <c r="G80" i="7"/>
  <c r="G296" i="7" s="1"/>
  <c r="H80" i="7"/>
  <c r="H296" i="7" s="1"/>
  <c r="D81" i="7"/>
  <c r="D297" i="7" s="1"/>
  <c r="E81" i="7"/>
  <c r="E297" i="7" s="1"/>
  <c r="F81" i="7"/>
  <c r="F297" i="7" s="1"/>
  <c r="G81" i="7"/>
  <c r="G297" i="7" s="1"/>
  <c r="H81" i="7"/>
  <c r="H297" i="7" s="1"/>
  <c r="D82" i="7"/>
  <c r="D298" i="7" s="1"/>
  <c r="E82" i="7"/>
  <c r="E298" i="7" s="1"/>
  <c r="F82" i="7"/>
  <c r="F298" i="7" s="1"/>
  <c r="G82" i="7"/>
  <c r="G298" i="7" s="1"/>
  <c r="H82" i="7"/>
  <c r="H298" i="7" s="1"/>
  <c r="D83" i="7"/>
  <c r="D299" i="7" s="1"/>
  <c r="E83" i="7"/>
  <c r="E299" i="7" s="1"/>
  <c r="F83" i="7"/>
  <c r="F299" i="7" s="1"/>
  <c r="G83" i="7"/>
  <c r="G299" i="7" s="1"/>
  <c r="H83" i="7"/>
  <c r="H299" i="7" s="1"/>
  <c r="D84" i="7"/>
  <c r="D300" i="7" s="1"/>
  <c r="E84" i="7"/>
  <c r="E300" i="7" s="1"/>
  <c r="F84" i="7"/>
  <c r="F300" i="7" s="1"/>
  <c r="G84" i="7"/>
  <c r="G300" i="7" s="1"/>
  <c r="H84" i="7"/>
  <c r="H300" i="7" s="1"/>
  <c r="D85" i="7"/>
  <c r="D301" i="7" s="1"/>
  <c r="E85" i="7"/>
  <c r="E301" i="7" s="1"/>
  <c r="F85" i="7"/>
  <c r="F301" i="7" s="1"/>
  <c r="G85" i="7"/>
  <c r="G301" i="7" s="1"/>
  <c r="H85" i="7"/>
  <c r="H301" i="7" s="1"/>
  <c r="D86" i="7"/>
  <c r="D302" i="7" s="1"/>
  <c r="E86" i="7"/>
  <c r="E302" i="7" s="1"/>
  <c r="F86" i="7"/>
  <c r="F302" i="7" s="1"/>
  <c r="G86" i="7"/>
  <c r="G302" i="7" s="1"/>
  <c r="H86" i="7"/>
  <c r="H302" i="7" s="1"/>
  <c r="D87" i="7"/>
  <c r="D303" i="7" s="1"/>
  <c r="E87" i="7"/>
  <c r="E303" i="7" s="1"/>
  <c r="F87" i="7"/>
  <c r="F303" i="7" s="1"/>
  <c r="G87" i="7"/>
  <c r="G303" i="7" s="1"/>
  <c r="H87" i="7"/>
  <c r="H303" i="7" s="1"/>
  <c r="D88" i="7"/>
  <c r="D304" i="7" s="1"/>
  <c r="E88" i="7"/>
  <c r="E304" i="7" s="1"/>
  <c r="F88" i="7"/>
  <c r="F304" i="7" s="1"/>
  <c r="G88" i="7"/>
  <c r="G304" i="7" s="1"/>
  <c r="H88" i="7"/>
  <c r="H304" i="7" s="1"/>
  <c r="D89" i="7"/>
  <c r="D305" i="7" s="1"/>
  <c r="E89" i="7"/>
  <c r="E305" i="7" s="1"/>
  <c r="F89" i="7"/>
  <c r="F305" i="7" s="1"/>
  <c r="G89" i="7"/>
  <c r="G305" i="7" s="1"/>
  <c r="H89" i="7"/>
  <c r="H305" i="7" s="1"/>
  <c r="M18" i="7"/>
  <c r="H18" i="7"/>
  <c r="H234" i="7" s="1"/>
  <c r="G18" i="7"/>
  <c r="G234" i="7" s="1"/>
  <c r="F18" i="7"/>
  <c r="F234" i="7" s="1"/>
  <c r="D18" i="7"/>
  <c r="D234" i="7" s="1"/>
  <c r="E18" i="7"/>
  <c r="E234" i="7" s="1"/>
  <c r="O390" i="7" l="1"/>
  <c r="R390" i="7" s="1"/>
  <c r="O239" i="7"/>
  <c r="R239" i="7" s="1"/>
  <c r="O284" i="7"/>
  <c r="R284" i="7" s="1"/>
  <c r="O370" i="7"/>
  <c r="R370" i="7" s="1"/>
  <c r="O445" i="7"/>
  <c r="R445" i="7" s="1"/>
  <c r="O444" i="7"/>
  <c r="R444" i="7" s="1"/>
  <c r="O251" i="7"/>
  <c r="R251" i="7" s="1"/>
  <c r="O350" i="7"/>
  <c r="R350" i="7" s="1"/>
  <c r="O297" i="7"/>
  <c r="R297" i="7" s="1"/>
  <c r="O360" i="7"/>
  <c r="R360" i="7" s="1"/>
  <c r="O398" i="7"/>
  <c r="R398" i="7" s="1"/>
  <c r="O276" i="7"/>
  <c r="R276" i="7" s="1"/>
  <c r="O245" i="7"/>
  <c r="R245" i="7" s="1"/>
  <c r="O282" i="7"/>
  <c r="R282" i="7" s="1"/>
  <c r="O330" i="7"/>
  <c r="R330" i="7" s="1"/>
  <c r="O310" i="7"/>
  <c r="R310" i="7" s="1"/>
  <c r="O372" i="7"/>
  <c r="R372" i="7" s="1"/>
  <c r="O356" i="7"/>
  <c r="R356" i="7" s="1"/>
  <c r="O436" i="7"/>
  <c r="R436" i="7" s="1"/>
  <c r="O262" i="7"/>
  <c r="R262" i="7" s="1"/>
  <c r="O285" i="7"/>
  <c r="R285" i="7" s="1"/>
  <c r="O317" i="7"/>
  <c r="R317" i="7" s="1"/>
  <c r="O324" i="7"/>
  <c r="R324" i="7" s="1"/>
  <c r="O352" i="7"/>
  <c r="R352" i="7" s="1"/>
  <c r="O256" i="7"/>
  <c r="R256" i="7" s="1"/>
  <c r="O250" i="7"/>
  <c r="R250" i="7" s="1"/>
  <c r="O393" i="7"/>
  <c r="R393" i="7" s="1"/>
  <c r="O435" i="7"/>
  <c r="R435" i="7" s="1"/>
  <c r="O329" i="7"/>
  <c r="R329" i="7" s="1"/>
  <c r="O242" i="7"/>
  <c r="R242" i="7" s="1"/>
  <c r="O318" i="7"/>
  <c r="R318" i="7" s="1"/>
  <c r="O309" i="7"/>
  <c r="R309" i="7" s="1"/>
  <c r="O437" i="7"/>
  <c r="R437" i="7" s="1"/>
  <c r="O325" i="7"/>
  <c r="R325" i="7" s="1"/>
  <c r="O371" i="7"/>
  <c r="R371" i="7" s="1"/>
  <c r="O246" i="7"/>
  <c r="R246" i="7" s="1"/>
  <c r="O290" i="7"/>
  <c r="R290" i="7" s="1"/>
  <c r="O389" i="7"/>
  <c r="R389" i="7" s="1"/>
  <c r="O417" i="7"/>
  <c r="R417" i="7" s="1"/>
  <c r="O304" i="7"/>
  <c r="R304" i="7" s="1"/>
  <c r="O382" i="7"/>
  <c r="R382" i="7" s="1"/>
  <c r="O237" i="7"/>
  <c r="R237" i="7" s="1"/>
  <c r="O377" i="7"/>
  <c r="R377" i="7" s="1"/>
  <c r="O345" i="7"/>
  <c r="R345" i="7" s="1"/>
  <c r="O316" i="7"/>
  <c r="R316" i="7" s="1"/>
  <c r="O260" i="7"/>
  <c r="R260" i="7" s="1"/>
  <c r="O236" i="7"/>
  <c r="R236" i="7" s="1"/>
  <c r="O289" i="7"/>
  <c r="R289" i="7" s="1"/>
  <c r="O400" i="7"/>
  <c r="R400" i="7" s="1"/>
  <c r="O337" i="7"/>
  <c r="R337" i="7" s="1"/>
  <c r="O320" i="7"/>
  <c r="R320" i="7" s="1"/>
  <c r="O397" i="7"/>
  <c r="R397" i="7" s="1"/>
  <c r="O303" i="7"/>
  <c r="R303" i="7" s="1"/>
  <c r="O275" i="7"/>
  <c r="R275" i="7" s="1"/>
  <c r="O344" i="7"/>
  <c r="R344" i="7" s="1"/>
  <c r="O258" i="7"/>
  <c r="R258" i="7" s="1"/>
  <c r="O404" i="7"/>
  <c r="R404" i="7" s="1"/>
  <c r="O302" i="7"/>
  <c r="R302" i="7" s="1"/>
  <c r="O406" i="7"/>
  <c r="R406" i="7" s="1"/>
  <c r="O277" i="7"/>
  <c r="R277" i="7" s="1"/>
  <c r="O312" i="7"/>
  <c r="R312" i="7" s="1"/>
  <c r="O415" i="7"/>
  <c r="R415" i="7" s="1"/>
  <c r="O416" i="7"/>
  <c r="R416" i="7" s="1"/>
  <c r="O449" i="7"/>
  <c r="R449" i="7" s="1"/>
  <c r="O263" i="7"/>
  <c r="R263" i="7" s="1"/>
  <c r="O278" i="7"/>
  <c r="R278" i="7" s="1"/>
  <c r="O399" i="7"/>
  <c r="R399" i="7" s="1"/>
  <c r="O357" i="7"/>
  <c r="R357" i="7" s="1"/>
  <c r="O279" i="7"/>
  <c r="R279" i="7" s="1"/>
  <c r="O252" i="7"/>
  <c r="R252" i="7" s="1"/>
  <c r="O338" i="7"/>
  <c r="R338" i="7" s="1"/>
  <c r="O409" i="7"/>
  <c r="R409" i="7" s="1"/>
  <c r="O283" i="7"/>
  <c r="R283" i="7" s="1"/>
  <c r="O238" i="7"/>
  <c r="R238" i="7" s="1"/>
  <c r="O375" i="7"/>
  <c r="R375" i="7" s="1"/>
  <c r="O322" i="7"/>
  <c r="R322" i="7" s="1"/>
  <c r="O261" i="7"/>
  <c r="R261" i="7" s="1"/>
  <c r="O235" i="7"/>
  <c r="R235" i="7" s="1"/>
  <c r="O359" i="7"/>
  <c r="R359" i="7" s="1"/>
  <c r="O255" i="7"/>
  <c r="R255" i="7" s="1"/>
  <c r="O315" i="7"/>
  <c r="R315" i="7" s="1"/>
  <c r="O300" i="7"/>
  <c r="R300" i="7" s="1"/>
  <c r="O355" i="7"/>
  <c r="R355" i="7" s="1"/>
  <c r="O369" i="7"/>
  <c r="R369" i="7" s="1"/>
  <c r="O366" i="7"/>
  <c r="R366" i="7" s="1"/>
  <c r="O411" i="7"/>
  <c r="R411" i="7" s="1"/>
  <c r="O440" i="7"/>
  <c r="R440" i="7" s="1"/>
  <c r="O340" i="7"/>
  <c r="R340" i="7" s="1"/>
  <c r="O335" i="7"/>
  <c r="R335" i="7" s="1"/>
  <c r="O395" i="7"/>
  <c r="R395" i="7" s="1"/>
  <c r="O259" i="7"/>
  <c r="R259" i="7" s="1"/>
  <c r="O280" i="7"/>
  <c r="R280" i="7" s="1"/>
  <c r="O272" i="7"/>
  <c r="R272" i="7" s="1"/>
  <c r="O430" i="7"/>
  <c r="R430" i="7" s="1"/>
  <c r="O429" i="7"/>
  <c r="R429" i="7" s="1"/>
  <c r="O418" i="7"/>
  <c r="R418" i="7" s="1"/>
  <c r="O385" i="7"/>
  <c r="R385" i="7" s="1"/>
  <c r="O328" i="7"/>
  <c r="R328" i="7" s="1"/>
  <c r="O410" i="7"/>
  <c r="R410" i="7" s="1"/>
  <c r="O349" i="7"/>
  <c r="R349" i="7" s="1"/>
  <c r="O364" i="7"/>
  <c r="R364" i="7" s="1"/>
  <c r="O305" i="7"/>
  <c r="R305" i="7" s="1"/>
  <c r="Q63" i="7"/>
  <c r="S63" i="7" s="1"/>
  <c r="Q18" i="7"/>
  <c r="S18" i="7" s="1"/>
  <c r="Q43" i="7"/>
  <c r="S43" i="7" s="1"/>
  <c r="Q19" i="7"/>
  <c r="S19" i="7" s="1"/>
  <c r="N227" i="7"/>
  <c r="O227" i="7" s="1"/>
  <c r="R227" i="7" s="1"/>
  <c r="Q132" i="7"/>
  <c r="S132" i="7" s="1"/>
  <c r="Q152" i="7"/>
  <c r="S152" i="7" s="1"/>
  <c r="Q99" i="7"/>
  <c r="S99" i="7" s="1"/>
  <c r="Q45" i="7"/>
  <c r="S45" i="7" s="1"/>
  <c r="Q65" i="7"/>
  <c r="S65" i="7" s="1"/>
  <c r="Q85" i="7"/>
  <c r="S85" i="7" s="1"/>
  <c r="Q32" i="7"/>
  <c r="S32" i="7" s="1"/>
  <c r="Q52" i="7"/>
  <c r="S52" i="7" s="1"/>
  <c r="Q72" i="7"/>
  <c r="S72" i="7" s="1"/>
  <c r="Q29" i="7"/>
  <c r="S29" i="7" s="1"/>
  <c r="Q56" i="7"/>
  <c r="S56" i="7" s="1"/>
  <c r="Q70" i="7"/>
  <c r="S70" i="7" s="1"/>
  <c r="Q71" i="7"/>
  <c r="S71" i="7" s="1"/>
  <c r="Q42" i="7"/>
  <c r="S42" i="7" s="1"/>
  <c r="Q82" i="7"/>
  <c r="S82" i="7" s="1"/>
  <c r="Q69" i="7"/>
  <c r="S69" i="7" s="1"/>
  <c r="Q83" i="7"/>
  <c r="S83" i="7" s="1"/>
  <c r="Q57" i="7"/>
  <c r="S57" i="7" s="1"/>
  <c r="Q24" i="7"/>
  <c r="S24" i="7" s="1"/>
  <c r="Q31" i="7"/>
  <c r="S31" i="7" s="1"/>
  <c r="Q86" i="7"/>
  <c r="S86" i="7" s="1"/>
  <c r="Q53" i="7"/>
  <c r="S53" i="7" s="1"/>
  <c r="Q73" i="7"/>
  <c r="S73" i="7" s="1"/>
  <c r="Q40" i="7"/>
  <c r="S40" i="7" s="1"/>
  <c r="Q60" i="7"/>
  <c r="S60" i="7" s="1"/>
  <c r="Q27" i="7"/>
  <c r="S27" i="7" s="1"/>
  <c r="Q67" i="7"/>
  <c r="S67" i="7" s="1"/>
  <c r="Q87" i="7"/>
  <c r="S87" i="7" s="1"/>
  <c r="Q34" i="7"/>
  <c r="S34" i="7" s="1"/>
  <c r="Q54" i="7"/>
  <c r="S54" i="7" s="1"/>
  <c r="Q74" i="7"/>
  <c r="S74" i="7" s="1"/>
  <c r="Q62" i="7"/>
  <c r="S62" i="7" s="1"/>
  <c r="Q76" i="7"/>
  <c r="S76" i="7" s="1"/>
  <c r="Q23" i="7"/>
  <c r="S23" i="7" s="1"/>
  <c r="Q37" i="7"/>
  <c r="S37" i="7" s="1"/>
  <c r="Q77" i="7"/>
  <c r="S77" i="7" s="1"/>
  <c r="Q79" i="7"/>
  <c r="S79" i="7" s="1"/>
  <c r="Q26" i="7"/>
  <c r="S26" i="7" s="1"/>
  <c r="Q21" i="7"/>
  <c r="S21" i="7" s="1"/>
  <c r="Q41" i="7"/>
  <c r="S41" i="7" s="1"/>
  <c r="Q61" i="7"/>
  <c r="S61" i="7" s="1"/>
  <c r="N81" i="7"/>
  <c r="O81" i="7" s="1"/>
  <c r="R81" i="7" s="1"/>
  <c r="Q81" i="7"/>
  <c r="S81" i="7" s="1"/>
  <c r="Q89" i="7"/>
  <c r="S89" i="7" s="1"/>
  <c r="Q30" i="7"/>
  <c r="S30" i="7" s="1"/>
  <c r="Q64" i="7"/>
  <c r="S64" i="7" s="1"/>
  <c r="Q51" i="7"/>
  <c r="S51" i="7" s="1"/>
  <c r="Q58" i="7"/>
  <c r="S58" i="7" s="1"/>
  <c r="Q39" i="7"/>
  <c r="S39" i="7" s="1"/>
  <c r="Q66" i="7"/>
  <c r="S66" i="7" s="1"/>
  <c r="Q33" i="7"/>
  <c r="S33" i="7" s="1"/>
  <c r="Q47" i="7"/>
  <c r="S47" i="7" s="1"/>
  <c r="Q28" i="7"/>
  <c r="S28" i="7" s="1"/>
  <c r="Q48" i="7"/>
  <c r="S48" i="7" s="1"/>
  <c r="Q68" i="7"/>
  <c r="S68" i="7" s="1"/>
  <c r="Q88" i="7"/>
  <c r="S88" i="7" s="1"/>
  <c r="N22" i="7"/>
  <c r="O22" i="7" s="1"/>
  <c r="R22" i="7" s="1"/>
  <c r="Q22" i="7"/>
  <c r="S22" i="7" s="1"/>
  <c r="Q49" i="7"/>
  <c r="S49" i="7" s="1"/>
  <c r="Q36" i="7"/>
  <c r="S36" i="7" s="1"/>
  <c r="Q44" i="7"/>
  <c r="S44" i="7" s="1"/>
  <c r="Q84" i="7"/>
  <c r="S84" i="7" s="1"/>
  <c r="Q38" i="7"/>
  <c r="S38" i="7" s="1"/>
  <c r="Q78" i="7"/>
  <c r="S78" i="7" s="1"/>
  <c r="Q59" i="7"/>
  <c r="S59" i="7" s="1"/>
  <c r="Q46" i="7"/>
  <c r="S46" i="7" s="1"/>
  <c r="Q35" i="7"/>
  <c r="S35" i="7" s="1"/>
  <c r="Q55" i="7"/>
  <c r="S55" i="7" s="1"/>
  <c r="Q75" i="7"/>
  <c r="S75" i="7" s="1"/>
  <c r="Q94" i="7"/>
  <c r="S94" i="7" s="1"/>
  <c r="Q114" i="7"/>
  <c r="S114" i="7" s="1"/>
  <c r="Q134" i="7"/>
  <c r="S134" i="7" s="1"/>
  <c r="Q154" i="7"/>
  <c r="S154" i="7" s="1"/>
  <c r="Q108" i="7"/>
  <c r="S108" i="7" s="1"/>
  <c r="Q155" i="7"/>
  <c r="S155" i="7" s="1"/>
  <c r="Q101" i="7"/>
  <c r="S101" i="7" s="1"/>
  <c r="Q141" i="7"/>
  <c r="S141" i="7" s="1"/>
  <c r="Q128" i="7"/>
  <c r="S128" i="7" s="1"/>
  <c r="Q95" i="7"/>
  <c r="S95" i="7" s="1"/>
  <c r="Q115" i="7"/>
  <c r="S115" i="7" s="1"/>
  <c r="Q142" i="7"/>
  <c r="S142" i="7" s="1"/>
  <c r="Q143" i="7"/>
  <c r="S143" i="7" s="1"/>
  <c r="Q150" i="7"/>
  <c r="S150" i="7" s="1"/>
  <c r="Q137" i="7"/>
  <c r="S137" i="7" s="1"/>
  <c r="Q104" i="7"/>
  <c r="S104" i="7" s="1"/>
  <c r="Q124" i="7"/>
  <c r="S124" i="7" s="1"/>
  <c r="Q144" i="7"/>
  <c r="S144" i="7" s="1"/>
  <c r="Q91" i="7"/>
  <c r="S91" i="7" s="1"/>
  <c r="Q111" i="7"/>
  <c r="S111" i="7" s="1"/>
  <c r="N131" i="7"/>
  <c r="O131" i="7" s="1"/>
  <c r="R131" i="7" s="1"/>
  <c r="Q131" i="7"/>
  <c r="S131" i="7" s="1"/>
  <c r="N151" i="7"/>
  <c r="O151" i="7" s="1"/>
  <c r="R151" i="7" s="1"/>
  <c r="Q151" i="7"/>
  <c r="S151" i="7" s="1"/>
  <c r="Q98" i="7"/>
  <c r="S98" i="7" s="1"/>
  <c r="Q118" i="7"/>
  <c r="S118" i="7" s="1"/>
  <c r="Q138" i="7"/>
  <c r="S138" i="7" s="1"/>
  <c r="Q158" i="7"/>
  <c r="S158" i="7" s="1"/>
  <c r="Q105" i="7"/>
  <c r="S105" i="7" s="1"/>
  <c r="Q125" i="7"/>
  <c r="S125" i="7" s="1"/>
  <c r="Q145" i="7"/>
  <c r="S145" i="7" s="1"/>
  <c r="Q92" i="7"/>
  <c r="S92" i="7" s="1"/>
  <c r="Q112" i="7"/>
  <c r="S112" i="7" s="1"/>
  <c r="Q119" i="7"/>
  <c r="S119" i="7" s="1"/>
  <c r="Q139" i="7"/>
  <c r="S139" i="7" s="1"/>
  <c r="Q159" i="7"/>
  <c r="S159" i="7" s="1"/>
  <c r="Q148" i="7"/>
  <c r="S148" i="7" s="1"/>
  <c r="Q135" i="7"/>
  <c r="S135" i="7" s="1"/>
  <c r="Q129" i="7"/>
  <c r="S129" i="7" s="1"/>
  <c r="Q149" i="7"/>
  <c r="S149" i="7" s="1"/>
  <c r="Q103" i="7"/>
  <c r="S103" i="7" s="1"/>
  <c r="Q123" i="7"/>
  <c r="S123" i="7" s="1"/>
  <c r="Q90" i="7"/>
  <c r="S90" i="7" s="1"/>
  <c r="Q110" i="7"/>
  <c r="S110" i="7" s="1"/>
  <c r="Q130" i="7"/>
  <c r="S130" i="7" s="1"/>
  <c r="Q97" i="7"/>
  <c r="S97" i="7" s="1"/>
  <c r="Q106" i="7"/>
  <c r="S106" i="7" s="1"/>
  <c r="Q102" i="7"/>
  <c r="S102" i="7" s="1"/>
  <c r="Q93" i="7"/>
  <c r="S93" i="7" s="1"/>
  <c r="Q113" i="7"/>
  <c r="S113" i="7" s="1"/>
  <c r="Q133" i="7"/>
  <c r="S133" i="7" s="1"/>
  <c r="Q153" i="7"/>
  <c r="S153" i="7" s="1"/>
  <c r="Q122" i="7"/>
  <c r="S122" i="7" s="1"/>
  <c r="Q117" i="7"/>
  <c r="S117" i="7" s="1"/>
  <c r="Q157" i="7"/>
  <c r="S157" i="7" s="1"/>
  <c r="Q100" i="7"/>
  <c r="S100" i="7" s="1"/>
  <c r="Q120" i="7"/>
  <c r="S120" i="7" s="1"/>
  <c r="Q140" i="7"/>
  <c r="S140" i="7" s="1"/>
  <c r="Q160" i="7"/>
  <c r="S160" i="7" s="1"/>
  <c r="Q107" i="7"/>
  <c r="S107" i="7" s="1"/>
  <c r="Q127" i="7"/>
  <c r="S127" i="7" s="1"/>
  <c r="Q147" i="7"/>
  <c r="S147" i="7" s="1"/>
  <c r="Q188" i="7"/>
  <c r="S188" i="7" s="1"/>
  <c r="Q175" i="7"/>
  <c r="S175" i="7" s="1"/>
  <c r="Q195" i="7"/>
  <c r="S195" i="7" s="1"/>
  <c r="Q202" i="7"/>
  <c r="S202" i="7" s="1"/>
  <c r="Q229" i="7"/>
  <c r="S229" i="7" s="1"/>
  <c r="Q223" i="7"/>
  <c r="S223" i="7" s="1"/>
  <c r="Q210" i="7"/>
  <c r="S210" i="7" s="1"/>
  <c r="Q164" i="7"/>
  <c r="S164" i="7" s="1"/>
  <c r="Q198" i="7"/>
  <c r="S198" i="7" s="1"/>
  <c r="Q225" i="7"/>
  <c r="S225" i="7" s="1"/>
  <c r="Q192" i="7"/>
  <c r="S192" i="7" s="1"/>
  <c r="Q212" i="7"/>
  <c r="S212" i="7" s="1"/>
  <c r="Q199" i="7"/>
  <c r="S199" i="7" s="1"/>
  <c r="Q173" i="7"/>
  <c r="S173" i="7" s="1"/>
  <c r="Q193" i="7"/>
  <c r="S193" i="7" s="1"/>
  <c r="Q213" i="7"/>
  <c r="S213" i="7" s="1"/>
  <c r="Q233" i="7"/>
  <c r="S233" i="7" s="1"/>
  <c r="Q174" i="7"/>
  <c r="S174" i="7" s="1"/>
  <c r="Q194" i="7"/>
  <c r="S194" i="7" s="1"/>
  <c r="N201" i="7"/>
  <c r="O201" i="7" s="1"/>
  <c r="R201" i="7" s="1"/>
  <c r="Q201" i="7"/>
  <c r="S201" i="7" s="1"/>
  <c r="Q228" i="7"/>
  <c r="S228" i="7" s="1"/>
  <c r="Q196" i="7"/>
  <c r="S196" i="7" s="1"/>
  <c r="Q163" i="7"/>
  <c r="S163" i="7" s="1"/>
  <c r="Q183" i="7"/>
  <c r="S183" i="7" s="1"/>
  <c r="Q203" i="7"/>
  <c r="S203" i="7" s="1"/>
  <c r="Q170" i="7"/>
  <c r="S170" i="7" s="1"/>
  <c r="Q190" i="7"/>
  <c r="S190" i="7" s="1"/>
  <c r="Q230" i="7"/>
  <c r="S230" i="7" s="1"/>
  <c r="Q217" i="7"/>
  <c r="S217" i="7" s="1"/>
  <c r="Q224" i="7"/>
  <c r="S224" i="7" s="1"/>
  <c r="Q178" i="7"/>
  <c r="S178" i="7" s="1"/>
  <c r="Q218" i="7"/>
  <c r="S218" i="7" s="1"/>
  <c r="Q232" i="7"/>
  <c r="S232" i="7" s="1"/>
  <c r="Q179" i="7"/>
  <c r="S179" i="7" s="1"/>
  <c r="Q180" i="7"/>
  <c r="S180" i="7" s="1"/>
  <c r="Q200" i="7"/>
  <c r="S200" i="7" s="1"/>
  <c r="Q220" i="7"/>
  <c r="S220" i="7" s="1"/>
  <c r="Q214" i="7"/>
  <c r="S214" i="7" s="1"/>
  <c r="Q168" i="7"/>
  <c r="S168" i="7" s="1"/>
  <c r="Q208" i="7"/>
  <c r="S208" i="7" s="1"/>
  <c r="Q215" i="7"/>
  <c r="S215" i="7" s="1"/>
  <c r="Q162" i="7"/>
  <c r="S162" i="7" s="1"/>
  <c r="Q182" i="7"/>
  <c r="S182" i="7" s="1"/>
  <c r="Q222" i="7"/>
  <c r="S222" i="7" s="1"/>
  <c r="Q169" i="7"/>
  <c r="S169" i="7" s="1"/>
  <c r="Q189" i="7"/>
  <c r="S189" i="7" s="1"/>
  <c r="Q209" i="7"/>
  <c r="S209" i="7" s="1"/>
  <c r="Q177" i="7"/>
  <c r="S177" i="7" s="1"/>
  <c r="Q197" i="7"/>
  <c r="S197" i="7" s="1"/>
  <c r="Q184" i="7"/>
  <c r="S184" i="7" s="1"/>
  <c r="Q204" i="7"/>
  <c r="S204" i="7" s="1"/>
  <c r="N171" i="7"/>
  <c r="O171" i="7" s="1"/>
  <c r="R171" i="7" s="1"/>
  <c r="Q171" i="7"/>
  <c r="S171" i="7" s="1"/>
  <c r="Q165" i="7"/>
  <c r="S165" i="7" s="1"/>
  <c r="Q185" i="7"/>
  <c r="S185" i="7" s="1"/>
  <c r="Q205" i="7"/>
  <c r="S205" i="7" s="1"/>
  <c r="Q172" i="7"/>
  <c r="S172" i="7" s="1"/>
  <c r="Q219" i="7"/>
  <c r="S219" i="7" s="1"/>
  <c r="Q167" i="7"/>
  <c r="S167" i="7" s="1"/>
  <c r="Q187" i="7"/>
  <c r="S187" i="7" s="1"/>
  <c r="Q207" i="7"/>
  <c r="S207" i="7" s="1"/>
  <c r="Q227" i="7"/>
  <c r="S227" i="7" s="1"/>
  <c r="N225" i="7"/>
  <c r="O225" i="7" s="1"/>
  <c r="R225" i="7" s="1"/>
  <c r="N25" i="7"/>
  <c r="O25" i="7" s="1"/>
  <c r="R25" i="7" s="1"/>
  <c r="N109" i="7"/>
  <c r="O109" i="7" s="1"/>
  <c r="R109" i="7" s="1"/>
  <c r="N43" i="7"/>
  <c r="O43" i="7" s="1"/>
  <c r="R43" i="7" s="1"/>
  <c r="N63" i="7"/>
  <c r="O63" i="7" s="1"/>
  <c r="R63" i="7" s="1"/>
  <c r="N107" i="7"/>
  <c r="O107" i="7" s="1"/>
  <c r="R107" i="7" s="1"/>
  <c r="N91" i="7"/>
  <c r="O91" i="7" s="1"/>
  <c r="R91" i="7" s="1"/>
  <c r="N124" i="7"/>
  <c r="O124" i="7" s="1"/>
  <c r="R124" i="7" s="1"/>
  <c r="N118" i="7"/>
  <c r="O118" i="7" s="1"/>
  <c r="R118" i="7" s="1"/>
  <c r="N211" i="7"/>
  <c r="O211" i="7" s="1"/>
  <c r="R211" i="7" s="1"/>
  <c r="N99" i="7"/>
  <c r="O99" i="7" s="1"/>
  <c r="R99" i="7" s="1"/>
  <c r="N132" i="7"/>
  <c r="O132" i="7" s="1"/>
  <c r="R132" i="7" s="1"/>
  <c r="N152" i="7"/>
  <c r="O152" i="7" s="1"/>
  <c r="R152" i="7" s="1"/>
  <c r="N47" i="7"/>
  <c r="O47" i="7" s="1"/>
  <c r="R47" i="7" s="1"/>
  <c r="N162" i="7"/>
  <c r="O162" i="7" s="1"/>
  <c r="R162" i="7" s="1"/>
  <c r="N202" i="7"/>
  <c r="O202" i="7" s="1"/>
  <c r="R202" i="7" s="1"/>
  <c r="N30" i="7"/>
  <c r="O30" i="7" s="1"/>
  <c r="R30" i="7" s="1"/>
  <c r="N121" i="7"/>
  <c r="O121" i="7" s="1"/>
  <c r="R121" i="7" s="1"/>
  <c r="N141" i="7"/>
  <c r="O141" i="7" s="1"/>
  <c r="R141" i="7" s="1"/>
  <c r="N161" i="7"/>
  <c r="O161" i="7" s="1"/>
  <c r="R161" i="7" s="1"/>
  <c r="N119" i="7"/>
  <c r="O119" i="7" s="1"/>
  <c r="R119" i="7" s="1"/>
  <c r="N20" i="7"/>
  <c r="O20" i="7" s="1"/>
  <c r="R20" i="7" s="1"/>
  <c r="N180" i="7"/>
  <c r="O180" i="7" s="1"/>
  <c r="R180" i="7" s="1"/>
  <c r="N59" i="7"/>
  <c r="O59" i="7" s="1"/>
  <c r="R59" i="7" s="1"/>
  <c r="N103" i="7"/>
  <c r="O103" i="7" s="1"/>
  <c r="R103" i="7" s="1"/>
  <c r="N128" i="7"/>
  <c r="O128" i="7" s="1"/>
  <c r="R128" i="7" s="1"/>
  <c r="N148" i="7"/>
  <c r="O148" i="7" s="1"/>
  <c r="R148" i="7" s="1"/>
  <c r="N174" i="7"/>
  <c r="O174" i="7" s="1"/>
  <c r="R174" i="7" s="1"/>
  <c r="S211" i="7"/>
  <c r="N72" i="7"/>
  <c r="O72" i="7" s="1"/>
  <c r="R72" i="7" s="1"/>
  <c r="S109" i="7"/>
  <c r="N122" i="7"/>
  <c r="O122" i="7" s="1"/>
  <c r="R122" i="7" s="1"/>
  <c r="N135" i="7"/>
  <c r="O135" i="7" s="1"/>
  <c r="R135" i="7" s="1"/>
  <c r="N155" i="7"/>
  <c r="O155" i="7" s="1"/>
  <c r="R155" i="7" s="1"/>
  <c r="N104" i="7"/>
  <c r="O104" i="7" s="1"/>
  <c r="R104" i="7" s="1"/>
  <c r="N136" i="7"/>
  <c r="O136" i="7" s="1"/>
  <c r="R136" i="7" s="1"/>
  <c r="N156" i="7"/>
  <c r="O156" i="7" s="1"/>
  <c r="R156" i="7" s="1"/>
  <c r="N175" i="7"/>
  <c r="O175" i="7" s="1"/>
  <c r="R175" i="7" s="1"/>
  <c r="N68" i="7"/>
  <c r="O68" i="7" s="1"/>
  <c r="R68" i="7" s="1"/>
  <c r="N158" i="7"/>
  <c r="O158" i="7" s="1"/>
  <c r="R158" i="7" s="1"/>
  <c r="N228" i="7"/>
  <c r="O228" i="7" s="1"/>
  <c r="R228" i="7" s="1"/>
  <c r="N26" i="7"/>
  <c r="O26" i="7" s="1"/>
  <c r="R26" i="7" s="1"/>
  <c r="N51" i="7"/>
  <c r="O51" i="7" s="1"/>
  <c r="R51" i="7" s="1"/>
  <c r="N127" i="7"/>
  <c r="O127" i="7" s="1"/>
  <c r="R127" i="7" s="1"/>
  <c r="N167" i="7"/>
  <c r="O167" i="7" s="1"/>
  <c r="R167" i="7" s="1"/>
  <c r="N87" i="7"/>
  <c r="O87" i="7" s="1"/>
  <c r="R87" i="7" s="1"/>
  <c r="N145" i="7"/>
  <c r="O145" i="7" s="1"/>
  <c r="R145" i="7" s="1"/>
  <c r="N215" i="7"/>
  <c r="O215" i="7" s="1"/>
  <c r="R215" i="7" s="1"/>
  <c r="N19" i="7"/>
  <c r="O19" i="7" s="1"/>
  <c r="R19" i="7" s="1"/>
  <c r="N113" i="7"/>
  <c r="O113" i="7" s="1"/>
  <c r="R113" i="7" s="1"/>
  <c r="N222" i="7"/>
  <c r="O222" i="7" s="1"/>
  <c r="R222" i="7" s="1"/>
  <c r="N32" i="7"/>
  <c r="O32" i="7" s="1"/>
  <c r="R32" i="7" s="1"/>
  <c r="N147" i="7"/>
  <c r="O147" i="7" s="1"/>
  <c r="R147" i="7" s="1"/>
  <c r="N117" i="7"/>
  <c r="O117" i="7" s="1"/>
  <c r="R117" i="7" s="1"/>
  <c r="N89" i="7"/>
  <c r="O89" i="7" s="1"/>
  <c r="R89" i="7" s="1"/>
  <c r="N42" i="7"/>
  <c r="O42" i="7" s="1"/>
  <c r="R42" i="7" s="1"/>
  <c r="N86" i="7"/>
  <c r="O86" i="7" s="1"/>
  <c r="R86" i="7" s="1"/>
  <c r="N111" i="7"/>
  <c r="O111" i="7" s="1"/>
  <c r="R111" i="7" s="1"/>
  <c r="N176" i="7"/>
  <c r="O176" i="7" s="1"/>
  <c r="R176" i="7" s="1"/>
  <c r="N182" i="7"/>
  <c r="O182" i="7" s="1"/>
  <c r="R182" i="7" s="1"/>
  <c r="N106" i="7"/>
  <c r="O106" i="7" s="1"/>
  <c r="R106" i="7" s="1"/>
  <c r="N165" i="7"/>
  <c r="O165" i="7" s="1"/>
  <c r="R165" i="7" s="1"/>
  <c r="N57" i="7"/>
  <c r="O57" i="7" s="1"/>
  <c r="R57" i="7" s="1"/>
  <c r="N101" i="7"/>
  <c r="O101" i="7" s="1"/>
  <c r="R101" i="7" s="1"/>
  <c r="N114" i="7"/>
  <c r="O114" i="7" s="1"/>
  <c r="R114" i="7" s="1"/>
  <c r="N61" i="7"/>
  <c r="O61" i="7" s="1"/>
  <c r="R61" i="7" s="1"/>
  <c r="N80" i="7"/>
  <c r="O80" i="7" s="1"/>
  <c r="R80" i="7" s="1"/>
  <c r="N84" i="7"/>
  <c r="O84" i="7" s="1"/>
  <c r="R84" i="7" s="1"/>
  <c r="N105" i="7"/>
  <c r="O105" i="7" s="1"/>
  <c r="R105" i="7" s="1"/>
  <c r="N218" i="7"/>
  <c r="O218" i="7" s="1"/>
  <c r="R218" i="7" s="1"/>
  <c r="N213" i="7"/>
  <c r="O213" i="7" s="1"/>
  <c r="R213" i="7" s="1"/>
  <c r="N21" i="7"/>
  <c r="O21" i="7" s="1"/>
  <c r="R21" i="7" s="1"/>
  <c r="N212" i="7"/>
  <c r="O212" i="7" s="1"/>
  <c r="R212" i="7" s="1"/>
  <c r="N150" i="7"/>
  <c r="O150" i="7" s="1"/>
  <c r="R150" i="7" s="1"/>
  <c r="N95" i="7"/>
  <c r="O95" i="7" s="1"/>
  <c r="R95" i="7" s="1"/>
  <c r="N172" i="7"/>
  <c r="O172" i="7" s="1"/>
  <c r="R172" i="7" s="1"/>
  <c r="N197" i="7"/>
  <c r="O197" i="7" s="1"/>
  <c r="R197" i="7" s="1"/>
  <c r="S176" i="7"/>
  <c r="N177" i="7"/>
  <c r="O177" i="7" s="1"/>
  <c r="R177" i="7" s="1"/>
  <c r="N75" i="7"/>
  <c r="O75" i="7" s="1"/>
  <c r="R75" i="7" s="1"/>
  <c r="N55" i="7"/>
  <c r="O55" i="7" s="1"/>
  <c r="R55" i="7" s="1"/>
  <c r="S80" i="7"/>
  <c r="N34" i="7"/>
  <c r="O34" i="7" s="1"/>
  <c r="R34" i="7" s="1"/>
  <c r="N66" i="7"/>
  <c r="O66" i="7" s="1"/>
  <c r="R66" i="7" s="1"/>
  <c r="N92" i="7"/>
  <c r="O92" i="7" s="1"/>
  <c r="R92" i="7" s="1"/>
  <c r="N97" i="7"/>
  <c r="O97" i="7" s="1"/>
  <c r="R97" i="7" s="1"/>
  <c r="N157" i="7"/>
  <c r="O157" i="7" s="1"/>
  <c r="R157" i="7" s="1"/>
  <c r="N168" i="7"/>
  <c r="O168" i="7" s="1"/>
  <c r="R168" i="7" s="1"/>
  <c r="N178" i="7"/>
  <c r="O178" i="7" s="1"/>
  <c r="R178" i="7" s="1"/>
  <c r="N189" i="7"/>
  <c r="O189" i="7" s="1"/>
  <c r="R189" i="7" s="1"/>
  <c r="N204" i="7"/>
  <c r="O204" i="7" s="1"/>
  <c r="R204" i="7" s="1"/>
  <c r="N24" i="7"/>
  <c r="O24" i="7" s="1"/>
  <c r="R24" i="7" s="1"/>
  <c r="N45" i="7"/>
  <c r="O45" i="7" s="1"/>
  <c r="R45" i="7" s="1"/>
  <c r="S136" i="7"/>
  <c r="N221" i="7"/>
  <c r="O221" i="7" s="1"/>
  <c r="R221" i="7" s="1"/>
  <c r="N232" i="7"/>
  <c r="O232" i="7" s="1"/>
  <c r="R232" i="7" s="1"/>
  <c r="N71" i="7"/>
  <c r="O71" i="7" s="1"/>
  <c r="R71" i="7" s="1"/>
  <c r="N76" i="7"/>
  <c r="O76" i="7" s="1"/>
  <c r="R76" i="7" s="1"/>
  <c r="N142" i="7"/>
  <c r="O142" i="7" s="1"/>
  <c r="R142" i="7" s="1"/>
  <c r="N184" i="7"/>
  <c r="O184" i="7" s="1"/>
  <c r="R184" i="7" s="1"/>
  <c r="N195" i="7"/>
  <c r="O195" i="7" s="1"/>
  <c r="R195" i="7" s="1"/>
  <c r="N192" i="7"/>
  <c r="O192" i="7" s="1"/>
  <c r="R192" i="7" s="1"/>
  <c r="N46" i="7"/>
  <c r="O46" i="7" s="1"/>
  <c r="R46" i="7" s="1"/>
  <c r="N67" i="7"/>
  <c r="O67" i="7" s="1"/>
  <c r="R67" i="7" s="1"/>
  <c r="N137" i="7"/>
  <c r="O137" i="7" s="1"/>
  <c r="R137" i="7" s="1"/>
  <c r="N153" i="7"/>
  <c r="O153" i="7" s="1"/>
  <c r="R153" i="7" s="1"/>
  <c r="N205" i="7"/>
  <c r="O205" i="7" s="1"/>
  <c r="R205" i="7" s="1"/>
  <c r="N216" i="7"/>
  <c r="O216" i="7" s="1"/>
  <c r="R216" i="7" s="1"/>
  <c r="N94" i="7"/>
  <c r="O94" i="7" s="1"/>
  <c r="R94" i="7" s="1"/>
  <c r="N134" i="7"/>
  <c r="O134" i="7" s="1"/>
  <c r="R134" i="7" s="1"/>
  <c r="N144" i="7"/>
  <c r="O144" i="7" s="1"/>
  <c r="R144" i="7" s="1"/>
  <c r="N78" i="7"/>
  <c r="O78" i="7" s="1"/>
  <c r="R78" i="7" s="1"/>
  <c r="N110" i="7"/>
  <c r="O110" i="7" s="1"/>
  <c r="R110" i="7" s="1"/>
  <c r="N120" i="7"/>
  <c r="O120" i="7" s="1"/>
  <c r="R120" i="7" s="1"/>
  <c r="N187" i="7"/>
  <c r="O187" i="7" s="1"/>
  <c r="R187" i="7" s="1"/>
  <c r="N125" i="7"/>
  <c r="O125" i="7" s="1"/>
  <c r="R125" i="7" s="1"/>
  <c r="N193" i="7"/>
  <c r="O193" i="7" s="1"/>
  <c r="R193" i="7" s="1"/>
  <c r="N224" i="7"/>
  <c r="O224" i="7" s="1"/>
  <c r="R224" i="7" s="1"/>
  <c r="N74" i="7"/>
  <c r="O74" i="7" s="1"/>
  <c r="R74" i="7" s="1"/>
  <c r="N49" i="7"/>
  <c r="O49" i="7" s="1"/>
  <c r="R49" i="7" s="1"/>
  <c r="N188" i="7"/>
  <c r="O188" i="7" s="1"/>
  <c r="R188" i="7" s="1"/>
  <c r="N60" i="7"/>
  <c r="O60" i="7" s="1"/>
  <c r="R60" i="7" s="1"/>
  <c r="N220" i="7"/>
  <c r="O220" i="7" s="1"/>
  <c r="R220" i="7" s="1"/>
  <c r="N41" i="7"/>
  <c r="O41" i="7" s="1"/>
  <c r="R41" i="7" s="1"/>
  <c r="N58" i="7"/>
  <c r="O58" i="7" s="1"/>
  <c r="R58" i="7" s="1"/>
  <c r="N160" i="7"/>
  <c r="O160" i="7" s="1"/>
  <c r="R160" i="7" s="1"/>
  <c r="N38" i="7"/>
  <c r="O38" i="7" s="1"/>
  <c r="R38" i="7" s="1"/>
  <c r="N230" i="7"/>
  <c r="O230" i="7" s="1"/>
  <c r="R230" i="7" s="1"/>
  <c r="N54" i="7"/>
  <c r="O54" i="7" s="1"/>
  <c r="R54" i="7" s="1"/>
  <c r="N44" i="7"/>
  <c r="O44" i="7" s="1"/>
  <c r="R44" i="7" s="1"/>
  <c r="S25" i="7"/>
  <c r="N170" i="7"/>
  <c r="O170" i="7" s="1"/>
  <c r="R170" i="7" s="1"/>
  <c r="N185" i="7"/>
  <c r="O185" i="7" s="1"/>
  <c r="R185" i="7" s="1"/>
  <c r="N130" i="7"/>
  <c r="O130" i="7" s="1"/>
  <c r="R130" i="7" s="1"/>
  <c r="N208" i="7"/>
  <c r="O208" i="7" s="1"/>
  <c r="R208" i="7" s="1"/>
  <c r="N85" i="7"/>
  <c r="O85" i="7" s="1"/>
  <c r="R85" i="7" s="1"/>
  <c r="N33" i="7"/>
  <c r="O33" i="7" s="1"/>
  <c r="R33" i="7" s="1"/>
  <c r="S156" i="7"/>
  <c r="N194" i="7"/>
  <c r="O194" i="7" s="1"/>
  <c r="R194" i="7" s="1"/>
  <c r="N39" i="7"/>
  <c r="O39" i="7" s="1"/>
  <c r="R39" i="7" s="1"/>
  <c r="N31" i="7"/>
  <c r="O31" i="7" s="1"/>
  <c r="R31" i="7" s="1"/>
  <c r="N36" i="7"/>
  <c r="O36" i="7" s="1"/>
  <c r="R36" i="7" s="1"/>
  <c r="N62" i="7"/>
  <c r="O62" i="7" s="1"/>
  <c r="R62" i="7" s="1"/>
  <c r="N83" i="7"/>
  <c r="O83" i="7" s="1"/>
  <c r="R83" i="7" s="1"/>
  <c r="N138" i="7"/>
  <c r="O138" i="7" s="1"/>
  <c r="R138" i="7" s="1"/>
  <c r="N196" i="7"/>
  <c r="O196" i="7" s="1"/>
  <c r="R196" i="7" s="1"/>
  <c r="S216" i="7"/>
  <c r="N169" i="7"/>
  <c r="O169" i="7" s="1"/>
  <c r="R169" i="7" s="1"/>
  <c r="N190" i="7"/>
  <c r="O190" i="7" s="1"/>
  <c r="R190" i="7" s="1"/>
  <c r="N203" i="7"/>
  <c r="O203" i="7" s="1"/>
  <c r="R203" i="7" s="1"/>
  <c r="N217" i="7"/>
  <c r="O217" i="7" s="1"/>
  <c r="R217" i="7" s="1"/>
  <c r="N50" i="7"/>
  <c r="N231" i="7"/>
  <c r="O231" i="7" s="1"/>
  <c r="R231" i="7" s="1"/>
  <c r="S231" i="7"/>
  <c r="N79" i="7"/>
  <c r="O79" i="7" s="1"/>
  <c r="R79" i="7" s="1"/>
  <c r="N96" i="7"/>
  <c r="O96" i="7" s="1"/>
  <c r="R96" i="7" s="1"/>
  <c r="S96" i="7"/>
  <c r="N126" i="7"/>
  <c r="O126" i="7" s="1"/>
  <c r="R126" i="7" s="1"/>
  <c r="S126" i="7"/>
  <c r="N186" i="7"/>
  <c r="O186" i="7" s="1"/>
  <c r="R186" i="7" s="1"/>
  <c r="S186" i="7"/>
  <c r="N191" i="7"/>
  <c r="O191" i="7" s="1"/>
  <c r="R191" i="7" s="1"/>
  <c r="S191" i="7"/>
  <c r="S116" i="7"/>
  <c r="N116" i="7"/>
  <c r="O116" i="7" s="1"/>
  <c r="R116" i="7" s="1"/>
  <c r="N108" i="7"/>
  <c r="O108" i="7" s="1"/>
  <c r="R108" i="7" s="1"/>
  <c r="N198" i="7"/>
  <c r="O198" i="7" s="1"/>
  <c r="R198" i="7" s="1"/>
  <c r="N164" i="7"/>
  <c r="O164" i="7" s="1"/>
  <c r="R164" i="7" s="1"/>
  <c r="N29" i="7"/>
  <c r="O29" i="7" s="1"/>
  <c r="R29" i="7" s="1"/>
  <c r="N143" i="7"/>
  <c r="O143" i="7" s="1"/>
  <c r="R143" i="7" s="1"/>
  <c r="N200" i="7"/>
  <c r="O200" i="7" s="1"/>
  <c r="R200" i="7" s="1"/>
  <c r="N93" i="7"/>
  <c r="O93" i="7" s="1"/>
  <c r="R93" i="7" s="1"/>
  <c r="N214" i="7"/>
  <c r="O214" i="7" s="1"/>
  <c r="R214" i="7" s="1"/>
  <c r="N102" i="7"/>
  <c r="O102" i="7" s="1"/>
  <c r="R102" i="7" s="1"/>
  <c r="N166" i="7"/>
  <c r="O166" i="7" s="1"/>
  <c r="R166" i="7" s="1"/>
  <c r="S166" i="7"/>
  <c r="N179" i="7"/>
  <c r="O179" i="7" s="1"/>
  <c r="R179" i="7" s="1"/>
  <c r="N207" i="7"/>
  <c r="O207" i="7" s="1"/>
  <c r="R207" i="7" s="1"/>
  <c r="N210" i="7"/>
  <c r="O210" i="7" s="1"/>
  <c r="R210" i="7" s="1"/>
  <c r="N65" i="7"/>
  <c r="O65" i="7" s="1"/>
  <c r="R65" i="7" s="1"/>
  <c r="N73" i="7"/>
  <c r="O73" i="7" s="1"/>
  <c r="R73" i="7" s="1"/>
  <c r="N69" i="7"/>
  <c r="O69" i="7" s="1"/>
  <c r="R69" i="7" s="1"/>
  <c r="N82" i="7"/>
  <c r="O82" i="7" s="1"/>
  <c r="R82" i="7" s="1"/>
  <c r="N159" i="7"/>
  <c r="O159" i="7" s="1"/>
  <c r="R159" i="7" s="1"/>
  <c r="N37" i="7"/>
  <c r="O37" i="7" s="1"/>
  <c r="R37" i="7" s="1"/>
  <c r="N53" i="7"/>
  <c r="O53" i="7" s="1"/>
  <c r="R53" i="7" s="1"/>
  <c r="N70" i="7"/>
  <c r="O70" i="7" s="1"/>
  <c r="R70" i="7" s="1"/>
  <c r="S121" i="7"/>
  <c r="N98" i="7"/>
  <c r="O98" i="7" s="1"/>
  <c r="R98" i="7" s="1"/>
  <c r="N90" i="7"/>
  <c r="O90" i="7" s="1"/>
  <c r="R90" i="7" s="1"/>
  <c r="N140" i="7"/>
  <c r="O140" i="7" s="1"/>
  <c r="R140" i="7" s="1"/>
  <c r="N149" i="7"/>
  <c r="O149" i="7" s="1"/>
  <c r="R149" i="7" s="1"/>
  <c r="N206" i="7"/>
  <c r="O206" i="7" s="1"/>
  <c r="R206" i="7" s="1"/>
  <c r="S206" i="7"/>
  <c r="N40" i="7"/>
  <c r="O40" i="7" s="1"/>
  <c r="R40" i="7" s="1"/>
  <c r="N181" i="7"/>
  <c r="O181" i="7" s="1"/>
  <c r="R181" i="7" s="1"/>
  <c r="S181" i="7"/>
  <c r="N223" i="7"/>
  <c r="O223" i="7" s="1"/>
  <c r="R223" i="7" s="1"/>
  <c r="N27" i="7"/>
  <c r="O27" i="7" s="1"/>
  <c r="R27" i="7" s="1"/>
  <c r="N52" i="7"/>
  <c r="O52" i="7" s="1"/>
  <c r="R52" i="7" s="1"/>
  <c r="N56" i="7"/>
  <c r="O56" i="7" s="1"/>
  <c r="R56" i="7" s="1"/>
  <c r="N154" i="7"/>
  <c r="O154" i="7" s="1"/>
  <c r="R154" i="7" s="1"/>
  <c r="N183" i="7"/>
  <c r="O183" i="7" s="1"/>
  <c r="R183" i="7" s="1"/>
  <c r="N115" i="7"/>
  <c r="O115" i="7" s="1"/>
  <c r="R115" i="7" s="1"/>
  <c r="N139" i="7"/>
  <c r="O139" i="7" s="1"/>
  <c r="R139" i="7" s="1"/>
  <c r="N173" i="7"/>
  <c r="O173" i="7" s="1"/>
  <c r="R173" i="7" s="1"/>
  <c r="N129" i="7"/>
  <c r="O129" i="7" s="1"/>
  <c r="R129" i="7" s="1"/>
  <c r="N146" i="7"/>
  <c r="O146" i="7" s="1"/>
  <c r="R146" i="7" s="1"/>
  <c r="S146" i="7"/>
  <c r="N28" i="7"/>
  <c r="O28" i="7" s="1"/>
  <c r="R28" i="7" s="1"/>
  <c r="N112" i="7"/>
  <c r="O112" i="7" s="1"/>
  <c r="R112" i="7" s="1"/>
  <c r="N163" i="7"/>
  <c r="O163" i="7" s="1"/>
  <c r="R163" i="7" s="1"/>
  <c r="S221" i="7"/>
  <c r="N209" i="7"/>
  <c r="O209" i="7" s="1"/>
  <c r="R209" i="7" s="1"/>
  <c r="N226" i="7"/>
  <c r="O226" i="7" s="1"/>
  <c r="R226" i="7" s="1"/>
  <c r="S226" i="7"/>
  <c r="N133" i="7"/>
  <c r="O133" i="7" s="1"/>
  <c r="R133" i="7" s="1"/>
  <c r="N35" i="7"/>
  <c r="O35" i="7" s="1"/>
  <c r="R35" i="7" s="1"/>
  <c r="N64" i="7"/>
  <c r="O64" i="7" s="1"/>
  <c r="R64" i="7" s="1"/>
  <c r="N100" i="7"/>
  <c r="O100" i="7" s="1"/>
  <c r="R100" i="7" s="1"/>
  <c r="N23" i="7"/>
  <c r="O23" i="7" s="1"/>
  <c r="R23" i="7" s="1"/>
  <c r="N233" i="7"/>
  <c r="O233" i="7" s="1"/>
  <c r="R233" i="7" s="1"/>
  <c r="N229" i="7"/>
  <c r="O229" i="7" s="1"/>
  <c r="R229" i="7" s="1"/>
  <c r="N48" i="7"/>
  <c r="O48" i="7" s="1"/>
  <c r="R48" i="7" s="1"/>
  <c r="N77" i="7"/>
  <c r="O77" i="7" s="1"/>
  <c r="R77" i="7" s="1"/>
  <c r="N123" i="7"/>
  <c r="O123" i="7" s="1"/>
  <c r="R123" i="7" s="1"/>
  <c r="N219" i="7"/>
  <c r="O219" i="7" s="1"/>
  <c r="R219" i="7" s="1"/>
  <c r="S161" i="7"/>
  <c r="N199" i="7"/>
  <c r="O199" i="7" s="1"/>
  <c r="R199" i="7" s="1"/>
  <c r="N88" i="7"/>
  <c r="O88" i="7" s="1"/>
  <c r="R88" i="7" s="1"/>
  <c r="N18" i="7"/>
  <c r="O18" i="7" l="1"/>
  <c r="R18" i="7" s="1"/>
  <c r="O50" i="7"/>
  <c r="R50" i="7" s="1"/>
</calcChain>
</file>

<file path=xl/sharedStrings.xml><?xml version="1.0" encoding="utf-8"?>
<sst xmlns="http://schemas.openxmlformats.org/spreadsheetml/2006/main" count="4253" uniqueCount="290">
  <si>
    <t>Spandrels R(ft2·°F·h/BTU)</t>
  </si>
  <si>
    <t>Glass R(ft2·°F·h/BTU)</t>
  </si>
  <si>
    <t>Air Leakage</t>
  </si>
  <si>
    <t>LPD</t>
  </si>
  <si>
    <t>ERV</t>
  </si>
  <si>
    <t>Controls</t>
  </si>
  <si>
    <t>HVAC System</t>
  </si>
  <si>
    <t>Solar PV</t>
  </si>
  <si>
    <t>Electricity kWh</t>
  </si>
  <si>
    <t>Natural Gas kWh</t>
  </si>
  <si>
    <t>Total Energy kWh</t>
  </si>
  <si>
    <t>TEUI kWh/m²</t>
  </si>
  <si>
    <t>TEDI kWh/m²</t>
  </si>
  <si>
    <t>GHGI kgCO2/m²</t>
  </si>
  <si>
    <t>En Saving %</t>
  </si>
  <si>
    <t>GHG Saving%</t>
  </si>
  <si>
    <t>Current</t>
  </si>
  <si>
    <t>None</t>
  </si>
  <si>
    <t>No</t>
  </si>
  <si>
    <t>Improved</t>
  </si>
  <si>
    <t>ASHP</t>
  </si>
  <si>
    <t>Yes</t>
  </si>
  <si>
    <t>Run ID</t>
  </si>
  <si>
    <t>File Name</t>
  </si>
  <si>
    <t>Run Date</t>
  </si>
  <si>
    <t>Gross
Floor
Area
(ft²)</t>
  </si>
  <si>
    <t>Gross
Volume
(ft³)</t>
  </si>
  <si>
    <t>Gross
Exterior
Walls
(ft²)</t>
  </si>
  <si>
    <t>Gross
Exterior
Roofs
(ft²)</t>
  </si>
  <si>
    <t>Gross
Exterior
Floors
(ft²)</t>
  </si>
  <si>
    <t>Gross
Windows
(ft²)</t>
  </si>
  <si>
    <t>Gross
Skylights
(ft²)</t>
  </si>
  <si>
    <t>Walls
(MBTU)</t>
  </si>
  <si>
    <t>Roofs
(MBTU)</t>
  </si>
  <si>
    <t>Interior
Surface
(MBTU)</t>
  </si>
  <si>
    <t>Underground
Surface
(MBTU)</t>
  </si>
  <si>
    <t>Infiltration
(MBTU)</t>
  </si>
  <si>
    <t>Window
Conduction
(MBTU)</t>
  </si>
  <si>
    <t>Window
Solar
(MBTU)</t>
  </si>
  <si>
    <t>Occupants
(MBTU)</t>
  </si>
  <si>
    <t>Lights
(MBTU)</t>
  </si>
  <si>
    <t>Equipment
(MBTU)</t>
  </si>
  <si>
    <t>Source
(MBTU)</t>
  </si>
  <si>
    <t>Total
(MBTU)</t>
  </si>
  <si>
    <t>Total
Heating
Coil
(MBTU)</t>
  </si>
  <si>
    <t>Under
Heated
Hours</t>
  </si>
  <si>
    <t>Under
Cooled
Hours</t>
  </si>
  <si>
    <t>$</t>
  </si>
  <si>
    <t>Task
Light
(MBTU)</t>
  </si>
  <si>
    <t>Misc.
Equip
(MBTU)</t>
  </si>
  <si>
    <t>Space
Heating
(MBTU)</t>
  </si>
  <si>
    <t>Space
Cooling
(MBTU)</t>
  </si>
  <si>
    <t>Heat
Rejection
(MBTU)</t>
  </si>
  <si>
    <t>Pumps
 &amp; Aux
(MBTU)</t>
  </si>
  <si>
    <t>Ventilation
Fans
(MBTU)</t>
  </si>
  <si>
    <t>Refrig
Display
(MBTU)</t>
  </si>
  <si>
    <t>Heat
Pump
Supplimental
(MBTU)</t>
  </si>
  <si>
    <t>Domestic
Hot
Water
(MBTU)</t>
  </si>
  <si>
    <t>Exterior
Usage
(MBTU)</t>
  </si>
  <si>
    <t>Lights
(kBTUH)</t>
  </si>
  <si>
    <t>Task
Light
(kBTUH)</t>
  </si>
  <si>
    <t>Misc.
Equip
(kBTUH)</t>
  </si>
  <si>
    <t>Space
Heating
(kBTUH)</t>
  </si>
  <si>
    <t>Space
Cooling
(kBTUH)</t>
  </si>
  <si>
    <t>Heat
Rejection
(kBTUH)</t>
  </si>
  <si>
    <t>Pumps
 &amp; Aux
(kBTUH)</t>
  </si>
  <si>
    <t>Ventilation
Fans
(kBTUH)</t>
  </si>
  <si>
    <t>Refrig
Display
(kBTUH)</t>
  </si>
  <si>
    <t>Heat
Pump
Supplimental
(kBTUH)</t>
  </si>
  <si>
    <t>Domestic
Hot
Water
(kBTUH)</t>
  </si>
  <si>
    <t>Exterior
Usage
(kBTUH)</t>
  </si>
  <si>
    <t>Total
(kBTUH)</t>
  </si>
  <si>
    <t>x</t>
  </si>
  <si>
    <t>1AAAAA</t>
  </si>
  <si>
    <t>4/29/2025     9:16:58</t>
  </si>
  <si>
    <t>1AAAAB</t>
  </si>
  <si>
    <t>4/29/2025     9:17:00</t>
  </si>
  <si>
    <t>1AAABA</t>
  </si>
  <si>
    <t>4/29/2025     9:17:02</t>
  </si>
  <si>
    <t>1AAABB</t>
  </si>
  <si>
    <t>4/29/2025     9:17:04</t>
  </si>
  <si>
    <t>1AABAA</t>
  </si>
  <si>
    <t>4/29/2025     9:17:06</t>
  </si>
  <si>
    <t>1AABAB</t>
  </si>
  <si>
    <t>4/29/2025     9:17:08</t>
  </si>
  <si>
    <t>1AABBA</t>
  </si>
  <si>
    <t>4/29/2025     9:17:10</t>
  </si>
  <si>
    <t>1AABBB</t>
  </si>
  <si>
    <t>4/29/2025     9:17:11</t>
  </si>
  <si>
    <t>1ABAAA</t>
  </si>
  <si>
    <t>4/29/2025     9:17:13</t>
  </si>
  <si>
    <t>1ABAAB</t>
  </si>
  <si>
    <t>4/29/2025     9:17:15</t>
  </si>
  <si>
    <t>1ABABA</t>
  </si>
  <si>
    <t>4/29/2025     9:17:17</t>
  </si>
  <si>
    <t>1ABABB</t>
  </si>
  <si>
    <t>4/29/2025     9:17:19</t>
  </si>
  <si>
    <t>1ABBAA</t>
  </si>
  <si>
    <t>4/29/2025     9:17:21</t>
  </si>
  <si>
    <t>1ABBAB</t>
  </si>
  <si>
    <t>4/29/2025     9:17:23</t>
  </si>
  <si>
    <t>1ABBBA</t>
  </si>
  <si>
    <t>4/29/2025     9:17:25</t>
  </si>
  <si>
    <t>1ABBBB</t>
  </si>
  <si>
    <t>4/29/2025     9:17:27</t>
  </si>
  <si>
    <t>1ACAAA</t>
  </si>
  <si>
    <t>4/29/2025     9:17:29</t>
  </si>
  <si>
    <t>1ACAAB</t>
  </si>
  <si>
    <t>4/29/2025     9:17:31</t>
  </si>
  <si>
    <t>1ACABA</t>
  </si>
  <si>
    <t>4/29/2025     9:17:33</t>
  </si>
  <si>
    <t>1ACABB</t>
  </si>
  <si>
    <t>4/29/2025     9:17:35</t>
  </si>
  <si>
    <t>1ACBAA</t>
  </si>
  <si>
    <t>4/29/2025     9:17:37</t>
  </si>
  <si>
    <t>1ACBAB</t>
  </si>
  <si>
    <t>4/29/2025     9:17:39</t>
  </si>
  <si>
    <t>1ACBBA</t>
  </si>
  <si>
    <t>4/29/2025     9:17:41</t>
  </si>
  <si>
    <t>1ACBBB</t>
  </si>
  <si>
    <t>4/29/2025     9:17:43</t>
  </si>
  <si>
    <t>1BAAAA</t>
  </si>
  <si>
    <t>4/29/2025     9:17:45</t>
  </si>
  <si>
    <t>1BAAAB</t>
  </si>
  <si>
    <t>4/29/2025     9:17:47</t>
  </si>
  <si>
    <t>1BAABA</t>
  </si>
  <si>
    <t>4/29/2025     9:17:49</t>
  </si>
  <si>
    <t>1BAABB</t>
  </si>
  <si>
    <t>4/29/2025     9:17:51</t>
  </si>
  <si>
    <t>1BABAA</t>
  </si>
  <si>
    <t>4/29/2025     9:17:53</t>
  </si>
  <si>
    <t>1BABAB</t>
  </si>
  <si>
    <t>4/29/2025     9:17:55</t>
  </si>
  <si>
    <t>1BABBA</t>
  </si>
  <si>
    <t>4/29/2025     9:17:57</t>
  </si>
  <si>
    <t>1BABBB</t>
  </si>
  <si>
    <t>4/29/2025     9:17:59</t>
  </si>
  <si>
    <t>1BBAAA</t>
  </si>
  <si>
    <t>4/29/2025     9:18:01</t>
  </si>
  <si>
    <t>1BBAAB</t>
  </si>
  <si>
    <t>4/29/2025     9:18:03</t>
  </si>
  <si>
    <t>1BBABA</t>
  </si>
  <si>
    <t>4/29/2025     9:18:05</t>
  </si>
  <si>
    <t>1BBABB</t>
  </si>
  <si>
    <t>4/29/2025     9:18:06</t>
  </si>
  <si>
    <t>1BBBAA</t>
  </si>
  <si>
    <t>4/29/2025     9:18:08</t>
  </si>
  <si>
    <t>1BBBAB</t>
  </si>
  <si>
    <t>4/29/2025     9:18:10</t>
  </si>
  <si>
    <t>1BBBBA</t>
  </si>
  <si>
    <t>4/29/2025     9:18:12</t>
  </si>
  <si>
    <t>1BBBBB</t>
  </si>
  <si>
    <t>4/29/2025     9:18:14</t>
  </si>
  <si>
    <t>1BCAAA</t>
  </si>
  <si>
    <t>4/29/2025     9:18:16</t>
  </si>
  <si>
    <t>1BCAAB</t>
  </si>
  <si>
    <t>4/29/2025     9:18:18</t>
  </si>
  <si>
    <t>1BCABA</t>
  </si>
  <si>
    <t>4/29/2025     9:18:20</t>
  </si>
  <si>
    <t>1BCABB</t>
  </si>
  <si>
    <t>4/29/2025     9:18:22</t>
  </si>
  <si>
    <t>1BCBAA</t>
  </si>
  <si>
    <t>4/29/2025     9:18:24</t>
  </si>
  <si>
    <t>1BCBAB</t>
  </si>
  <si>
    <t>4/29/2025     9:18:27</t>
  </si>
  <si>
    <t>1BCBBA</t>
  </si>
  <si>
    <t>4/29/2025     9:18:29</t>
  </si>
  <si>
    <t>1BCBBB</t>
  </si>
  <si>
    <t>4/29/2025     9:18:31</t>
  </si>
  <si>
    <t>1CAAAA</t>
  </si>
  <si>
    <t>4/29/2025     9:18:33</t>
  </si>
  <si>
    <t>1CAAAB</t>
  </si>
  <si>
    <t>4/29/2025     9:18:35</t>
  </si>
  <si>
    <t>1CAABA</t>
  </si>
  <si>
    <t>4/29/2025     9:18:37</t>
  </si>
  <si>
    <t>1CAABB</t>
  </si>
  <si>
    <t>4/29/2025     9:18:39</t>
  </si>
  <si>
    <t>1CABAA</t>
  </si>
  <si>
    <t>4/29/2025     9:18:41</t>
  </si>
  <si>
    <t>1CABAB</t>
  </si>
  <si>
    <t>4/29/2025     9:18:43</t>
  </si>
  <si>
    <t>1CABBA</t>
  </si>
  <si>
    <t>4/29/2025     9:18:45</t>
  </si>
  <si>
    <t>1CABBB</t>
  </si>
  <si>
    <t>4/29/2025     9:18:46</t>
  </si>
  <si>
    <t>1CBAAA</t>
  </si>
  <si>
    <t>4/29/2025     9:18:48</t>
  </si>
  <si>
    <t>1CBAAB</t>
  </si>
  <si>
    <t>4/29/2025     9:18:50</t>
  </si>
  <si>
    <t>1CBABA</t>
  </si>
  <si>
    <t>4/29/2025     9:18:52</t>
  </si>
  <si>
    <t>1CBABB</t>
  </si>
  <si>
    <t>4/29/2025     9:18:54</t>
  </si>
  <si>
    <t>1CBBAA</t>
  </si>
  <si>
    <t>4/29/2025     9:18:56</t>
  </si>
  <si>
    <t>1CBBAB</t>
  </si>
  <si>
    <t>4/29/2025     9:18:57</t>
  </si>
  <si>
    <t>1CBBBA</t>
  </si>
  <si>
    <t>4/29/2025     9:18:59</t>
  </si>
  <si>
    <t>1CBBBB</t>
  </si>
  <si>
    <t>4/29/2025     9:19:01</t>
  </si>
  <si>
    <t>1CCAAA</t>
  </si>
  <si>
    <t>4/29/2025     9:19:03</t>
  </si>
  <si>
    <t>1CCAAB</t>
  </si>
  <si>
    <t>4/29/2025     9:19:05</t>
  </si>
  <si>
    <t>1CCABA</t>
  </si>
  <si>
    <t>4/29/2025     9:19:07</t>
  </si>
  <si>
    <t>1CCABB</t>
  </si>
  <si>
    <t>4/29/2025     9:19:09</t>
  </si>
  <si>
    <t>1CCBAA</t>
  </si>
  <si>
    <t>4/29/2025     9:19:11</t>
  </si>
  <si>
    <t>1CCBAB</t>
  </si>
  <si>
    <t>4/29/2025     9:19:12</t>
  </si>
  <si>
    <t>1CCBBA</t>
  </si>
  <si>
    <t>4/29/2025     9:19:14</t>
  </si>
  <si>
    <t>1CCBBB</t>
  </si>
  <si>
    <t>4/29/2025     9:19:16</t>
  </si>
  <si>
    <t>4/29/2025     9:16:54</t>
  </si>
  <si>
    <t>4/29/2025     9:16:56</t>
  </si>
  <si>
    <t>4/29/2025     9:16:57</t>
  </si>
  <si>
    <t>4/29/2025     9:16:59</t>
  </si>
  <si>
    <t>4/29/2025     9:17:01</t>
  </si>
  <si>
    <t>4/29/2025     9:17:03</t>
  </si>
  <si>
    <t>4/29/2025     9:17:05</t>
  </si>
  <si>
    <t>4/29/2025     9:17:07</t>
  </si>
  <si>
    <t>4/29/2025     9:17:09</t>
  </si>
  <si>
    <t>4/29/2025     9:17:12</t>
  </si>
  <si>
    <t>4/29/2025     9:17:14</t>
  </si>
  <si>
    <t>4/29/2025     9:17:16</t>
  </si>
  <si>
    <t>4/29/2025     9:17:18</t>
  </si>
  <si>
    <t>4/29/2025     9:17:20</t>
  </si>
  <si>
    <t>4/29/2025     9:17:22</t>
  </si>
  <si>
    <t>4/29/2025     9:17:24</t>
  </si>
  <si>
    <t>4/29/2025     9:17:26</t>
  </si>
  <si>
    <t>4/29/2025     9:17:28</t>
  </si>
  <si>
    <t>4/29/2025     9:17:30</t>
  </si>
  <si>
    <t>4/29/2025     9:17:32</t>
  </si>
  <si>
    <t>4/29/2025     9:17:34</t>
  </si>
  <si>
    <t>4/29/2025     9:17:36</t>
  </si>
  <si>
    <t>4/29/2025     9:17:38</t>
  </si>
  <si>
    <t>4/29/2025     9:17:40</t>
  </si>
  <si>
    <t>4/29/2025     9:17:42</t>
  </si>
  <si>
    <t>4/29/2025     9:17:44</t>
  </si>
  <si>
    <t>4/29/2025     9:17:46</t>
  </si>
  <si>
    <t>4/29/2025     9:17:48</t>
  </si>
  <si>
    <t>4/29/2025     9:17:50</t>
  </si>
  <si>
    <t>4/29/2025     9:17:52</t>
  </si>
  <si>
    <t>4/29/2025     9:17:54</t>
  </si>
  <si>
    <t>4/29/2025     9:17:56</t>
  </si>
  <si>
    <t>4/29/2025     9:17:58</t>
  </si>
  <si>
    <t>4/29/2025     9:18:00</t>
  </si>
  <si>
    <t>4/29/2025     9:18:02</t>
  </si>
  <si>
    <t>4/29/2025     9:18:04</t>
  </si>
  <si>
    <t>4/29/2025     9:18:47</t>
  </si>
  <si>
    <t>4/29/2025     9:18:49</t>
  </si>
  <si>
    <t>4/29/2025     9:18:51</t>
  </si>
  <si>
    <t>4/29/2025     9:18:58</t>
  </si>
  <si>
    <t>4/29/2025     9:19:00</t>
  </si>
  <si>
    <t>4/29/2025     9:19:02</t>
  </si>
  <si>
    <t>4/29/2025     9:19:04</t>
  </si>
  <si>
    <t>4/29/2025     9:19:06</t>
  </si>
  <si>
    <t>4/29/2025     9:19:08</t>
  </si>
  <si>
    <t>4/29/2025     9:19:10</t>
  </si>
  <si>
    <t>4/29/2025     9:19:13</t>
  </si>
  <si>
    <t>4/29/2025     9:18:21</t>
  </si>
  <si>
    <t>4/29/2025     9:18:26</t>
  </si>
  <si>
    <t>4/29/2025     9:18:28</t>
  </si>
  <si>
    <t>4/29/2025     9:18:30</t>
  </si>
  <si>
    <t>4/29/2025     9:18:32</t>
  </si>
  <si>
    <t>4/29/2025     9:19:17</t>
  </si>
  <si>
    <t>4/29/2025     9:19:18</t>
  </si>
  <si>
    <t>Column1</t>
  </si>
  <si>
    <t>Spandrels R (ft2·°F·h/BTU)</t>
  </si>
  <si>
    <t>Glass R (ft2·°F·h/BTU)</t>
  </si>
  <si>
    <t>m²</t>
  </si>
  <si>
    <t>Area</t>
  </si>
  <si>
    <t>GHGI - Electricity</t>
  </si>
  <si>
    <t>GHGI - Natural Gas</t>
  </si>
  <si>
    <t>Calibrated TEUI</t>
  </si>
  <si>
    <t>kWh/m²</t>
  </si>
  <si>
    <t>Calibrated GHGI</t>
  </si>
  <si>
    <t>kgCO2/m²</t>
  </si>
  <si>
    <t>Parameter</t>
  </si>
  <si>
    <t>Spandrels</t>
  </si>
  <si>
    <t>Glass</t>
  </si>
  <si>
    <t>LPD Drop</t>
  </si>
  <si>
    <t>A</t>
  </si>
  <si>
    <t>B</t>
  </si>
  <si>
    <t>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</si>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</sst>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_-* #,##0.0_-;\-* #,##0.0_-;_-* &quot;-&quot;??_-;_-@_-"/>
    <numFmt numFmtId="167" formatCode="0.0%"/>
    <numFmt numFmtId="171" formatCode="0.0"/>
  </numFmts>
  <fonts count="6">
    <font>
      <sz val="11"/>
      <color theme="1"/>
      <name val="Calibri"/>
      <family val="2"/>
      <scheme val="minor"/>
    </font>
    <font>
      <sz val="11"/>
      <color theme="1"/>
      <name val="Calibri"/>
      <family val="2"/>
      <scheme val="minor"/>
    </font>
    <font>
      <b/>
      <sz val="11"/>
      <color theme="1"/>
      <name val="Calibri"/>
      <family val="2"/>
      <scheme val="minor"/>
    </font>
    <font>
      <sz val="11"/>
      <color theme="1" tint="0.499984740745262"/>
      <name val="Calibri"/>
      <family val="2"/>
      <scheme val="minor"/>
    </font>
    <font>
      <i/>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3" fillId="0" borderId="0" xfId="0" applyFont="1"/>
    <xf numFmtId="0" fontId="3" fillId="0" borderId="0" xfId="0" applyFont="1" applyAlignment="1">
      <alignment wrapText="1"/>
    </xf>
    <xf numFmtId="9" fontId="0" fillId="0" borderId="0" xfId="0" applyNumberFormat="1"/>
    <xf numFmtId="165" fontId="0" fillId="0" borderId="0" xfId="1" applyNumberFormat="1" applyFont="1"/>
    <xf numFmtId="0" fontId="4" fillId="0" borderId="0" xfId="0" applyFont="1"/>
    <xf numFmtId="165" fontId="0" fillId="0" borderId="0" xfId="0" applyNumberFormat="1"/>
    <xf numFmtId="9" fontId="0" fillId="0" borderId="0" xfId="2" applyFont="1"/>
    <xf numFmtId="0" fontId="2" fillId="0" borderId="0" xfId="0" applyFont="1"/>
    <xf numFmtId="166" fontId="0" fillId="0" borderId="0" xfId="1" applyNumberFormat="1" applyFont="1"/>
    <xf numFmtId="167" fontId="0" fillId="0" borderId="0" xfId="2" applyNumberFormat="1" applyFont="1"/>
    <xf numFmtId="167" fontId="0" fillId="0" borderId="0" xfId="0" applyNumberFormat="1"/>
    <xf numFmtId="166" fontId="0" fillId="0" borderId="0" xfId="0" applyNumberFormat="1"/>
    <xf numFmtId="0" fontId="5" fillId="2" borderId="0" xfId="0" applyFont="1" applyFill="1"/>
    <xf numFmtId="0" fontId="0" fillId="3" borderId="0" xfId="0" applyFill="1"/>
    <xf numFmtId="2" fontId="0" fillId="0" borderId="0" xfId="0" applyNumberFormat="1"/>
    <xf numFmtId="3" fontId="0" fillId="0" borderId="0" xfId="0" applyNumberFormat="1"/>
    <xf numFmtId="171" fontId="0" fillId="0" borderId="0" xfId="0" applyNumberFormat="1"/>
  </cellXfs>
  <cellStyles count="3">
    <cellStyle name="Comma" xfId="1" builtinId="3"/>
    <cellStyle name="Normal" xfId="0" builtinId="0"/>
    <cellStyle name="Percent" xfId="2" builtinId="5"/>
  </cellStyles>
  <dxfs count="9">
    <dxf>
      <numFmt numFmtId="167" formatCode="0.0%"/>
    </dxf>
    <dxf>
      <font>
        <b val="0"/>
        <i val="0"/>
        <strike val="0"/>
        <condense val="0"/>
        <extend val="0"/>
        <outline val="0"/>
        <shadow val="0"/>
        <u val="none"/>
        <vertAlign val="baseline"/>
        <sz val="11"/>
        <color theme="1"/>
        <name val="Calibri"/>
        <family val="2"/>
        <scheme val="minor"/>
      </font>
      <numFmt numFmtId="167" formatCode="0.0%"/>
    </dxf>
    <dxf>
      <numFmt numFmtId="166" formatCode="_-* #,##0.0_-;\-* #,##0.0_-;_-* &quot;-&quot;??_-;_-@_-"/>
    </dxf>
    <dxf>
      <font>
        <b val="0"/>
        <i val="0"/>
        <strike val="0"/>
        <condense val="0"/>
        <extend val="0"/>
        <outline val="0"/>
        <shadow val="0"/>
        <u val="none"/>
        <vertAlign val="baseline"/>
        <sz val="11"/>
        <color theme="1"/>
        <name val="Calibri"/>
        <family val="2"/>
        <scheme val="minor"/>
      </font>
      <numFmt numFmtId="166" formatCode="_-* #,##0.0_-;\-* #,##0.0_-;_-* &quot;-&quot;??_-;_-@_-"/>
    </dxf>
    <dxf>
      <font>
        <b val="0"/>
        <i val="0"/>
        <strike val="0"/>
        <condense val="0"/>
        <extend val="0"/>
        <outline val="0"/>
        <shadow val="0"/>
        <u val="none"/>
        <vertAlign val="baseline"/>
        <sz val="11"/>
        <color theme="1"/>
        <name val="Calibri"/>
        <family val="2"/>
        <scheme val="minor"/>
      </font>
      <numFmt numFmtId="166" formatCode="_-* #,##0.0_-;\-* #,##0.0_-;_-* &quot;-&quot;??_-;_-@_-"/>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drawings/drawing1.xml><?xml version="1.0" encoding="utf-8"?>
<xdr:wsDr xmlns:xdr="http://schemas.openxmlformats.org/drawingml/2006/spreadsheetDrawing" xmlns:a="http://schemas.openxmlformats.org/drawingml/2006/main">
  <xdr:twoCellAnchor editAs="absolute">
    <xdr:from>
      <xdr:col>0</xdr:col>
      <xdr:colOff>95250</xdr:colOff>
      <xdr:row>0</xdr:row>
      <xdr:rowOff>95250</xdr:rowOff>
    </xdr:from>
    <xdr:to>
      <xdr:col>2</xdr:col>
      <xdr:colOff>371475</xdr:colOff>
      <xdr:row>13</xdr:row>
      <xdr:rowOff>142875</xdr:rowOff>
    </xdr:to>
    <mc:AlternateContent xmlns:mc="http://schemas.openxmlformats.org/markup-compatibility/2006" xmlns:sle15="http://schemas.microsoft.com/office/drawing/2012/slicer">
      <mc:Choice Requires="sle15">
        <xdr:graphicFrame macro="">
          <xdr:nvGraphicFramePr>
            <xdr:cNvPr id="3" name="Spandrels R">
              <a:extLst>
                <a:ext uri="{FF2B5EF4-FFF2-40B4-BE49-F238E27FC236}">
                  <a16:creationId xmlns:a16="http://schemas.microsoft.com/office/drawing/2014/main" id="{12BE9F73-E9D8-7B8F-4707-1B7FE79D41AE}"/>
                </a:ext>
              </a:extLst>
            </xdr:cNvPr>
            <xdr:cNvGraphicFramePr/>
          </xdr:nvGraphicFramePr>
          <xdr:xfrm>
            <a:off x="0" y="0"/>
            <a:ext cx="0" cy="0"/>
          </xdr:xfrm>
          <a:graphic>
            <a:graphicData uri="http://schemas.microsoft.com/office/drawing/2010/slicer">
              <sle:slicer xmlns:sle="http://schemas.microsoft.com/office/drawing/2010/slicer" name="Spandrels R"/>
            </a:graphicData>
          </a:graphic>
        </xdr:graphicFrame>
      </mc:Choice>
      <mc:Fallback xmlns="">
        <xdr:sp macro="" textlink="">
          <xdr:nvSpPr>
            <xdr:cNvPr id="0" name=""/>
            <xdr:cNvSpPr>
              <a:spLocks noTextEdit="1"/>
            </xdr:cNvSpPr>
          </xdr:nvSpPr>
          <xdr:spPr>
            <a:xfrm>
              <a:off x="95250" y="952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438150</xdr:colOff>
      <xdr:row>0</xdr:row>
      <xdr:rowOff>104775</xdr:rowOff>
    </xdr:from>
    <xdr:to>
      <xdr:col>5</xdr:col>
      <xdr:colOff>123825</xdr:colOff>
      <xdr:row>13</xdr:row>
      <xdr:rowOff>152400</xdr:rowOff>
    </xdr:to>
    <mc:AlternateContent xmlns:mc="http://schemas.openxmlformats.org/markup-compatibility/2006" xmlns:sle15="http://schemas.microsoft.com/office/drawing/2012/slicer">
      <mc:Choice Requires="sle15">
        <xdr:graphicFrame macro="">
          <xdr:nvGraphicFramePr>
            <xdr:cNvPr id="4" name="Glass R">
              <a:extLst>
                <a:ext uri="{FF2B5EF4-FFF2-40B4-BE49-F238E27FC236}">
                  <a16:creationId xmlns:a16="http://schemas.microsoft.com/office/drawing/2014/main" id="{764262AA-BF81-448E-8A68-62BF298E2BBC}"/>
                </a:ext>
              </a:extLst>
            </xdr:cNvPr>
            <xdr:cNvGraphicFramePr/>
          </xdr:nvGraphicFramePr>
          <xdr:xfrm>
            <a:off x="0" y="0"/>
            <a:ext cx="0" cy="0"/>
          </xdr:xfrm>
          <a:graphic>
            <a:graphicData uri="http://schemas.microsoft.com/office/drawing/2010/slicer">
              <sle:slicer xmlns:sle="http://schemas.microsoft.com/office/drawing/2010/slicer" name="Glass R"/>
            </a:graphicData>
          </a:graphic>
        </xdr:graphicFrame>
      </mc:Choice>
      <mc:Fallback xmlns="">
        <xdr:sp macro="" textlink="">
          <xdr:nvSpPr>
            <xdr:cNvPr id="0" name=""/>
            <xdr:cNvSpPr>
              <a:spLocks noTextEdit="1"/>
            </xdr:cNvSpPr>
          </xdr:nvSpPr>
          <xdr:spPr>
            <a:xfrm>
              <a:off x="1990725" y="10477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180975</xdr:colOff>
      <xdr:row>0</xdr:row>
      <xdr:rowOff>85725</xdr:rowOff>
    </xdr:from>
    <xdr:to>
      <xdr:col>8</xdr:col>
      <xdr:colOff>161925</xdr:colOff>
      <xdr:row>13</xdr:row>
      <xdr:rowOff>133350</xdr:rowOff>
    </xdr:to>
    <mc:AlternateContent xmlns:mc="http://schemas.openxmlformats.org/markup-compatibility/2006" xmlns:sle15="http://schemas.microsoft.com/office/drawing/2012/slicer">
      <mc:Choice Requires="sle15">
        <xdr:graphicFrame macro="">
          <xdr:nvGraphicFramePr>
            <xdr:cNvPr id="5" name="Air Leakage">
              <a:extLst>
                <a:ext uri="{FF2B5EF4-FFF2-40B4-BE49-F238E27FC236}">
                  <a16:creationId xmlns:a16="http://schemas.microsoft.com/office/drawing/2014/main" id="{3A93718F-6380-75A9-91F0-EDAF3729761E}"/>
                </a:ext>
              </a:extLst>
            </xdr:cNvPr>
            <xdr:cNvGraphicFramePr/>
          </xdr:nvGraphicFramePr>
          <xdr:xfrm>
            <a:off x="0" y="0"/>
            <a:ext cx="0" cy="0"/>
          </xdr:xfrm>
          <a:graphic>
            <a:graphicData uri="http://schemas.microsoft.com/office/drawing/2010/slicer">
              <sle:slicer xmlns:sle="http://schemas.microsoft.com/office/drawing/2010/slicer" name="Air Leakage"/>
            </a:graphicData>
          </a:graphic>
        </xdr:graphicFrame>
      </mc:Choice>
      <mc:Fallback xmlns="">
        <xdr:sp macro="" textlink="">
          <xdr:nvSpPr>
            <xdr:cNvPr id="0" name=""/>
            <xdr:cNvSpPr>
              <a:spLocks noTextEdit="1"/>
            </xdr:cNvSpPr>
          </xdr:nvSpPr>
          <xdr:spPr>
            <a:xfrm>
              <a:off x="3876675" y="8572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247650</xdr:colOff>
      <xdr:row>0</xdr:row>
      <xdr:rowOff>123825</xdr:rowOff>
    </xdr:from>
    <xdr:to>
      <xdr:col>10</xdr:col>
      <xdr:colOff>352425</xdr:colOff>
      <xdr:row>13</xdr:row>
      <xdr:rowOff>171450</xdr:rowOff>
    </xdr:to>
    <mc:AlternateContent xmlns:mc="http://schemas.openxmlformats.org/markup-compatibility/2006" xmlns:sle15="http://schemas.microsoft.com/office/drawing/2012/slicer">
      <mc:Choice Requires="sle15">
        <xdr:graphicFrame macro="">
          <xdr:nvGraphicFramePr>
            <xdr:cNvPr id="6" name="LPD">
              <a:extLst>
                <a:ext uri="{FF2B5EF4-FFF2-40B4-BE49-F238E27FC236}">
                  <a16:creationId xmlns:a16="http://schemas.microsoft.com/office/drawing/2014/main" id="{57C41771-9712-136E-78FF-C92B14B07A4D}"/>
                </a:ext>
              </a:extLst>
            </xdr:cNvPr>
            <xdr:cNvGraphicFramePr/>
          </xdr:nvGraphicFramePr>
          <xdr:xfrm>
            <a:off x="0" y="0"/>
            <a:ext cx="0" cy="0"/>
          </xdr:xfrm>
          <a:graphic>
            <a:graphicData uri="http://schemas.microsoft.com/office/drawing/2010/slicer">
              <sle:slicer xmlns:sle="http://schemas.microsoft.com/office/drawing/2010/slicer" name="LPD"/>
            </a:graphicData>
          </a:graphic>
        </xdr:graphicFrame>
      </mc:Choice>
      <mc:Fallback xmlns="">
        <xdr:sp macro="" textlink="">
          <xdr:nvSpPr>
            <xdr:cNvPr id="0" name=""/>
            <xdr:cNvSpPr>
              <a:spLocks noTextEdit="1"/>
            </xdr:cNvSpPr>
          </xdr:nvSpPr>
          <xdr:spPr>
            <a:xfrm>
              <a:off x="5791200" y="12382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428625</xdr:colOff>
      <xdr:row>0</xdr:row>
      <xdr:rowOff>142875</xdr:rowOff>
    </xdr:from>
    <xdr:to>
      <xdr:col>12</xdr:col>
      <xdr:colOff>133350</xdr:colOff>
      <xdr:row>14</xdr:row>
      <xdr:rowOff>0</xdr:rowOff>
    </xdr:to>
    <mc:AlternateContent xmlns:mc="http://schemas.openxmlformats.org/markup-compatibility/2006" xmlns:sle15="http://schemas.microsoft.com/office/drawing/2012/slicer">
      <mc:Choice Requires="sle15">
        <xdr:graphicFrame macro="">
          <xdr:nvGraphicFramePr>
            <xdr:cNvPr id="7" name="ERV">
              <a:extLst>
                <a:ext uri="{FF2B5EF4-FFF2-40B4-BE49-F238E27FC236}">
                  <a16:creationId xmlns:a16="http://schemas.microsoft.com/office/drawing/2014/main" id="{42875C97-7039-4FD3-9016-9B753D5B65E7}"/>
                </a:ext>
              </a:extLst>
            </xdr:cNvPr>
            <xdr:cNvGraphicFramePr/>
          </xdr:nvGraphicFramePr>
          <xdr:xfrm>
            <a:off x="0" y="0"/>
            <a:ext cx="0" cy="0"/>
          </xdr:xfrm>
          <a:graphic>
            <a:graphicData uri="http://schemas.microsoft.com/office/drawing/2010/slicer">
              <sle:slicer xmlns:sle="http://schemas.microsoft.com/office/drawing/2010/slicer" name="ERV"/>
            </a:graphicData>
          </a:graphic>
        </xdr:graphicFrame>
      </mc:Choice>
      <mc:Fallback xmlns="">
        <xdr:sp macro="" textlink="">
          <xdr:nvSpPr>
            <xdr:cNvPr id="0" name=""/>
            <xdr:cNvSpPr>
              <a:spLocks noTextEdit="1"/>
            </xdr:cNvSpPr>
          </xdr:nvSpPr>
          <xdr:spPr>
            <a:xfrm>
              <a:off x="7696200" y="14287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219075</xdr:colOff>
      <xdr:row>0</xdr:row>
      <xdr:rowOff>152400</xdr:rowOff>
    </xdr:from>
    <xdr:to>
      <xdr:col>13</xdr:col>
      <xdr:colOff>828675</xdr:colOff>
      <xdr:row>14</xdr:row>
      <xdr:rowOff>9525</xdr:rowOff>
    </xdr:to>
    <mc:AlternateContent xmlns:mc="http://schemas.openxmlformats.org/markup-compatibility/2006" xmlns:sle15="http://schemas.microsoft.com/office/drawing/2012/slicer">
      <mc:Choice Requires="sle15">
        <xdr:graphicFrame macro="">
          <xdr:nvGraphicFramePr>
            <xdr:cNvPr id="8" name="Controls">
              <a:extLst>
                <a:ext uri="{FF2B5EF4-FFF2-40B4-BE49-F238E27FC236}">
                  <a16:creationId xmlns:a16="http://schemas.microsoft.com/office/drawing/2014/main" id="{4C181B6C-3093-CBE2-CE7B-033422872792}"/>
                </a:ext>
              </a:extLst>
            </xdr:cNvPr>
            <xdr:cNvGraphicFramePr/>
          </xdr:nvGraphicFramePr>
          <xdr:xfrm>
            <a:off x="0" y="0"/>
            <a:ext cx="0" cy="0"/>
          </xdr:xfrm>
          <a:graphic>
            <a:graphicData uri="http://schemas.microsoft.com/office/drawing/2010/slicer">
              <sle:slicer xmlns:sle="http://schemas.microsoft.com/office/drawing/2010/slicer" name="Controls"/>
            </a:graphicData>
          </a:graphic>
        </xdr:graphicFrame>
      </mc:Choice>
      <mc:Fallback xmlns="">
        <xdr:sp macro="" textlink="">
          <xdr:nvSpPr>
            <xdr:cNvPr id="0" name=""/>
            <xdr:cNvSpPr>
              <a:spLocks noTextEdit="1"/>
            </xdr:cNvSpPr>
          </xdr:nvSpPr>
          <xdr:spPr>
            <a:xfrm>
              <a:off x="9610725" y="1524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895350</xdr:colOff>
      <xdr:row>0</xdr:row>
      <xdr:rowOff>142875</xdr:rowOff>
    </xdr:from>
    <xdr:to>
      <xdr:col>15</xdr:col>
      <xdr:colOff>457200</xdr:colOff>
      <xdr:row>14</xdr:row>
      <xdr:rowOff>0</xdr:rowOff>
    </xdr:to>
    <mc:AlternateContent xmlns:mc="http://schemas.openxmlformats.org/markup-compatibility/2006" xmlns:sle15="http://schemas.microsoft.com/office/drawing/2012/slicer">
      <mc:Choice Requires="sle15">
        <xdr:graphicFrame macro="">
          <xdr:nvGraphicFramePr>
            <xdr:cNvPr id="9" name="HVAC System">
              <a:extLst>
                <a:ext uri="{FF2B5EF4-FFF2-40B4-BE49-F238E27FC236}">
                  <a16:creationId xmlns:a16="http://schemas.microsoft.com/office/drawing/2014/main" id="{33DAFE26-6F2F-0D71-3272-85733CDC673B}"/>
                </a:ext>
              </a:extLst>
            </xdr:cNvPr>
            <xdr:cNvGraphicFramePr/>
          </xdr:nvGraphicFramePr>
          <xdr:xfrm>
            <a:off x="0" y="0"/>
            <a:ext cx="0" cy="0"/>
          </xdr:xfrm>
          <a:graphic>
            <a:graphicData uri="http://schemas.microsoft.com/office/drawing/2010/slicer">
              <sle:slicer xmlns:sle="http://schemas.microsoft.com/office/drawing/2010/slicer" name="HVAC System"/>
            </a:graphicData>
          </a:graphic>
        </xdr:graphicFrame>
      </mc:Choice>
      <mc:Fallback xmlns="">
        <xdr:sp macro="" textlink="">
          <xdr:nvSpPr>
            <xdr:cNvPr id="0" name=""/>
            <xdr:cNvSpPr>
              <a:spLocks noTextEdit="1"/>
            </xdr:cNvSpPr>
          </xdr:nvSpPr>
          <xdr:spPr>
            <a:xfrm>
              <a:off x="11506200" y="14287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542925</xdr:colOff>
      <xdr:row>0</xdr:row>
      <xdr:rowOff>85725</xdr:rowOff>
    </xdr:from>
    <xdr:to>
      <xdr:col>17</xdr:col>
      <xdr:colOff>209550</xdr:colOff>
      <xdr:row>13</xdr:row>
      <xdr:rowOff>133350</xdr:rowOff>
    </xdr:to>
    <mc:AlternateContent xmlns:mc="http://schemas.openxmlformats.org/markup-compatibility/2006" xmlns:sle15="http://schemas.microsoft.com/office/drawing/2012/slicer">
      <mc:Choice Requires="sle15">
        <xdr:graphicFrame macro="">
          <xdr:nvGraphicFramePr>
            <xdr:cNvPr id="10" name="En Saving %">
              <a:extLst>
                <a:ext uri="{FF2B5EF4-FFF2-40B4-BE49-F238E27FC236}">
                  <a16:creationId xmlns:a16="http://schemas.microsoft.com/office/drawing/2014/main" id="{EFC21A29-9B0A-C6E3-D7E2-3B80151413FC}"/>
                </a:ext>
              </a:extLst>
            </xdr:cNvPr>
            <xdr:cNvGraphicFramePr/>
          </xdr:nvGraphicFramePr>
          <xdr:xfrm>
            <a:off x="0" y="0"/>
            <a:ext cx="0" cy="0"/>
          </xdr:xfrm>
          <a:graphic>
            <a:graphicData uri="http://schemas.microsoft.com/office/drawing/2010/slicer">
              <sle:slicer xmlns:sle="http://schemas.microsoft.com/office/drawing/2010/slicer" name="En Saving %"/>
            </a:graphicData>
          </a:graphic>
        </xdr:graphicFrame>
      </mc:Choice>
      <mc:Fallback xmlns="">
        <xdr:sp macro="" textlink="">
          <xdr:nvSpPr>
            <xdr:cNvPr id="0" name=""/>
            <xdr:cNvSpPr>
              <a:spLocks noTextEdit="1"/>
            </xdr:cNvSpPr>
          </xdr:nvSpPr>
          <xdr:spPr>
            <a:xfrm>
              <a:off x="13420725" y="8572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276225</xdr:colOff>
      <xdr:row>0</xdr:row>
      <xdr:rowOff>180975</xdr:rowOff>
    </xdr:from>
    <xdr:to>
      <xdr:col>19</xdr:col>
      <xdr:colOff>190500</xdr:colOff>
      <xdr:row>14</xdr:row>
      <xdr:rowOff>38100</xdr:rowOff>
    </xdr:to>
    <mc:AlternateContent xmlns:mc="http://schemas.openxmlformats.org/markup-compatibility/2006" xmlns:sle15="http://schemas.microsoft.com/office/drawing/2012/slicer">
      <mc:Choice Requires="sle15">
        <xdr:graphicFrame macro="">
          <xdr:nvGraphicFramePr>
            <xdr:cNvPr id="11" name="GHG Saving%">
              <a:extLst>
                <a:ext uri="{FF2B5EF4-FFF2-40B4-BE49-F238E27FC236}">
                  <a16:creationId xmlns:a16="http://schemas.microsoft.com/office/drawing/2014/main" id="{6E40CAFD-2E5B-EDF4-80D9-FD9061688449}"/>
                </a:ext>
              </a:extLst>
            </xdr:cNvPr>
            <xdr:cNvGraphicFramePr/>
          </xdr:nvGraphicFramePr>
          <xdr:xfrm>
            <a:off x="0" y="0"/>
            <a:ext cx="0" cy="0"/>
          </xdr:xfrm>
          <a:graphic>
            <a:graphicData uri="http://schemas.microsoft.com/office/drawing/2010/slicer">
              <sle:slicer xmlns:sle="http://schemas.microsoft.com/office/drawing/2010/slicer" name="GHG Saving%"/>
            </a:graphicData>
          </a:graphic>
        </xdr:graphicFrame>
      </mc:Choice>
      <mc:Fallback xmlns="">
        <xdr:sp macro="" textlink="">
          <xdr:nvSpPr>
            <xdr:cNvPr id="0" name=""/>
            <xdr:cNvSpPr>
              <a:spLocks noTextEdit="1"/>
            </xdr:cNvSpPr>
          </xdr:nvSpPr>
          <xdr:spPr>
            <a:xfrm>
              <a:off x="15316200" y="18097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ilalMaarouf\Desktop\AEM\SDR4\Root_Winnipeg\Output\AEM%20Winnipeg.xlsx" TargetMode="External"/><Relationship Id="rId1" Type="http://schemas.openxmlformats.org/officeDocument/2006/relationships/externalLinkPath" Target="/Users/BilalMaarouf/Desktop/AEM/SDR4/Root_Winnipeg/Output/AEM%20Winnipe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Energy_Data"/>
      <sheetName val="Assumptions"/>
      <sheetName val="AEM Winnipeg"/>
    </sheetNames>
    <sheetDataSet>
      <sheetData sheetId="0"/>
      <sheetData sheetId="1"/>
      <sheetData sheetId="2"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ndrels_R" xr10:uid="{D878784E-2C5F-4A8F-A0B9-54DBDC13B6B3}" sourceName="Spandrels R (ft2·°F·h/BTU)">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ass_R" xr10:uid="{1690A9D5-18B0-4DEF-9101-896ACF5A57D3}" sourceName="Glass R (ft2·°F·h/BTU)">
  <extLst>
    <x:ext xmlns:x15="http://schemas.microsoft.com/office/spreadsheetml/2010/11/main" uri="{2F2917AC-EB37-4324-AD4E-5DD8C200BD13}">
      <x15:tableSlicerCache tableId="2"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_Leakage" xr10:uid="{C34C00AB-1CA8-43F9-B5ED-F3E2790FA919}" sourceName="Air Leakage">
  <extLst>
    <x:ext xmlns:x15="http://schemas.microsoft.com/office/spreadsheetml/2010/11/main" uri="{2F2917AC-EB37-4324-AD4E-5DD8C200BD13}">
      <x15:tableSlicerCache tableId="2"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PD" xr10:uid="{612E79F1-13BB-4254-B9AF-064BB6FD15B8}" sourceName="LPD">
  <extLst>
    <x:ext xmlns:x15="http://schemas.microsoft.com/office/spreadsheetml/2010/11/main" uri="{2F2917AC-EB37-4324-AD4E-5DD8C200BD13}">
      <x15:tableSlicerCache tableId="2"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RV" xr10:uid="{A23FB753-5E27-4502-8ED5-4D23FE3A4356}" sourceName="ERV">
  <extLst>
    <x:ext xmlns:x15="http://schemas.microsoft.com/office/spreadsheetml/2010/11/main" uri="{2F2917AC-EB37-4324-AD4E-5DD8C200BD13}">
      <x15:tableSlicerCache tableId="2"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ols" xr10:uid="{4CFC2DBB-2949-461B-A516-0763929FD854}" sourceName="Controls">
  <extLst>
    <x:ext xmlns:x15="http://schemas.microsoft.com/office/spreadsheetml/2010/11/main" uri="{2F2917AC-EB37-4324-AD4E-5DD8C200BD13}">
      <x15:tableSlicerCache tableId="2" column="9"/>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VAC_System" xr10:uid="{D3B3097A-3F23-4FA5-AD7F-B8064A9057E2}" sourceName="HVAC System">
  <extLst>
    <x:ext xmlns:x15="http://schemas.microsoft.com/office/spreadsheetml/2010/11/main" uri="{2F2917AC-EB37-4324-AD4E-5DD8C200BD13}">
      <x15:tableSlicerCache tableId="2" column="10"/>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_Saving" xr10:uid="{D6776F8F-2141-4E22-8177-32DFF840A857}" sourceName="En Saving %">
  <extLst>
    <x:ext xmlns:x15="http://schemas.microsoft.com/office/spreadsheetml/2010/11/main" uri="{2F2917AC-EB37-4324-AD4E-5DD8C200BD13}">
      <x15:tableSlicerCache tableId="2" column="17"/>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HG_Saving" xr10:uid="{FA6D0D65-AE38-4D6D-885B-2E7911A9B4A4}" sourceName="GHG Saving%">
  <extLst>
    <x:ext xmlns:x15="http://schemas.microsoft.com/office/spreadsheetml/2010/11/main" uri="{2F2917AC-EB37-4324-AD4E-5DD8C200BD13}">
      <x15:tableSlicerCache tableId="2" column="1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andrels R" xr10:uid="{61E73361-B6CB-470A-98B0-6B67B8188815}" cache="Slicer_Spandrels_R" caption="Spandrels R (ft2·°F·h/BTU)" rowHeight="241300"/>
  <slicer name="Glass R" xr10:uid="{ED48E458-AD64-4FBC-975E-FAF62726BAC5}" cache="Slicer_Glass_R" caption="Glass R (ft2·°F·h/BTU)" rowHeight="241300"/>
  <slicer name="Air Leakage" xr10:uid="{F0D2FEBB-0A7F-48C4-8A99-DA307B001A4F}" cache="Slicer_Air_Leakage" caption="Air Leakage" rowHeight="241300"/>
  <slicer name="LPD" xr10:uid="{1A491063-C8C8-4C88-9D8E-F1D92E9A1B89}" cache="Slicer_LPD" caption="LPD" rowHeight="241300"/>
  <slicer name="ERV" xr10:uid="{3FD73D86-86FE-41DF-8CAB-FA39378C66DC}" cache="Slicer_ERV" caption="ERV" rowHeight="241300"/>
  <slicer name="Controls" xr10:uid="{B82AB6D6-995C-4EB9-A76A-E22E172CE428}" cache="Slicer_Controls" caption="Controls" rowHeight="241300"/>
  <slicer name="HVAC System" xr10:uid="{FD3B4E65-151F-41EC-BDA7-AF839668F950}" cache="Slicer_HVAC_System" caption="HVAC System" rowHeight="241300"/>
  <slicer name="En Saving %" xr10:uid="{B98BE22F-1F37-4EAE-9015-C28C694D72E5}" cache="Slicer_En_Saving" caption="En Saving %" rowHeight="241300"/>
  <slicer name="GHG Saving%" xr10:uid="{DD89BCCD-6434-4627-B61C-B5E306986824}" cache="Slicer_GHG_Saving" caption="GHG Savi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3988D6-DA93-4912-AFFD-BCDB55974199}" name="Table3" displayName="Table3" ref="A17:S449" totalsRowShown="0" headerRowDxfId="8">
  <autoFilter ref="A17:S449" xr:uid="{913988D6-DA93-4912-AFFD-BCDB55974199}"/>
  <tableColumns count="19">
    <tableColumn id="1" xr3:uid="{ED6F861C-470E-421E-82DC-8E1F7C2A684E}" name="Column1"/>
    <tableColumn id="2" xr3:uid="{17862F83-F04A-477A-9831-F820B348C7B1}" name="File Name"/>
    <tableColumn id="3" xr3:uid="{41560CE6-ADBA-47B4-98E9-ABE0FE47A19F}" name="Run ID"/>
    <tableColumn id="4" xr3:uid="{A053E4A3-4F75-4CE9-9F4A-50DC44916858}" name="Spandrels R (ft2·°F·h/BTU)"/>
    <tableColumn id="5" xr3:uid="{76B71BBF-6B9D-4249-839A-F3587E6B751D}" name="Glass R (ft2·°F·h/BTU)"/>
    <tableColumn id="6" xr3:uid="{3B54E29E-1051-4CE5-B761-1B5288A62F5F}" name="Air Leakage"/>
    <tableColumn id="7" xr3:uid="{B95B6718-50A3-41D8-9250-DC52CB39A14C}" name="LPD" dataCellStyle="Percent"/>
    <tableColumn id="8" xr3:uid="{DEF4A048-3408-4712-A299-A0C692A729B1}" name="ERV" dataCellStyle="Percent"/>
    <tableColumn id="9" xr3:uid="{E251B9C4-A2EF-4CFE-9EC0-155C04115225}" name="Controls"/>
    <tableColumn id="10" xr3:uid="{4C43731D-7722-4B07-A2B4-A91E6DEAE4E2}" name="HVAC System"/>
    <tableColumn id="19" xr3:uid="{C37C1A6D-E64C-4905-86F9-4CF11A1EAF72}" name="Solar PV"/>
    <tableColumn id="11" xr3:uid="{CD5FF039-E87C-4AE2-ACF1-02CC5A7C5C3E}" name="Electricity kWh" dataDxfId="7" dataCellStyle="Comma"/>
    <tableColumn id="12" xr3:uid="{0DCCB133-94A7-4EA5-A155-1300D234BA0D}" name="Natural Gas kWh" dataDxfId="6" dataCellStyle="Comma"/>
    <tableColumn id="13" xr3:uid="{9FA76D2D-04BB-4CA9-A2C5-79049892561D}" name="Total Energy kWh" dataDxfId="5" dataCellStyle="Comma"/>
    <tableColumn id="14" xr3:uid="{C8DD04E5-8D0A-4001-8CC0-304FFA2F9ED3}" name="TEUI kWh/m²" dataDxfId="4" dataCellStyle="Comma"/>
    <tableColumn id="15" xr3:uid="{47F9D387-6F4C-4C54-A3D0-779D6F01801D}" name="TEDI kWh/m²" dataDxfId="3" dataCellStyle="Comma"/>
    <tableColumn id="16" xr3:uid="{1E73EA7C-FC6A-41A9-A1B7-BFD56A2AE29A}" name="GHGI kgCO2/m²" dataDxfId="2">
      <calculatedColumnFormula>((L18*Processed!$V$21)+(Table3[[#This Row],[Natural Gas kWh]]*Processed!$V$22))/Processed!$V$20</calculatedColumnFormula>
    </tableColumn>
    <tableColumn id="17" xr3:uid="{ADECCE38-4BF4-4562-8BF0-C660EA5BC681}" name="En Saving %" dataDxfId="1" dataCellStyle="Percent"/>
    <tableColumn id="18" xr3:uid="{267EEFE1-BE4D-47FB-981A-17A2230C64FB}" name="GHG Saving%"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B72CB-3BA9-4097-8761-613EBD3A8E40}" name="Table2" displayName="Table2" ref="B2:G7" totalsRowShown="0">
  <autoFilter ref="B2:G7" xr:uid="{00000000-0009-0000-0100-000002000000}"/>
  <tableColumns count="6">
    <tableColumn id="1" xr3:uid="{A1389A11-6D5E-481D-8046-3D0F996C048A}" name="Parameter"/>
    <tableColumn id="2" xr3:uid="{DDDB90A4-D212-41D9-9B1C-3EC5FD0ADDB8}" name="Spandrels"/>
    <tableColumn id="10" xr3:uid="{10196685-6333-4AE1-B16E-8F3BA64F8A49}" name="Glass"/>
    <tableColumn id="9" xr3:uid="{31B82B77-A9AF-47CE-846A-05D61764433F}" name="Air Leakage"/>
    <tableColumn id="3" xr3:uid="{8A30E3B3-04E9-4670-AFC4-32732AAC844A}" name="LPD Drop"/>
    <tableColumn id="4" xr3:uid="{91F0E590-6BA8-4FC7-A19C-4D0F6D9F0334}" name="ERV"/>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7D8C-1981-4FD3-8F47-BD5E891D7753}">
  <dimension ref="A1:P433"/>
  <sheetViews>
    <sheetView workbookViewId="0">
      <selection activeCell="A2" sqref="A2"/>
    </sheetView>
  </sheetViews>
  <sheetFormatPr defaultRowHeight="15"/>
  <cols>
    <col min="1" max="1" width="23.42578125" bestFit="1" customWidth="1"/>
    <col min="2" max="2" width="19.5703125" bestFit="1" customWidth="1"/>
    <col min="3" max="3" width="10.85546875" bestFit="1" customWidth="1"/>
    <col min="4" max="4" width="7.5703125" style="3" bestFit="1" customWidth="1"/>
    <col min="5" max="5" width="7.28515625" style="3" bestFit="1" customWidth="1"/>
    <col min="6" max="6" width="9.28515625" bestFit="1" customWidth="1"/>
    <col min="7" max="7" width="12.5703125" bestFit="1" customWidth="1"/>
    <col min="8" max="8" width="8" bestFit="1" customWidth="1"/>
    <col min="9" max="9" width="15.42578125" style="16" bestFit="1" customWidth="1"/>
    <col min="10" max="10" width="15.5703125" style="16" bestFit="1" customWidth="1"/>
    <col min="11" max="11" width="16.140625" style="16" bestFit="1" customWidth="1"/>
    <col min="12" max="13" width="12.5703125" style="17" bestFit="1" customWidth="1"/>
    <col min="14" max="14" width="14.85546875" style="15" bestFit="1" customWidth="1"/>
    <col min="15" max="15" width="12.28515625" style="11" bestFit="1" customWidth="1"/>
    <col min="16" max="16" width="12.5703125" style="11" bestFit="1" customWidth="1"/>
  </cols>
  <sheetData>
    <row r="1" spans="1:16">
      <c r="A1" t="s">
        <v>0</v>
      </c>
      <c r="B1" t="s">
        <v>1</v>
      </c>
      <c r="C1" t="s">
        <v>2</v>
      </c>
      <c r="D1" s="3" t="s">
        <v>3</v>
      </c>
      <c r="E1" s="3" t="s">
        <v>4</v>
      </c>
      <c r="F1" t="s">
        <v>5</v>
      </c>
      <c r="G1" t="s">
        <v>6</v>
      </c>
      <c r="H1" t="s">
        <v>7</v>
      </c>
      <c r="I1" s="16" t="s">
        <v>8</v>
      </c>
      <c r="J1" s="16" t="s">
        <v>9</v>
      </c>
      <c r="K1" s="16" t="s">
        <v>10</v>
      </c>
      <c r="L1" s="17" t="s">
        <v>11</v>
      </c>
      <c r="M1" s="17" t="s">
        <v>12</v>
      </c>
      <c r="N1" s="15" t="s">
        <v>13</v>
      </c>
      <c r="O1" s="11" t="s">
        <v>14</v>
      </c>
      <c r="P1" s="11" t="s">
        <v>15</v>
      </c>
    </row>
    <row r="2" spans="1:16">
      <c r="A2">
        <v>5</v>
      </c>
      <c r="B2">
        <v>2.8</v>
      </c>
      <c r="C2" t="s">
        <v>16</v>
      </c>
      <c r="D2" s="3" t="s">
        <v>16</v>
      </c>
      <c r="E2" s="3" t="s">
        <v>17</v>
      </c>
      <c r="F2" t="s">
        <v>16</v>
      </c>
      <c r="G2" t="s">
        <v>16</v>
      </c>
      <c r="H2" t="s">
        <v>18</v>
      </c>
      <c r="I2" s="16">
        <v>11827263.018337088</v>
      </c>
      <c r="J2" s="16">
        <v>11604177.1</v>
      </c>
      <c r="K2" s="16">
        <v>23431440.118337087</v>
      </c>
      <c r="L2" s="17">
        <v>215.93842615799679</v>
      </c>
      <c r="M2" s="17">
        <v>100.94387728636197</v>
      </c>
      <c r="N2" s="15">
        <v>38.848357655363536</v>
      </c>
      <c r="O2" s="11">
        <v>0</v>
      </c>
      <c r="P2" s="11">
        <v>0</v>
      </c>
    </row>
    <row r="3" spans="1:16">
      <c r="A3">
        <v>5</v>
      </c>
      <c r="B3">
        <v>2.8</v>
      </c>
      <c r="C3" t="s">
        <v>16</v>
      </c>
      <c r="D3" s="3" t="s">
        <v>16</v>
      </c>
      <c r="E3" s="3">
        <v>0.75</v>
      </c>
      <c r="F3" t="s">
        <v>16</v>
      </c>
      <c r="G3" t="s">
        <v>16</v>
      </c>
      <c r="H3" t="s">
        <v>18</v>
      </c>
      <c r="I3" s="16">
        <v>12188437.988359561</v>
      </c>
      <c r="J3" s="16">
        <v>7677596.1999999993</v>
      </c>
      <c r="K3" s="16">
        <v>19866034.188359559</v>
      </c>
      <c r="L3" s="17">
        <v>183.08051639037572</v>
      </c>
      <c r="M3" s="17">
        <v>65.586922429549105</v>
      </c>
      <c r="N3" s="15">
        <v>32.538784794257289</v>
      </c>
      <c r="O3" s="11">
        <v>0.1521633289277553</v>
      </c>
      <c r="P3" s="11">
        <v>0.16241543380238943</v>
      </c>
    </row>
    <row r="4" spans="1:16">
      <c r="A4">
        <v>5</v>
      </c>
      <c r="B4">
        <v>2.8</v>
      </c>
      <c r="C4" t="s">
        <v>16</v>
      </c>
      <c r="D4" s="3">
        <v>0.25</v>
      </c>
      <c r="E4" s="3" t="s">
        <v>17</v>
      </c>
      <c r="F4" t="s">
        <v>16</v>
      </c>
      <c r="G4" t="s">
        <v>16</v>
      </c>
      <c r="H4" t="s">
        <v>18</v>
      </c>
      <c r="I4" s="16">
        <v>11303698.061792981</v>
      </c>
      <c r="J4" s="16">
        <v>11891141.299999999</v>
      </c>
      <c r="K4" s="16">
        <v>23194839.361792982</v>
      </c>
      <c r="L4" s="17">
        <v>213.75797140413204</v>
      </c>
      <c r="M4" s="17">
        <v>103.68770758083693</v>
      </c>
      <c r="N4" s="15">
        <v>38.530572186033964</v>
      </c>
      <c r="O4" s="11">
        <v>1.0097576390916907E-2</v>
      </c>
      <c r="P4" s="11">
        <v>8.1801519680381185E-3</v>
      </c>
    </row>
    <row r="5" spans="1:16">
      <c r="A5">
        <v>5</v>
      </c>
      <c r="B5">
        <v>2.8</v>
      </c>
      <c r="C5" t="s">
        <v>16</v>
      </c>
      <c r="D5" s="3">
        <v>0.25</v>
      </c>
      <c r="E5" s="3">
        <v>0.75</v>
      </c>
      <c r="F5" t="s">
        <v>16</v>
      </c>
      <c r="G5" t="s">
        <v>16</v>
      </c>
      <c r="H5" t="s">
        <v>18</v>
      </c>
      <c r="I5" s="16">
        <v>11666316.031695688</v>
      </c>
      <c r="J5" s="16">
        <v>7972383.5</v>
      </c>
      <c r="K5" s="16">
        <v>19638699.531695686</v>
      </c>
      <c r="L5" s="17">
        <v>180.98545574863789</v>
      </c>
      <c r="M5" s="17">
        <v>68.326645694880881</v>
      </c>
      <c r="N5" s="15">
        <v>32.236958239546453</v>
      </c>
      <c r="O5" s="11">
        <v>0.16186544947671644</v>
      </c>
      <c r="P5" s="11">
        <v>0.17018478553119198</v>
      </c>
    </row>
    <row r="6" spans="1:16">
      <c r="A6">
        <v>5</v>
      </c>
      <c r="B6">
        <v>2.8</v>
      </c>
      <c r="C6" t="s">
        <v>19</v>
      </c>
      <c r="D6" s="3" t="s">
        <v>16</v>
      </c>
      <c r="E6" s="3" t="s">
        <v>17</v>
      </c>
      <c r="F6" t="s">
        <v>16</v>
      </c>
      <c r="G6" t="s">
        <v>16</v>
      </c>
      <c r="H6" t="s">
        <v>18</v>
      </c>
      <c r="I6" s="16">
        <v>11828447.018238815</v>
      </c>
      <c r="J6" s="16">
        <v>11403970.200000001</v>
      </c>
      <c r="K6" s="16">
        <v>23232417.218238816</v>
      </c>
      <c r="L6" s="17">
        <v>214.10427974618543</v>
      </c>
      <c r="M6" s="17">
        <v>98.976326804058843</v>
      </c>
      <c r="N6" s="15">
        <v>38.499651608044211</v>
      </c>
      <c r="O6" s="11">
        <v>8.4938398618751298E-3</v>
      </c>
      <c r="P6" s="11">
        <v>8.9760820885353976E-3</v>
      </c>
    </row>
    <row r="7" spans="1:16">
      <c r="A7">
        <v>5</v>
      </c>
      <c r="B7">
        <v>2.8</v>
      </c>
      <c r="C7" t="s">
        <v>19</v>
      </c>
      <c r="D7" s="3" t="s">
        <v>16</v>
      </c>
      <c r="E7" s="3">
        <v>0.75</v>
      </c>
      <c r="F7" t="s">
        <v>16</v>
      </c>
      <c r="G7" t="s">
        <v>16</v>
      </c>
      <c r="H7" t="s">
        <v>18</v>
      </c>
      <c r="I7" s="16">
        <v>12189692.988255396</v>
      </c>
      <c r="J7" s="16">
        <v>7470796.7999999998</v>
      </c>
      <c r="K7" s="16">
        <v>19660489.788255397</v>
      </c>
      <c r="L7" s="17">
        <v>181.18626942817781</v>
      </c>
      <c r="M7" s="17">
        <v>63.620184712382127</v>
      </c>
      <c r="N7" s="15">
        <v>32.178646555992593</v>
      </c>
      <c r="O7" s="11">
        <v>0.16093549141824204</v>
      </c>
      <c r="P7" s="11">
        <v>0.17168579322040145</v>
      </c>
    </row>
    <row r="8" spans="1:16">
      <c r="A8">
        <v>5</v>
      </c>
      <c r="B8">
        <v>2.8</v>
      </c>
      <c r="C8" t="s">
        <v>19</v>
      </c>
      <c r="D8" s="3">
        <v>0.25</v>
      </c>
      <c r="E8" s="3" t="s">
        <v>17</v>
      </c>
      <c r="F8" t="s">
        <v>16</v>
      </c>
      <c r="G8" t="s">
        <v>16</v>
      </c>
      <c r="H8" t="s">
        <v>18</v>
      </c>
      <c r="I8" s="16">
        <v>11303910.061775386</v>
      </c>
      <c r="J8" s="16">
        <v>11684224.700000001</v>
      </c>
      <c r="K8" s="16">
        <v>22988134.761775389</v>
      </c>
      <c r="L8" s="17">
        <v>211.85303232305156</v>
      </c>
      <c r="M8" s="17">
        <v>101.69297672025948</v>
      </c>
      <c r="N8" s="15">
        <v>38.168594685828054</v>
      </c>
      <c r="O8" s="11">
        <v>1.8919253546638481E-2</v>
      </c>
      <c r="P8" s="11">
        <v>1.7497856037206994E-2</v>
      </c>
    </row>
    <row r="9" spans="1:16">
      <c r="A9">
        <v>5</v>
      </c>
      <c r="B9">
        <v>2.8</v>
      </c>
      <c r="C9" t="s">
        <v>19</v>
      </c>
      <c r="D9" s="3">
        <v>0.25</v>
      </c>
      <c r="E9" s="3">
        <v>0.75</v>
      </c>
      <c r="F9" t="s">
        <v>16</v>
      </c>
      <c r="G9" t="s">
        <v>16</v>
      </c>
      <c r="H9" t="s">
        <v>18</v>
      </c>
      <c r="I9" s="16">
        <v>11666718.031662323</v>
      </c>
      <c r="J9" s="16">
        <v>7766375.1999999993</v>
      </c>
      <c r="K9" s="16">
        <v>19433093.231662322</v>
      </c>
      <c r="L9" s="17">
        <v>179.09063833181901</v>
      </c>
      <c r="M9" s="17">
        <v>66.332676295328014</v>
      </c>
      <c r="N9" s="15">
        <v>31.876868835681762</v>
      </c>
      <c r="O9" s="11">
        <v>0.17064025371388591</v>
      </c>
      <c r="P9" s="11">
        <v>0.17945388789735017</v>
      </c>
    </row>
    <row r="10" spans="1:16">
      <c r="A10">
        <v>5</v>
      </c>
      <c r="B10">
        <v>4</v>
      </c>
      <c r="C10" t="s">
        <v>16</v>
      </c>
      <c r="D10" s="3" t="s">
        <v>16</v>
      </c>
      <c r="E10" s="3" t="s">
        <v>17</v>
      </c>
      <c r="F10" t="s">
        <v>16</v>
      </c>
      <c r="G10" t="s">
        <v>16</v>
      </c>
      <c r="H10" t="s">
        <v>18</v>
      </c>
      <c r="I10" s="16">
        <v>11840697.017222067</v>
      </c>
      <c r="J10" s="16">
        <v>10787908.4</v>
      </c>
      <c r="K10" s="16">
        <v>22628605.417222068</v>
      </c>
      <c r="L10" s="17">
        <v>208.53969774231859</v>
      </c>
      <c r="M10" s="17">
        <v>92.911346447878998</v>
      </c>
      <c r="N10" s="15">
        <v>37.440123167367886</v>
      </c>
      <c r="O10" s="11">
        <v>3.4263139485256389E-2</v>
      </c>
      <c r="P10" s="11">
        <v>3.6249524381147813E-2</v>
      </c>
    </row>
    <row r="11" spans="1:16">
      <c r="A11">
        <v>5</v>
      </c>
      <c r="B11">
        <v>4</v>
      </c>
      <c r="C11" t="s">
        <v>16</v>
      </c>
      <c r="D11" s="3" t="s">
        <v>16</v>
      </c>
      <c r="E11" s="3">
        <v>0.75</v>
      </c>
      <c r="F11" t="s">
        <v>16</v>
      </c>
      <c r="G11" t="s">
        <v>16</v>
      </c>
      <c r="H11" t="s">
        <v>18</v>
      </c>
      <c r="I11" s="16">
        <v>12201176.987302227</v>
      </c>
      <c r="J11" s="16">
        <v>6831881</v>
      </c>
      <c r="K11" s="16">
        <v>19033057.987302229</v>
      </c>
      <c r="L11" s="17">
        <v>175.40401127694813</v>
      </c>
      <c r="M11" s="17">
        <v>57.560607489217084</v>
      </c>
      <c r="N11" s="15">
        <v>31.077900832681852</v>
      </c>
      <c r="O11" s="11">
        <v>0.18771283834119745</v>
      </c>
      <c r="P11" s="11">
        <v>0.20002021428076688</v>
      </c>
    </row>
    <row r="12" spans="1:16">
      <c r="A12">
        <v>5</v>
      </c>
      <c r="B12">
        <v>4</v>
      </c>
      <c r="C12" t="s">
        <v>16</v>
      </c>
      <c r="D12" s="3">
        <v>0.25</v>
      </c>
      <c r="E12" s="3" t="s">
        <v>17</v>
      </c>
      <c r="F12" t="s">
        <v>16</v>
      </c>
      <c r="G12" t="s">
        <v>16</v>
      </c>
      <c r="H12" t="s">
        <v>18</v>
      </c>
      <c r="I12" s="16">
        <v>11313475.060981493</v>
      </c>
      <c r="J12" s="16">
        <v>11053923.1</v>
      </c>
      <c r="K12" s="16">
        <v>22367398.160981491</v>
      </c>
      <c r="L12" s="17">
        <v>206.13247550037462</v>
      </c>
      <c r="M12" s="17">
        <v>95.517665522008542</v>
      </c>
      <c r="N12" s="15">
        <v>37.079925915614005</v>
      </c>
      <c r="O12" s="11">
        <v>4.5410864717738475E-2</v>
      </c>
      <c r="P12" s="11">
        <v>4.5521402872107597E-2</v>
      </c>
    </row>
    <row r="13" spans="1:16">
      <c r="A13">
        <v>5</v>
      </c>
      <c r="B13">
        <v>4</v>
      </c>
      <c r="C13" t="s">
        <v>16</v>
      </c>
      <c r="D13" s="3">
        <v>0.25</v>
      </c>
      <c r="E13" s="3">
        <v>0.75</v>
      </c>
      <c r="F13" t="s">
        <v>16</v>
      </c>
      <c r="G13" t="s">
        <v>16</v>
      </c>
      <c r="H13" t="s">
        <v>18</v>
      </c>
      <c r="I13" s="16">
        <v>11676213.030874237</v>
      </c>
      <c r="J13" s="16">
        <v>7115885.8999999994</v>
      </c>
      <c r="K13" s="16">
        <v>18792098.930874236</v>
      </c>
      <c r="L13" s="17">
        <v>173.18339149639709</v>
      </c>
      <c r="M13" s="17">
        <v>60.161418121892275</v>
      </c>
      <c r="N13" s="15">
        <v>30.752741865102976</v>
      </c>
      <c r="O13" s="11">
        <v>0.19799641695228853</v>
      </c>
      <c r="P13" s="11">
        <v>0.20839016830722701</v>
      </c>
    </row>
    <row r="14" spans="1:16">
      <c r="A14">
        <v>5</v>
      </c>
      <c r="B14">
        <v>4</v>
      </c>
      <c r="C14" t="s">
        <v>19</v>
      </c>
      <c r="D14" s="3" t="s">
        <v>16</v>
      </c>
      <c r="E14" s="3" t="s">
        <v>17</v>
      </c>
      <c r="F14" t="s">
        <v>16</v>
      </c>
      <c r="G14" t="s">
        <v>16</v>
      </c>
      <c r="H14" t="s">
        <v>18</v>
      </c>
      <c r="I14" s="16">
        <v>11843899.0169563</v>
      </c>
      <c r="J14" s="16">
        <v>10587906.6</v>
      </c>
      <c r="K14" s="16">
        <v>22431805.616956301</v>
      </c>
      <c r="L14" s="17">
        <v>206.72603887530167</v>
      </c>
      <c r="M14" s="17">
        <v>90.940715018664378</v>
      </c>
      <c r="N14" s="15">
        <v>37.094937805693199</v>
      </c>
      <c r="O14" s="11">
        <v>4.2662102556747517E-2</v>
      </c>
      <c r="P14" s="11">
        <v>4.5134980099429067E-2</v>
      </c>
    </row>
    <row r="15" spans="1:16">
      <c r="A15">
        <v>5</v>
      </c>
      <c r="B15">
        <v>4</v>
      </c>
      <c r="C15" t="s">
        <v>19</v>
      </c>
      <c r="D15" s="3" t="s">
        <v>16</v>
      </c>
      <c r="E15" s="3">
        <v>0.75</v>
      </c>
      <c r="F15" t="s">
        <v>16</v>
      </c>
      <c r="G15" t="s">
        <v>16</v>
      </c>
      <c r="H15" t="s">
        <v>18</v>
      </c>
      <c r="I15" s="16">
        <v>12204442.987031147</v>
      </c>
      <c r="J15" s="16">
        <v>6622093</v>
      </c>
      <c r="K15" s="16">
        <v>18826535.987031147</v>
      </c>
      <c r="L15" s="17">
        <v>173.50075499050936</v>
      </c>
      <c r="M15" s="17">
        <v>55.592830188736414</v>
      </c>
      <c r="N15" s="15">
        <v>30.715680165150786</v>
      </c>
      <c r="O15" s="11">
        <v>0.19652672255949866</v>
      </c>
      <c r="P15" s="11">
        <v>0.20934417774775416</v>
      </c>
    </row>
    <row r="16" spans="1:16">
      <c r="A16">
        <v>5</v>
      </c>
      <c r="B16">
        <v>4</v>
      </c>
      <c r="C16" t="s">
        <v>19</v>
      </c>
      <c r="D16" s="3">
        <v>0.25</v>
      </c>
      <c r="E16" s="3" t="s">
        <v>17</v>
      </c>
      <c r="F16" t="s">
        <v>16</v>
      </c>
      <c r="G16" t="s">
        <v>16</v>
      </c>
      <c r="H16" t="s">
        <v>18</v>
      </c>
      <c r="I16" s="16">
        <v>11315829.060786109</v>
      </c>
      <c r="J16" s="16">
        <v>10850551.799999999</v>
      </c>
      <c r="K16" s="16">
        <v>22166380.86078611</v>
      </c>
      <c r="L16" s="17">
        <v>204.27994918464253</v>
      </c>
      <c r="M16" s="17">
        <v>93.513092372656047</v>
      </c>
      <c r="N16" s="15">
        <v>36.727512037885923</v>
      </c>
      <c r="O16" s="11">
        <v>5.398982099102656E-2</v>
      </c>
      <c r="P16" s="11">
        <v>5.4592928645589733E-2</v>
      </c>
    </row>
    <row r="17" spans="1:16">
      <c r="A17">
        <v>5</v>
      </c>
      <c r="B17">
        <v>4</v>
      </c>
      <c r="C17" t="s">
        <v>19</v>
      </c>
      <c r="D17" s="3">
        <v>0.25</v>
      </c>
      <c r="E17" s="3">
        <v>0.75</v>
      </c>
      <c r="F17" t="s">
        <v>16</v>
      </c>
      <c r="G17" t="s">
        <v>16</v>
      </c>
      <c r="H17" t="s">
        <v>18</v>
      </c>
      <c r="I17" s="16">
        <v>11678725.03066574</v>
      </c>
      <c r="J17" s="16">
        <v>6907445.6999999993</v>
      </c>
      <c r="K17" s="16">
        <v>18586170.73066574</v>
      </c>
      <c r="L17" s="17">
        <v>171.28560752622738</v>
      </c>
      <c r="M17" s="17">
        <v>58.158732423802803</v>
      </c>
      <c r="N17" s="15">
        <v>30.391699911246373</v>
      </c>
      <c r="O17" s="11">
        <v>0.20678495914894757</v>
      </c>
      <c r="P17" s="11">
        <v>0.2176837903712413</v>
      </c>
    </row>
    <row r="18" spans="1:16">
      <c r="A18">
        <v>5</v>
      </c>
      <c r="B18">
        <v>5.5</v>
      </c>
      <c r="C18" t="s">
        <v>16</v>
      </c>
      <c r="D18" s="3" t="s">
        <v>16</v>
      </c>
      <c r="E18" s="3" t="s">
        <v>17</v>
      </c>
      <c r="F18" t="s">
        <v>16</v>
      </c>
      <c r="G18" t="s">
        <v>16</v>
      </c>
      <c r="H18" t="s">
        <v>18</v>
      </c>
      <c r="I18" s="16">
        <v>11850580.016401777</v>
      </c>
      <c r="J18" s="16">
        <v>10383832.1</v>
      </c>
      <c r="K18" s="16">
        <v>22234412.116401777</v>
      </c>
      <c r="L18" s="17">
        <v>204.90690861150691</v>
      </c>
      <c r="M18" s="17">
        <v>88.925816241801357</v>
      </c>
      <c r="N18" s="15">
        <v>36.748071646407311</v>
      </c>
      <c r="O18" s="11">
        <v>5.108640339176318E-2</v>
      </c>
      <c r="P18" s="11">
        <v>5.4063701420496324E-2</v>
      </c>
    </row>
    <row r="19" spans="1:16">
      <c r="A19">
        <v>5</v>
      </c>
      <c r="B19">
        <v>5.5</v>
      </c>
      <c r="C19" t="s">
        <v>16</v>
      </c>
      <c r="D19" s="3" t="s">
        <v>16</v>
      </c>
      <c r="E19" s="3">
        <v>0.75</v>
      </c>
      <c r="F19" t="s">
        <v>16</v>
      </c>
      <c r="G19" t="s">
        <v>16</v>
      </c>
      <c r="H19" t="s">
        <v>18</v>
      </c>
      <c r="I19" s="16">
        <v>12210641.986516632</v>
      </c>
      <c r="J19" s="16">
        <v>6406679.3999999994</v>
      </c>
      <c r="K19" s="16">
        <v>18617321.386516631</v>
      </c>
      <c r="L19" s="17">
        <v>171.57268435822144</v>
      </c>
      <c r="M19" s="17">
        <v>53.580172591484725</v>
      </c>
      <c r="N19" s="15">
        <v>30.348204175728078</v>
      </c>
      <c r="O19" s="11">
        <v>0.20545552076643381</v>
      </c>
      <c r="P19" s="11">
        <v>0.21880341905423895</v>
      </c>
    </row>
    <row r="20" spans="1:16">
      <c r="A20">
        <v>5</v>
      </c>
      <c r="B20">
        <v>5.5</v>
      </c>
      <c r="C20" t="s">
        <v>16</v>
      </c>
      <c r="D20" s="3">
        <v>0.25</v>
      </c>
      <c r="E20" s="3" t="s">
        <v>17</v>
      </c>
      <c r="F20" t="s">
        <v>16</v>
      </c>
      <c r="G20" t="s">
        <v>16</v>
      </c>
      <c r="H20" t="s">
        <v>18</v>
      </c>
      <c r="I20" s="16">
        <v>11321347.060328115</v>
      </c>
      <c r="J20" s="16">
        <v>10642932</v>
      </c>
      <c r="K20" s="16">
        <v>21964279.060328115</v>
      </c>
      <c r="L20" s="17">
        <v>202.41742837951099</v>
      </c>
      <c r="M20" s="17">
        <v>91.447637444150885</v>
      </c>
      <c r="N20" s="15">
        <v>36.372616034204164</v>
      </c>
      <c r="O20" s="11">
        <v>6.2615061242471071E-2</v>
      </c>
      <c r="P20" s="11">
        <v>6.3728347106008609E-2</v>
      </c>
    </row>
    <row r="21" spans="1:16">
      <c r="A21">
        <v>5</v>
      </c>
      <c r="B21">
        <v>5.5</v>
      </c>
      <c r="C21" t="s">
        <v>16</v>
      </c>
      <c r="D21" s="3">
        <v>0.25</v>
      </c>
      <c r="E21" s="3">
        <v>0.75</v>
      </c>
      <c r="F21" t="s">
        <v>16</v>
      </c>
      <c r="G21" t="s">
        <v>16</v>
      </c>
      <c r="H21" t="s">
        <v>18</v>
      </c>
      <c r="I21" s="16">
        <v>11683878.030238044</v>
      </c>
      <c r="J21" s="16">
        <v>6689688.1000000006</v>
      </c>
      <c r="K21" s="16">
        <v>18373566.130238045</v>
      </c>
      <c r="L21" s="17">
        <v>169.32629548315845</v>
      </c>
      <c r="M21" s="17">
        <v>56.095567278804168</v>
      </c>
      <c r="N21" s="15">
        <v>30.018480847367016</v>
      </c>
      <c r="O21" s="11">
        <v>0.21585843475923738</v>
      </c>
      <c r="P21" s="11">
        <v>0.22729086481156402</v>
      </c>
    </row>
    <row r="22" spans="1:16">
      <c r="A22">
        <v>5</v>
      </c>
      <c r="B22">
        <v>5.5</v>
      </c>
      <c r="C22" t="s">
        <v>19</v>
      </c>
      <c r="D22" s="3" t="s">
        <v>16</v>
      </c>
      <c r="E22" s="3" t="s">
        <v>17</v>
      </c>
      <c r="F22" t="s">
        <v>16</v>
      </c>
      <c r="G22" t="s">
        <v>16</v>
      </c>
      <c r="H22" t="s">
        <v>18</v>
      </c>
      <c r="I22" s="16">
        <v>11855250.016014166</v>
      </c>
      <c r="J22" s="16">
        <v>10181164</v>
      </c>
      <c r="K22" s="16">
        <v>22036414.016014166</v>
      </c>
      <c r="L22" s="17">
        <v>203.08220650339732</v>
      </c>
      <c r="M22" s="17">
        <v>86.961187393642135</v>
      </c>
      <c r="N22" s="15">
        <v>36.400517494362205</v>
      </c>
      <c r="O22" s="11">
        <v>5.9536507157799234E-2</v>
      </c>
      <c r="P22" s="11">
        <v>6.3010132441554401E-2</v>
      </c>
    </row>
    <row r="23" spans="1:16">
      <c r="A23">
        <v>5</v>
      </c>
      <c r="B23">
        <v>5.5</v>
      </c>
      <c r="C23" t="s">
        <v>19</v>
      </c>
      <c r="D23" s="3" t="s">
        <v>16</v>
      </c>
      <c r="E23" s="3">
        <v>0.75</v>
      </c>
      <c r="F23" t="s">
        <v>16</v>
      </c>
      <c r="G23" t="s">
        <v>16</v>
      </c>
      <c r="H23" t="s">
        <v>18</v>
      </c>
      <c r="I23" s="16">
        <v>12215403.986121384</v>
      </c>
      <c r="J23" s="16">
        <v>6196276.1000000006</v>
      </c>
      <c r="K23" s="16">
        <v>18411680.086121384</v>
      </c>
      <c r="L23" s="17">
        <v>169.67754438662055</v>
      </c>
      <c r="M23" s="17">
        <v>51.618735399109362</v>
      </c>
      <c r="N23" s="15">
        <v>29.987249872630681</v>
      </c>
      <c r="O23" s="11">
        <v>0.21423181873858932</v>
      </c>
      <c r="P23" s="11">
        <v>0.22809478489007529</v>
      </c>
    </row>
    <row r="24" spans="1:16">
      <c r="A24">
        <v>5</v>
      </c>
      <c r="B24">
        <v>5.5</v>
      </c>
      <c r="C24" t="s">
        <v>19</v>
      </c>
      <c r="D24" s="3">
        <v>0.25</v>
      </c>
      <c r="E24" s="3" t="s">
        <v>17</v>
      </c>
      <c r="F24" t="s">
        <v>16</v>
      </c>
      <c r="G24" t="s">
        <v>16</v>
      </c>
      <c r="H24" t="s">
        <v>18</v>
      </c>
      <c r="I24" s="16">
        <v>11324809.060040768</v>
      </c>
      <c r="J24" s="16">
        <v>10440293.200000001</v>
      </c>
      <c r="K24" s="16">
        <v>21765102.260040767</v>
      </c>
      <c r="L24" s="17">
        <v>200.5818636611659</v>
      </c>
      <c r="M24" s="17">
        <v>89.443971567508498</v>
      </c>
      <c r="N24" s="15">
        <v>36.023220638851839</v>
      </c>
      <c r="O24" s="11">
        <v>7.1115469210629834E-2</v>
      </c>
      <c r="P24" s="11">
        <v>7.272217378079171E-2</v>
      </c>
    </row>
    <row r="25" spans="1:16">
      <c r="A25">
        <v>5</v>
      </c>
      <c r="B25">
        <v>5.5</v>
      </c>
      <c r="C25" t="s">
        <v>19</v>
      </c>
      <c r="D25" s="3">
        <v>0.25</v>
      </c>
      <c r="E25" s="3">
        <v>0.75</v>
      </c>
      <c r="F25" t="s">
        <v>16</v>
      </c>
      <c r="G25" t="s">
        <v>16</v>
      </c>
      <c r="H25" t="s">
        <v>18</v>
      </c>
      <c r="I25" s="16">
        <v>11687454.029941235</v>
      </c>
      <c r="J25" s="16">
        <v>6475446.5</v>
      </c>
      <c r="K25" s="16">
        <v>18162900.529941235</v>
      </c>
      <c r="L25" s="17">
        <v>167.38485279145968</v>
      </c>
      <c r="M25" s="17">
        <v>54.094331596921066</v>
      </c>
      <c r="N25" s="15">
        <v>29.648947625156399</v>
      </c>
      <c r="O25" s="11">
        <v>0.22484915830131902</v>
      </c>
      <c r="P25" s="11">
        <v>0.23680306158160158</v>
      </c>
    </row>
    <row r="26" spans="1:16">
      <c r="A26">
        <v>10</v>
      </c>
      <c r="B26">
        <v>2.8</v>
      </c>
      <c r="C26" t="s">
        <v>16</v>
      </c>
      <c r="D26" s="3" t="s">
        <v>16</v>
      </c>
      <c r="E26" s="3" t="s">
        <v>17</v>
      </c>
      <c r="F26" t="s">
        <v>16</v>
      </c>
      <c r="G26" t="s">
        <v>16</v>
      </c>
      <c r="H26" t="s">
        <v>18</v>
      </c>
      <c r="I26" s="16">
        <v>11827896.01828455</v>
      </c>
      <c r="J26" s="16">
        <v>11032446.200000001</v>
      </c>
      <c r="K26" s="16">
        <v>22860342.218284551</v>
      </c>
      <c r="L26" s="17">
        <v>210.67532747107606</v>
      </c>
      <c r="M26" s="17">
        <v>95.304170212189788</v>
      </c>
      <c r="N26" s="15">
        <v>37.848252233392031</v>
      </c>
      <c r="O26" s="11">
        <v>2.4373145533022722E-2</v>
      </c>
      <c r="P26" s="11">
        <v>2.5743827598679103E-2</v>
      </c>
    </row>
    <row r="27" spans="1:16">
      <c r="A27">
        <v>10</v>
      </c>
      <c r="B27">
        <v>2.8</v>
      </c>
      <c r="C27" t="s">
        <v>16</v>
      </c>
      <c r="D27" s="3" t="s">
        <v>16</v>
      </c>
      <c r="E27" s="3">
        <v>0.75</v>
      </c>
      <c r="F27" t="s">
        <v>16</v>
      </c>
      <c r="G27" t="s">
        <v>16</v>
      </c>
      <c r="H27" t="s">
        <v>18</v>
      </c>
      <c r="I27" s="16">
        <v>12188284.988372263</v>
      </c>
      <c r="J27" s="16">
        <v>7085120.8999999994</v>
      </c>
      <c r="K27" s="16">
        <v>19273405.888372261</v>
      </c>
      <c r="L27" s="17">
        <v>177.61899879906909</v>
      </c>
      <c r="M27" s="17">
        <v>59.949351226548686</v>
      </c>
      <c r="N27" s="15">
        <v>31.501124652118904</v>
      </c>
      <c r="O27" s="11">
        <v>0.1774553424358587</v>
      </c>
      <c r="P27" s="11">
        <v>0.18912596173110674</v>
      </c>
    </row>
    <row r="28" spans="1:16">
      <c r="A28">
        <v>10</v>
      </c>
      <c r="B28">
        <v>2.8</v>
      </c>
      <c r="C28" t="s">
        <v>16</v>
      </c>
      <c r="D28" s="3">
        <v>0.25</v>
      </c>
      <c r="E28" s="3" t="s">
        <v>17</v>
      </c>
      <c r="F28" t="s">
        <v>16</v>
      </c>
      <c r="G28" t="s">
        <v>16</v>
      </c>
      <c r="H28" t="s">
        <v>18</v>
      </c>
      <c r="I28" s="16">
        <v>11302694.061876312</v>
      </c>
      <c r="J28" s="16">
        <v>11305375.700000001</v>
      </c>
      <c r="K28" s="16">
        <v>22608069.761876315</v>
      </c>
      <c r="L28" s="17">
        <v>208.3504461609779</v>
      </c>
      <c r="M28" s="17">
        <v>97.984639928857618</v>
      </c>
      <c r="N28" s="15">
        <v>37.503327442192344</v>
      </c>
      <c r="O28" s="11">
        <v>3.5139554047999511E-2</v>
      </c>
      <c r="P28" s="11">
        <v>3.4622575942679368E-2</v>
      </c>
    </row>
    <row r="29" spans="1:16">
      <c r="A29">
        <v>10</v>
      </c>
      <c r="B29">
        <v>2.8</v>
      </c>
      <c r="C29" t="s">
        <v>16</v>
      </c>
      <c r="D29" s="3">
        <v>0.25</v>
      </c>
      <c r="E29" s="3">
        <v>0.75</v>
      </c>
      <c r="F29" t="s">
        <v>16</v>
      </c>
      <c r="G29" t="s">
        <v>16</v>
      </c>
      <c r="H29" t="s">
        <v>18</v>
      </c>
      <c r="I29" s="16">
        <v>11665153.031792218</v>
      </c>
      <c r="J29" s="16">
        <v>7377417.6999999993</v>
      </c>
      <c r="K29" s="16">
        <v>19042570.731792219</v>
      </c>
      <c r="L29" s="17">
        <v>175.4916784055257</v>
      </c>
      <c r="M29" s="17">
        <v>62.625549200872996</v>
      </c>
      <c r="N29" s="15">
        <v>31.193354902813262</v>
      </c>
      <c r="O29" s="11">
        <v>0.18730685627428445</v>
      </c>
      <c r="P29" s="11">
        <v>0.19704829790902112</v>
      </c>
    </row>
    <row r="30" spans="1:16">
      <c r="A30">
        <v>10</v>
      </c>
      <c r="B30">
        <v>2.8</v>
      </c>
      <c r="C30" t="s">
        <v>19</v>
      </c>
      <c r="D30" s="3" t="s">
        <v>16</v>
      </c>
      <c r="E30" s="3" t="s">
        <v>17</v>
      </c>
      <c r="F30" t="s">
        <v>16</v>
      </c>
      <c r="G30" t="s">
        <v>16</v>
      </c>
      <c r="H30" t="s">
        <v>18</v>
      </c>
      <c r="I30" s="16">
        <v>11829221.018174574</v>
      </c>
      <c r="J30" s="16">
        <v>10831125.9</v>
      </c>
      <c r="K30" s="16">
        <v>22660346.918174572</v>
      </c>
      <c r="L30" s="17">
        <v>208.83221965838351</v>
      </c>
      <c r="M30" s="17">
        <v>93.322686613266796</v>
      </c>
      <c r="N30" s="15">
        <v>37.497817531476556</v>
      </c>
      <c r="O30" s="11">
        <v>3.2908485192041925E-2</v>
      </c>
      <c r="P30" s="11">
        <v>3.4764407182101831E-2</v>
      </c>
    </row>
    <row r="31" spans="1:16">
      <c r="A31">
        <v>10</v>
      </c>
      <c r="B31">
        <v>2.8</v>
      </c>
      <c r="C31" t="s">
        <v>19</v>
      </c>
      <c r="D31" s="3" t="s">
        <v>16</v>
      </c>
      <c r="E31" s="3">
        <v>0.75</v>
      </c>
      <c r="F31" t="s">
        <v>16</v>
      </c>
      <c r="G31" t="s">
        <v>16</v>
      </c>
      <c r="H31" t="s">
        <v>18</v>
      </c>
      <c r="I31" s="16">
        <v>12189950.988233984</v>
      </c>
      <c r="J31" s="16">
        <v>6877618.2999999998</v>
      </c>
      <c r="K31" s="16">
        <v>19067569.288233984</v>
      </c>
      <c r="L31" s="17">
        <v>175.72205899276207</v>
      </c>
      <c r="M31" s="17">
        <v>57.969933293171081</v>
      </c>
      <c r="N31" s="15">
        <v>31.140399019968505</v>
      </c>
      <c r="O31" s="11">
        <v>0.18623997535209136</v>
      </c>
      <c r="P31" s="11">
        <v>0.19841144132204636</v>
      </c>
    </row>
    <row r="32" spans="1:16">
      <c r="A32">
        <v>10</v>
      </c>
      <c r="B32">
        <v>2.8</v>
      </c>
      <c r="C32" t="s">
        <v>19</v>
      </c>
      <c r="D32" s="3">
        <v>0.25</v>
      </c>
      <c r="E32" s="3" t="s">
        <v>17</v>
      </c>
      <c r="F32" t="s">
        <v>16</v>
      </c>
      <c r="G32" t="s">
        <v>16</v>
      </c>
      <c r="H32" t="s">
        <v>18</v>
      </c>
      <c r="I32" s="16">
        <v>11303518.061807923</v>
      </c>
      <c r="J32" s="16">
        <v>11102033.700000001</v>
      </c>
      <c r="K32" s="16">
        <v>22405551.761807926</v>
      </c>
      <c r="L32" s="17">
        <v>206.4840897619442</v>
      </c>
      <c r="M32" s="17">
        <v>95.971976931173131</v>
      </c>
      <c r="N32" s="15">
        <v>37.148567850735787</v>
      </c>
      <c r="O32" s="11">
        <v>4.3782556742055112E-2</v>
      </c>
      <c r="P32" s="11">
        <v>4.3754483000469135E-2</v>
      </c>
    </row>
    <row r="33" spans="1:16">
      <c r="A33">
        <v>10</v>
      </c>
      <c r="B33">
        <v>2.8</v>
      </c>
      <c r="C33" t="s">
        <v>19</v>
      </c>
      <c r="D33" s="3">
        <v>0.25</v>
      </c>
      <c r="E33" s="3">
        <v>0.75</v>
      </c>
      <c r="F33" t="s">
        <v>16</v>
      </c>
      <c r="G33" t="s">
        <v>16</v>
      </c>
      <c r="H33" t="s">
        <v>18</v>
      </c>
      <c r="I33" s="16">
        <v>11666149.031709548</v>
      </c>
      <c r="J33" s="16">
        <v>7165871.6999999993</v>
      </c>
      <c r="K33" s="16">
        <v>18832020.731709547</v>
      </c>
      <c r="L33" s="17">
        <v>173.55130105715105</v>
      </c>
      <c r="M33" s="17">
        <v>60.613860981308605</v>
      </c>
      <c r="N33" s="15">
        <v>30.824499628785201</v>
      </c>
      <c r="O33" s="11">
        <v>0.19629264626496878</v>
      </c>
      <c r="P33" s="11">
        <v>0.20654304353765995</v>
      </c>
    </row>
    <row r="34" spans="1:16">
      <c r="A34">
        <v>10</v>
      </c>
      <c r="B34">
        <v>4</v>
      </c>
      <c r="C34" t="s">
        <v>16</v>
      </c>
      <c r="D34" s="3" t="s">
        <v>16</v>
      </c>
      <c r="E34" s="3" t="s">
        <v>17</v>
      </c>
      <c r="F34" t="s">
        <v>16</v>
      </c>
      <c r="G34" t="s">
        <v>16</v>
      </c>
      <c r="H34" t="s">
        <v>18</v>
      </c>
      <c r="I34" s="16">
        <v>11843882.016957711</v>
      </c>
      <c r="J34" s="16">
        <v>10219195.4</v>
      </c>
      <c r="K34" s="16">
        <v>22063077.416957714</v>
      </c>
      <c r="L34" s="17">
        <v>203.32792989072183</v>
      </c>
      <c r="M34" s="17">
        <v>87.295401278019739</v>
      </c>
      <c r="N34" s="15">
        <v>36.449300231979684</v>
      </c>
      <c r="O34" s="11">
        <v>5.8398574499418543E-2</v>
      </c>
      <c r="P34" s="11">
        <v>6.1754410435228002E-2</v>
      </c>
    </row>
    <row r="35" spans="1:16">
      <c r="A35">
        <v>10</v>
      </c>
      <c r="B35">
        <v>4</v>
      </c>
      <c r="C35" t="s">
        <v>16</v>
      </c>
      <c r="D35" s="3" t="s">
        <v>16</v>
      </c>
      <c r="E35" s="3">
        <v>0.75</v>
      </c>
      <c r="F35" t="s">
        <v>16</v>
      </c>
      <c r="G35" t="s">
        <v>16</v>
      </c>
      <c r="H35" t="s">
        <v>18</v>
      </c>
      <c r="I35" s="16">
        <v>12203733.987089993</v>
      </c>
      <c r="J35" s="16">
        <v>6233692.1999999993</v>
      </c>
      <c r="K35" s="16">
        <v>18437426.187089995</v>
      </c>
      <c r="L35" s="17">
        <v>169.91481416153786</v>
      </c>
      <c r="M35" s="17">
        <v>51.95064599889843</v>
      </c>
      <c r="N35" s="15">
        <v>30.034482087050169</v>
      </c>
      <c r="O35" s="11">
        <v>0.21313303433444764</v>
      </c>
      <c r="P35" s="11">
        <v>0.22687897507802346</v>
      </c>
    </row>
    <row r="36" spans="1:16">
      <c r="A36">
        <v>10</v>
      </c>
      <c r="B36">
        <v>4</v>
      </c>
      <c r="C36" t="s">
        <v>16</v>
      </c>
      <c r="D36" s="3">
        <v>0.25</v>
      </c>
      <c r="E36" s="3" t="s">
        <v>17</v>
      </c>
      <c r="F36" t="s">
        <v>16</v>
      </c>
      <c r="G36" t="s">
        <v>16</v>
      </c>
      <c r="H36" t="s">
        <v>18</v>
      </c>
      <c r="I36" s="16">
        <v>11315082.060848113</v>
      </c>
      <c r="J36" s="16">
        <v>10480434.200000001</v>
      </c>
      <c r="K36" s="16">
        <v>21795516.260848112</v>
      </c>
      <c r="L36" s="17">
        <v>200.86215166029601</v>
      </c>
      <c r="M36" s="17">
        <v>89.808849109315346</v>
      </c>
      <c r="N36" s="15">
        <v>36.078268191637747</v>
      </c>
      <c r="O36" s="11">
        <v>6.9817469571950341E-2</v>
      </c>
      <c r="P36" s="11">
        <v>7.1305188453528845E-2</v>
      </c>
    </row>
    <row r="37" spans="1:16">
      <c r="A37">
        <v>10</v>
      </c>
      <c r="B37">
        <v>4</v>
      </c>
      <c r="C37" t="s">
        <v>16</v>
      </c>
      <c r="D37" s="3">
        <v>0.25</v>
      </c>
      <c r="E37" s="3">
        <v>0.75</v>
      </c>
      <c r="F37" t="s">
        <v>16</v>
      </c>
      <c r="G37" t="s">
        <v>16</v>
      </c>
      <c r="H37" t="s">
        <v>18</v>
      </c>
      <c r="I37" s="16">
        <v>11677331.030781444</v>
      </c>
      <c r="J37" s="16">
        <v>6514386.1999999993</v>
      </c>
      <c r="K37" s="16">
        <v>18191717.230781443</v>
      </c>
      <c r="L37" s="17">
        <v>167.65042046442704</v>
      </c>
      <c r="M37" s="17">
        <v>54.456530524059914</v>
      </c>
      <c r="N37" s="15">
        <v>29.701271304749909</v>
      </c>
      <c r="O37" s="11">
        <v>0.22361932775335969</v>
      </c>
      <c r="P37" s="11">
        <v>0.23545619178448718</v>
      </c>
    </row>
    <row r="38" spans="1:16">
      <c r="A38">
        <v>10</v>
      </c>
      <c r="B38">
        <v>4</v>
      </c>
      <c r="C38" t="s">
        <v>19</v>
      </c>
      <c r="D38" s="3" t="s">
        <v>16</v>
      </c>
      <c r="E38" s="3" t="s">
        <v>17</v>
      </c>
      <c r="F38" t="s">
        <v>16</v>
      </c>
      <c r="G38" t="s">
        <v>16</v>
      </c>
      <c r="H38" t="s">
        <v>18</v>
      </c>
      <c r="I38" s="16">
        <v>11847414.016664553</v>
      </c>
      <c r="J38" s="16">
        <v>10014945.1</v>
      </c>
      <c r="K38" s="16">
        <v>21862359.116664551</v>
      </c>
      <c r="L38" s="17">
        <v>201.47815908502156</v>
      </c>
      <c r="M38" s="17">
        <v>85.323400839090709</v>
      </c>
      <c r="N38" s="15">
        <v>36.097192777973071</v>
      </c>
      <c r="O38" s="11">
        <v>6.6964770144221641E-2</v>
      </c>
      <c r="P38" s="11">
        <v>7.0818048520788102E-2</v>
      </c>
    </row>
    <row r="39" spans="1:16">
      <c r="A39">
        <v>10</v>
      </c>
      <c r="B39">
        <v>4</v>
      </c>
      <c r="C39" t="s">
        <v>19</v>
      </c>
      <c r="D39" s="3" t="s">
        <v>16</v>
      </c>
      <c r="E39" s="3">
        <v>0.75</v>
      </c>
      <c r="F39" t="s">
        <v>16</v>
      </c>
      <c r="G39" t="s">
        <v>16</v>
      </c>
      <c r="H39" t="s">
        <v>18</v>
      </c>
      <c r="I39" s="16">
        <v>12207715.986759489</v>
      </c>
      <c r="J39" s="16">
        <v>6019479.8999999994</v>
      </c>
      <c r="K39" s="16">
        <v>18227195.88675949</v>
      </c>
      <c r="L39" s="17">
        <v>167.97738308795374</v>
      </c>
      <c r="M39" s="17">
        <v>49.9820559332816</v>
      </c>
      <c r="N39" s="15">
        <v>29.665636240351834</v>
      </c>
      <c r="O39" s="11">
        <v>0.22210518027463599</v>
      </c>
      <c r="P39" s="11">
        <v>0.23637347803669395</v>
      </c>
    </row>
    <row r="40" spans="1:16">
      <c r="A40">
        <v>10</v>
      </c>
      <c r="B40">
        <v>4</v>
      </c>
      <c r="C40" t="s">
        <v>19</v>
      </c>
      <c r="D40" s="3">
        <v>0.25</v>
      </c>
      <c r="E40" s="3" t="s">
        <v>17</v>
      </c>
      <c r="F40" t="s">
        <v>16</v>
      </c>
      <c r="G40" t="s">
        <v>16</v>
      </c>
      <c r="H40" t="s">
        <v>18</v>
      </c>
      <c r="I40" s="16">
        <v>11318717.060546404</v>
      </c>
      <c r="J40" s="16">
        <v>10273957.1</v>
      </c>
      <c r="K40" s="16">
        <v>21592674.160546403</v>
      </c>
      <c r="L40" s="17">
        <v>198.99280843271288</v>
      </c>
      <c r="M40" s="17">
        <v>87.791101604151166</v>
      </c>
      <c r="N40" s="15">
        <v>35.722422993018355</v>
      </c>
      <c r="O40" s="11">
        <v>7.8474304118921534E-2</v>
      </c>
      <c r="P40" s="11">
        <v>8.0465040248969277E-2</v>
      </c>
    </row>
    <row r="41" spans="1:16">
      <c r="A41">
        <v>10</v>
      </c>
      <c r="B41">
        <v>4</v>
      </c>
      <c r="C41" t="s">
        <v>19</v>
      </c>
      <c r="D41" s="3">
        <v>0.25</v>
      </c>
      <c r="E41" s="3">
        <v>0.75</v>
      </c>
      <c r="F41" t="s">
        <v>16</v>
      </c>
      <c r="G41" t="s">
        <v>16</v>
      </c>
      <c r="H41" t="s">
        <v>18</v>
      </c>
      <c r="I41" s="16">
        <v>11680923.030483307</v>
      </c>
      <c r="J41" s="16">
        <v>6299207</v>
      </c>
      <c r="K41" s="16">
        <v>17980130.030483305</v>
      </c>
      <c r="L41" s="17">
        <v>165.70048453232866</v>
      </c>
      <c r="M41" s="17">
        <v>52.441672250442871</v>
      </c>
      <c r="N41" s="15">
        <v>29.330121417821807</v>
      </c>
      <c r="O41" s="11">
        <v>0.23264938306492178</v>
      </c>
      <c r="P41" s="11">
        <v>0.24501000330518752</v>
      </c>
    </row>
    <row r="42" spans="1:16">
      <c r="A42">
        <v>10</v>
      </c>
      <c r="B42">
        <v>5.5</v>
      </c>
      <c r="C42" t="s">
        <v>16</v>
      </c>
      <c r="D42" s="3" t="s">
        <v>16</v>
      </c>
      <c r="E42" s="3" t="s">
        <v>17</v>
      </c>
      <c r="F42" t="s">
        <v>16</v>
      </c>
      <c r="G42" t="s">
        <v>16</v>
      </c>
      <c r="H42" t="s">
        <v>18</v>
      </c>
      <c r="I42" s="16">
        <v>11854763.016054589</v>
      </c>
      <c r="J42" s="16">
        <v>9816437.5999999996</v>
      </c>
      <c r="K42" s="16">
        <v>21671200.616054587</v>
      </c>
      <c r="L42" s="17">
        <v>199.71648905706053</v>
      </c>
      <c r="M42" s="17">
        <v>83.350179902349268</v>
      </c>
      <c r="N42" s="15">
        <v>35.761120941010596</v>
      </c>
      <c r="O42" s="11">
        <v>7.5122975514636203E-2</v>
      </c>
      <c r="P42" s="11">
        <v>7.9468911961242394E-2</v>
      </c>
    </row>
    <row r="43" spans="1:16">
      <c r="A43">
        <v>10</v>
      </c>
      <c r="B43">
        <v>5.5</v>
      </c>
      <c r="C43" t="s">
        <v>16</v>
      </c>
      <c r="D43" s="3" t="s">
        <v>16</v>
      </c>
      <c r="E43" s="3">
        <v>0.75</v>
      </c>
      <c r="F43" t="s">
        <v>16</v>
      </c>
      <c r="G43" t="s">
        <v>16</v>
      </c>
      <c r="H43" t="s">
        <v>18</v>
      </c>
      <c r="I43" s="16">
        <v>12214169.986223808</v>
      </c>
      <c r="J43" s="16">
        <v>5805121.1000000006</v>
      </c>
      <c r="K43" s="16">
        <v>18019291.086223807</v>
      </c>
      <c r="L43" s="17">
        <v>166.06138325219317</v>
      </c>
      <c r="M43" s="17">
        <v>48.013328156628418</v>
      </c>
      <c r="N43" s="15">
        <v>29.30040670191952</v>
      </c>
      <c r="O43" s="11">
        <v>0.2309780792294458</v>
      </c>
      <c r="P43" s="11">
        <v>0.24577489319231993</v>
      </c>
    </row>
    <row r="44" spans="1:16">
      <c r="A44">
        <v>10</v>
      </c>
      <c r="B44">
        <v>5.5</v>
      </c>
      <c r="C44" t="s">
        <v>16</v>
      </c>
      <c r="D44" s="3">
        <v>0.25</v>
      </c>
      <c r="E44" s="3" t="s">
        <v>17</v>
      </c>
      <c r="F44" t="s">
        <v>16</v>
      </c>
      <c r="G44" t="s">
        <v>16</v>
      </c>
      <c r="H44" t="s">
        <v>18</v>
      </c>
      <c r="I44" s="16">
        <v>11325075.060018692</v>
      </c>
      <c r="J44" s="16">
        <v>10065604.799999999</v>
      </c>
      <c r="K44" s="16">
        <v>21390679.860018693</v>
      </c>
      <c r="L44" s="17">
        <v>197.13127832066891</v>
      </c>
      <c r="M44" s="17">
        <v>85.7532185852982</v>
      </c>
      <c r="N44" s="15">
        <v>35.367560396341524</v>
      </c>
      <c r="O44" s="11">
        <v>8.709495652046273E-2</v>
      </c>
      <c r="P44" s="11">
        <v>8.9599598775868539E-2</v>
      </c>
    </row>
    <row r="45" spans="1:16">
      <c r="A45">
        <v>10</v>
      </c>
      <c r="B45">
        <v>5.5</v>
      </c>
      <c r="C45" t="s">
        <v>16</v>
      </c>
      <c r="D45" s="3">
        <v>0.25</v>
      </c>
      <c r="E45" s="3">
        <v>0.75</v>
      </c>
      <c r="F45" t="s">
        <v>16</v>
      </c>
      <c r="G45" t="s">
        <v>16</v>
      </c>
      <c r="H45" t="s">
        <v>18</v>
      </c>
      <c r="I45" s="16">
        <v>11686581.030013693</v>
      </c>
      <c r="J45" s="16">
        <v>6076292.6000000006</v>
      </c>
      <c r="K45" s="16">
        <v>17762873.630013693</v>
      </c>
      <c r="L45" s="17">
        <v>163.69830263684008</v>
      </c>
      <c r="M45" s="17">
        <v>50.40728061139405</v>
      </c>
      <c r="N45" s="15">
        <v>28.948664002858596</v>
      </c>
      <c r="O45" s="11">
        <v>0.24192138680743136</v>
      </c>
      <c r="P45" s="11">
        <v>0.25482914207927021</v>
      </c>
    </row>
    <row r="46" spans="1:16">
      <c r="A46">
        <v>10</v>
      </c>
      <c r="B46">
        <v>5.5</v>
      </c>
      <c r="C46" t="s">
        <v>19</v>
      </c>
      <c r="D46" s="3" t="s">
        <v>16</v>
      </c>
      <c r="E46" s="3" t="s">
        <v>17</v>
      </c>
      <c r="F46" t="s">
        <v>16</v>
      </c>
      <c r="G46" t="s">
        <v>16</v>
      </c>
      <c r="H46" t="s">
        <v>18</v>
      </c>
      <c r="I46" s="16">
        <v>11859379.01567146</v>
      </c>
      <c r="J46" s="16">
        <v>9619951.7999999989</v>
      </c>
      <c r="K46" s="16">
        <v>21479330.815671459</v>
      </c>
      <c r="L46" s="17">
        <v>197.9482638642113</v>
      </c>
      <c r="M46" s="17">
        <v>81.400170025775282</v>
      </c>
      <c r="N46" s="15">
        <v>35.424307355880217</v>
      </c>
      <c r="O46" s="11">
        <v>8.3311537524231705E-2</v>
      </c>
      <c r="P46" s="11">
        <v>8.8138868825786365E-2</v>
      </c>
    </row>
    <row r="47" spans="1:16">
      <c r="A47">
        <v>10</v>
      </c>
      <c r="B47">
        <v>5.5</v>
      </c>
      <c r="C47" t="s">
        <v>19</v>
      </c>
      <c r="D47" s="3" t="s">
        <v>16</v>
      </c>
      <c r="E47" s="3">
        <v>0.75</v>
      </c>
      <c r="F47" t="s">
        <v>16</v>
      </c>
      <c r="G47" t="s">
        <v>16</v>
      </c>
      <c r="H47" t="s">
        <v>18</v>
      </c>
      <c r="I47" s="16">
        <v>12218871.985833541</v>
      </c>
      <c r="J47" s="16">
        <v>5593868.1000000006</v>
      </c>
      <c r="K47" s="16">
        <v>17812740.085833542</v>
      </c>
      <c r="L47" s="17">
        <v>164.1578597077428</v>
      </c>
      <c r="M47" s="17">
        <v>46.067905947716682</v>
      </c>
      <c r="N47" s="15">
        <v>28.937870578886553</v>
      </c>
      <c r="O47" s="11">
        <v>0.2397932011061682</v>
      </c>
      <c r="P47" s="11">
        <v>0.25510697683531824</v>
      </c>
    </row>
    <row r="48" spans="1:16">
      <c r="A48">
        <v>10</v>
      </c>
      <c r="B48">
        <v>5.5</v>
      </c>
      <c r="C48" t="s">
        <v>19</v>
      </c>
      <c r="D48" s="3">
        <v>0.25</v>
      </c>
      <c r="E48" s="3" t="s">
        <v>17</v>
      </c>
      <c r="F48" t="s">
        <v>16</v>
      </c>
      <c r="G48" t="s">
        <v>16</v>
      </c>
      <c r="H48" t="s">
        <v>18</v>
      </c>
      <c r="I48" s="16">
        <v>11329175.059678391</v>
      </c>
      <c r="J48" s="16">
        <v>9861032.2000000011</v>
      </c>
      <c r="K48" s="16">
        <v>21190207.259678394</v>
      </c>
      <c r="L48" s="17">
        <v>195.28377182569221</v>
      </c>
      <c r="M48" s="17">
        <v>83.743488022623239</v>
      </c>
      <c r="N48" s="15">
        <v>35.01577847039713</v>
      </c>
      <c r="O48" s="11">
        <v>9.5650666256093198E-2</v>
      </c>
      <c r="P48" s="11">
        <v>9.8654857406494934E-2</v>
      </c>
    </row>
    <row r="49" spans="1:16">
      <c r="A49">
        <v>10</v>
      </c>
      <c r="B49">
        <v>5.5</v>
      </c>
      <c r="C49" t="s">
        <v>19</v>
      </c>
      <c r="D49" s="3">
        <v>0.25</v>
      </c>
      <c r="E49" s="3">
        <v>0.75</v>
      </c>
      <c r="F49" t="s">
        <v>16</v>
      </c>
      <c r="G49" t="s">
        <v>16</v>
      </c>
      <c r="H49" t="s">
        <v>18</v>
      </c>
      <c r="I49" s="16">
        <v>11690789.029664429</v>
      </c>
      <c r="J49" s="16">
        <v>5857275.1000000006</v>
      </c>
      <c r="K49" s="16">
        <v>17548064.129664429</v>
      </c>
      <c r="L49" s="17">
        <v>161.71867077490833</v>
      </c>
      <c r="M49" s="17">
        <v>48.400725503204548</v>
      </c>
      <c r="N49" s="15">
        <v>28.571758351162231</v>
      </c>
      <c r="O49" s="11">
        <v>0.25108896247774448</v>
      </c>
      <c r="P49" s="11">
        <v>0.26453111339656554</v>
      </c>
    </row>
    <row r="50" spans="1:16">
      <c r="A50">
        <v>15</v>
      </c>
      <c r="B50">
        <v>2.8</v>
      </c>
      <c r="C50" t="s">
        <v>16</v>
      </c>
      <c r="D50" s="3" t="s">
        <v>16</v>
      </c>
      <c r="E50" s="3" t="s">
        <v>17</v>
      </c>
      <c r="F50" t="s">
        <v>16</v>
      </c>
      <c r="G50" t="s">
        <v>16</v>
      </c>
      <c r="H50" t="s">
        <v>18</v>
      </c>
      <c r="I50" s="16">
        <v>11827622.018307291</v>
      </c>
      <c r="J50" s="16">
        <v>10836487.799999999</v>
      </c>
      <c r="K50" s="16">
        <v>22664109.818307288</v>
      </c>
      <c r="L50" s="17">
        <v>208.86689762646162</v>
      </c>
      <c r="M50" s="17">
        <v>93.362533706669709</v>
      </c>
      <c r="N50" s="15">
        <v>37.504701065251943</v>
      </c>
      <c r="O50" s="11">
        <v>3.2747893264541528E-2</v>
      </c>
      <c r="P50" s="11">
        <v>3.4587217355019462E-2</v>
      </c>
    </row>
    <row r="51" spans="1:16">
      <c r="A51">
        <v>15</v>
      </c>
      <c r="B51">
        <v>2.8</v>
      </c>
      <c r="C51" t="s">
        <v>16</v>
      </c>
      <c r="D51" s="3" t="s">
        <v>16</v>
      </c>
      <c r="E51" s="3">
        <v>0.75</v>
      </c>
      <c r="F51" t="s">
        <v>16</v>
      </c>
      <c r="G51" t="s">
        <v>16</v>
      </c>
      <c r="H51" t="s">
        <v>18</v>
      </c>
      <c r="I51" s="16">
        <v>12187754.988416253</v>
      </c>
      <c r="J51" s="16">
        <v>6880929.1999999993</v>
      </c>
      <c r="K51" s="16">
        <v>19068684.18841625</v>
      </c>
      <c r="L51" s="17">
        <v>175.73233364039217</v>
      </c>
      <c r="M51" s="17">
        <v>58.009197139831777</v>
      </c>
      <c r="N51" s="15">
        <v>31.142755958971851</v>
      </c>
      <c r="O51" s="11">
        <v>0.18619239397524745</v>
      </c>
      <c r="P51" s="11">
        <v>0.19835077108665944</v>
      </c>
    </row>
    <row r="52" spans="1:16">
      <c r="A52">
        <v>15</v>
      </c>
      <c r="B52">
        <v>2.8</v>
      </c>
      <c r="C52" t="s">
        <v>16</v>
      </c>
      <c r="D52" s="3">
        <v>0.25</v>
      </c>
      <c r="E52" s="3" t="s">
        <v>17</v>
      </c>
      <c r="F52" t="s">
        <v>16</v>
      </c>
      <c r="G52" t="s">
        <v>16</v>
      </c>
      <c r="H52" t="s">
        <v>18</v>
      </c>
      <c r="I52" s="16">
        <v>11302525.061890341</v>
      </c>
      <c r="J52" s="16">
        <v>11108567.6</v>
      </c>
      <c r="K52" s="16">
        <v>22411092.661890343</v>
      </c>
      <c r="L52" s="17">
        <v>206.53515334306655</v>
      </c>
      <c r="M52" s="17">
        <v>96.017510680312753</v>
      </c>
      <c r="N52" s="15">
        <v>37.158452956040627</v>
      </c>
      <c r="O52" s="11">
        <v>4.3546083863971852E-2</v>
      </c>
      <c r="P52" s="11">
        <v>4.3500029378709004E-2</v>
      </c>
    </row>
    <row r="53" spans="1:16">
      <c r="A53">
        <v>15</v>
      </c>
      <c r="B53">
        <v>2.8</v>
      </c>
      <c r="C53" t="s">
        <v>16</v>
      </c>
      <c r="D53" s="3">
        <v>0.25</v>
      </c>
      <c r="E53" s="3">
        <v>0.75</v>
      </c>
      <c r="F53" t="s">
        <v>16</v>
      </c>
      <c r="G53" t="s">
        <v>16</v>
      </c>
      <c r="H53" t="s">
        <v>18</v>
      </c>
      <c r="I53" s="16">
        <v>11664716.031828489</v>
      </c>
      <c r="J53" s="16">
        <v>7172317.6999999993</v>
      </c>
      <c r="K53" s="16">
        <v>18837033.731828488</v>
      </c>
      <c r="L53" s="17">
        <v>173.5974996412136</v>
      </c>
      <c r="M53" s="17">
        <v>60.659205715300295</v>
      </c>
      <c r="N53" s="15">
        <v>30.83354148329148</v>
      </c>
      <c r="O53" s="11">
        <v>0.19607870294378904</v>
      </c>
      <c r="P53" s="11">
        <v>0.20631029613076846</v>
      </c>
    </row>
    <row r="54" spans="1:16">
      <c r="A54">
        <v>15</v>
      </c>
      <c r="B54">
        <v>2.8</v>
      </c>
      <c r="C54" t="s">
        <v>19</v>
      </c>
      <c r="D54" s="3" t="s">
        <v>16</v>
      </c>
      <c r="E54" s="3" t="s">
        <v>17</v>
      </c>
      <c r="F54" t="s">
        <v>16</v>
      </c>
      <c r="G54" t="s">
        <v>16</v>
      </c>
      <c r="H54" t="s">
        <v>18</v>
      </c>
      <c r="I54" s="16">
        <v>11829752.0181305</v>
      </c>
      <c r="J54" s="16">
        <v>10637130.6</v>
      </c>
      <c r="K54" s="16">
        <v>22466882.618130498</v>
      </c>
      <c r="L54" s="17">
        <v>207.04929994630902</v>
      </c>
      <c r="M54" s="17">
        <v>91.376716260426036</v>
      </c>
      <c r="N54" s="15">
        <v>37.158964914865756</v>
      </c>
      <c r="O54" s="11">
        <v>4.1165096781727084E-2</v>
      </c>
      <c r="P54" s="11">
        <v>4.348685098826921E-2</v>
      </c>
    </row>
    <row r="55" spans="1:16">
      <c r="A55">
        <v>15</v>
      </c>
      <c r="B55">
        <v>2.8</v>
      </c>
      <c r="C55" t="s">
        <v>19</v>
      </c>
      <c r="D55" s="3" t="s">
        <v>16</v>
      </c>
      <c r="E55" s="3">
        <v>0.75</v>
      </c>
      <c r="F55" t="s">
        <v>16</v>
      </c>
      <c r="G55" t="s">
        <v>16</v>
      </c>
      <c r="H55" t="s">
        <v>18</v>
      </c>
      <c r="I55" s="16">
        <v>12190153.988217138</v>
      </c>
      <c r="J55" s="16">
        <v>6669266</v>
      </c>
      <c r="K55" s="16">
        <v>18859419.988217138</v>
      </c>
      <c r="L55" s="17">
        <v>173.80380590953177</v>
      </c>
      <c r="M55" s="17">
        <v>56.025628973848612</v>
      </c>
      <c r="N55" s="15">
        <v>30.775893518190006</v>
      </c>
      <c r="O55" s="11">
        <v>0.19512330898270114</v>
      </c>
      <c r="P55" s="11">
        <v>0.20779421896768446</v>
      </c>
    </row>
    <row r="56" spans="1:16">
      <c r="A56">
        <v>15</v>
      </c>
      <c r="B56">
        <v>2.8</v>
      </c>
      <c r="C56" t="s">
        <v>19</v>
      </c>
      <c r="D56" s="3">
        <v>0.25</v>
      </c>
      <c r="E56" s="3" t="s">
        <v>17</v>
      </c>
      <c r="F56" t="s">
        <v>16</v>
      </c>
      <c r="G56" t="s">
        <v>16</v>
      </c>
      <c r="H56" t="s">
        <v>18</v>
      </c>
      <c r="I56" s="16">
        <v>11303836.061781529</v>
      </c>
      <c r="J56" s="16">
        <v>10905723.700000001</v>
      </c>
      <c r="K56" s="16">
        <v>22209559.761781529</v>
      </c>
      <c r="L56" s="17">
        <v>204.6778753845301</v>
      </c>
      <c r="M56" s="17">
        <v>93.997316779090909</v>
      </c>
      <c r="N56" s="15">
        <v>36.805328506826179</v>
      </c>
      <c r="O56" s="11">
        <v>5.2147044756303051E-2</v>
      </c>
      <c r="P56" s="11">
        <v>5.2589846053769818E-2</v>
      </c>
    </row>
    <row r="57" spans="1:16">
      <c r="A57">
        <v>15</v>
      </c>
      <c r="B57">
        <v>2.8</v>
      </c>
      <c r="C57" t="s">
        <v>19</v>
      </c>
      <c r="D57" s="3">
        <v>0.25</v>
      </c>
      <c r="E57" s="3">
        <v>0.75</v>
      </c>
      <c r="F57" t="s">
        <v>16</v>
      </c>
      <c r="G57" t="s">
        <v>16</v>
      </c>
      <c r="H57" t="s">
        <v>18</v>
      </c>
      <c r="I57" s="16">
        <v>11666154.031709133</v>
      </c>
      <c r="J57" s="16">
        <v>6960068.5</v>
      </c>
      <c r="K57" s="16">
        <v>18626222.531709135</v>
      </c>
      <c r="L57" s="17">
        <v>171.65471513713072</v>
      </c>
      <c r="M57" s="17">
        <v>58.640432127904425</v>
      </c>
      <c r="N57" s="15">
        <v>30.464147382405848</v>
      </c>
      <c r="O57" s="11">
        <v>0.20507564035159154</v>
      </c>
      <c r="P57" s="11">
        <v>0.215818911762931</v>
      </c>
    </row>
    <row r="58" spans="1:16">
      <c r="A58">
        <v>15</v>
      </c>
      <c r="B58">
        <v>4</v>
      </c>
      <c r="C58" t="s">
        <v>16</v>
      </c>
      <c r="D58" s="3" t="s">
        <v>16</v>
      </c>
      <c r="E58" s="3" t="s">
        <v>17</v>
      </c>
      <c r="F58" t="s">
        <v>16</v>
      </c>
      <c r="G58" t="s">
        <v>16</v>
      </c>
      <c r="H58" t="s">
        <v>18</v>
      </c>
      <c r="I58" s="16">
        <v>11844499.016906502</v>
      </c>
      <c r="J58" s="16">
        <v>10020453.5</v>
      </c>
      <c r="K58" s="16">
        <v>21864952.5169065</v>
      </c>
      <c r="L58" s="17">
        <v>201.50205922789866</v>
      </c>
      <c r="M58" s="17">
        <v>85.371110962648103</v>
      </c>
      <c r="N58" s="15">
        <v>36.102271083628267</v>
      </c>
      <c r="O58" s="11">
        <v>6.6854089783609849E-2</v>
      </c>
      <c r="P58" s="11">
        <v>7.0687327276398593E-2</v>
      </c>
    </row>
    <row r="59" spans="1:16">
      <c r="A59">
        <v>15</v>
      </c>
      <c r="B59">
        <v>4</v>
      </c>
      <c r="C59" t="s">
        <v>16</v>
      </c>
      <c r="D59" s="3" t="s">
        <v>16</v>
      </c>
      <c r="E59" s="3">
        <v>0.75</v>
      </c>
      <c r="F59" t="s">
        <v>16</v>
      </c>
      <c r="G59" t="s">
        <v>16</v>
      </c>
      <c r="H59" t="s">
        <v>18</v>
      </c>
      <c r="I59" s="16">
        <v>12204400.987034634</v>
      </c>
      <c r="J59" s="16">
        <v>6024285.1000000006</v>
      </c>
      <c r="K59" s="16">
        <v>18228686.087034635</v>
      </c>
      <c r="L59" s="17">
        <v>167.99111640952722</v>
      </c>
      <c r="M59" s="17">
        <v>50.029182810096756</v>
      </c>
      <c r="N59" s="15">
        <v>29.668856575998266</v>
      </c>
      <c r="O59" s="11">
        <v>0.22204158195256873</v>
      </c>
      <c r="P59" s="11">
        <v>0.23629058300995942</v>
      </c>
    </row>
    <row r="60" spans="1:16">
      <c r="A60">
        <v>15</v>
      </c>
      <c r="B60">
        <v>4</v>
      </c>
      <c r="C60" t="s">
        <v>16</v>
      </c>
      <c r="D60" s="3">
        <v>0.25</v>
      </c>
      <c r="E60" s="3" t="s">
        <v>17</v>
      </c>
      <c r="F60" t="s">
        <v>16</v>
      </c>
      <c r="G60" t="s">
        <v>16</v>
      </c>
      <c r="H60" t="s">
        <v>18</v>
      </c>
      <c r="I60" s="16">
        <v>11316126.060761459</v>
      </c>
      <c r="J60" s="16">
        <v>10280608.200000001</v>
      </c>
      <c r="K60" s="16">
        <v>21596734.260761462</v>
      </c>
      <c r="L60" s="17">
        <v>199.03022532412268</v>
      </c>
      <c r="M60" s="17">
        <v>87.843372393206778</v>
      </c>
      <c r="N60" s="15">
        <v>35.730009762803263</v>
      </c>
      <c r="O60" s="11">
        <v>7.8301028375110993E-2</v>
      </c>
      <c r="P60" s="11">
        <v>8.0269748343653413E-2</v>
      </c>
    </row>
    <row r="61" spans="1:16">
      <c r="A61">
        <v>15</v>
      </c>
      <c r="B61">
        <v>4</v>
      </c>
      <c r="C61" t="s">
        <v>16</v>
      </c>
      <c r="D61" s="3">
        <v>0.25</v>
      </c>
      <c r="E61" s="3">
        <v>0.75</v>
      </c>
      <c r="F61" t="s">
        <v>16</v>
      </c>
      <c r="G61" t="s">
        <v>16</v>
      </c>
      <c r="H61" t="s">
        <v>18</v>
      </c>
      <c r="I61" s="16">
        <v>11677995.030726332</v>
      </c>
      <c r="J61" s="16">
        <v>6304100.1000000006</v>
      </c>
      <c r="K61" s="16">
        <v>17982095.130726334</v>
      </c>
      <c r="L61" s="17">
        <v>165.71859441595421</v>
      </c>
      <c r="M61" s="17">
        <v>52.492919657483199</v>
      </c>
      <c r="N61" s="15">
        <v>29.334101970315483</v>
      </c>
      <c r="O61" s="11">
        <v>0.23256551710392648</v>
      </c>
      <c r="P61" s="11">
        <v>0.24490753944998445</v>
      </c>
    </row>
    <row r="62" spans="1:16">
      <c r="A62">
        <v>15</v>
      </c>
      <c r="B62">
        <v>4</v>
      </c>
      <c r="C62" t="s">
        <v>19</v>
      </c>
      <c r="D62" s="3" t="s">
        <v>16</v>
      </c>
      <c r="E62" s="3" t="s">
        <v>17</v>
      </c>
      <c r="F62" t="s">
        <v>16</v>
      </c>
      <c r="G62" t="s">
        <v>16</v>
      </c>
      <c r="H62" t="s">
        <v>18</v>
      </c>
      <c r="I62" s="16">
        <v>11848761.016552754</v>
      </c>
      <c r="J62" s="16">
        <v>9821067</v>
      </c>
      <c r="K62" s="16">
        <v>21669828.016552754</v>
      </c>
      <c r="L62" s="17">
        <v>199.70383951547564</v>
      </c>
      <c r="M62" s="17">
        <v>83.401251795323631</v>
      </c>
      <c r="N62" s="15">
        <v>35.759823787323306</v>
      </c>
      <c r="O62" s="11">
        <v>7.5181554906039283E-2</v>
      </c>
      <c r="P62" s="11">
        <v>7.9502302142078207E-2</v>
      </c>
    </row>
    <row r="63" spans="1:16">
      <c r="A63">
        <v>15</v>
      </c>
      <c r="B63">
        <v>4</v>
      </c>
      <c r="C63" t="s">
        <v>19</v>
      </c>
      <c r="D63" s="3" t="s">
        <v>16</v>
      </c>
      <c r="E63" s="3">
        <v>0.75</v>
      </c>
      <c r="F63" t="s">
        <v>16</v>
      </c>
      <c r="G63" t="s">
        <v>16</v>
      </c>
      <c r="H63" t="s">
        <v>18</v>
      </c>
      <c r="I63" s="16">
        <v>12208485.986695578</v>
      </c>
      <c r="J63" s="16">
        <v>5810893.1999999993</v>
      </c>
      <c r="K63" s="16">
        <v>18019379.186695576</v>
      </c>
      <c r="L63" s="17">
        <v>166.06219516461175</v>
      </c>
      <c r="M63" s="17">
        <v>48.063441472781079</v>
      </c>
      <c r="N63" s="15">
        <v>29.301608612291965</v>
      </c>
      <c r="O63" s="11">
        <v>0.23097431930383638</v>
      </c>
      <c r="P63" s="11">
        <v>0.24574395468050148</v>
      </c>
    </row>
    <row r="64" spans="1:16">
      <c r="A64">
        <v>15</v>
      </c>
      <c r="B64">
        <v>4</v>
      </c>
      <c r="C64" t="s">
        <v>19</v>
      </c>
      <c r="D64" s="3">
        <v>0.25</v>
      </c>
      <c r="E64" s="3" t="s">
        <v>17</v>
      </c>
      <c r="F64" t="s">
        <v>16</v>
      </c>
      <c r="G64" t="s">
        <v>16</v>
      </c>
      <c r="H64" t="s">
        <v>18</v>
      </c>
      <c r="I64" s="16">
        <v>11319665.060467724</v>
      </c>
      <c r="J64" s="16">
        <v>10072812.6</v>
      </c>
      <c r="K64" s="16">
        <v>21392477.660467722</v>
      </c>
      <c r="L64" s="17">
        <v>197.14784641027623</v>
      </c>
      <c r="M64" s="17">
        <v>85.823561922713623</v>
      </c>
      <c r="N64" s="15">
        <v>35.371705478043182</v>
      </c>
      <c r="O64" s="11">
        <v>8.7018230530086171E-2</v>
      </c>
      <c r="P64" s="11">
        <v>8.9492899755579614E-2</v>
      </c>
    </row>
    <row r="65" spans="1:16">
      <c r="A65">
        <v>15</v>
      </c>
      <c r="B65">
        <v>4</v>
      </c>
      <c r="C65" t="s">
        <v>19</v>
      </c>
      <c r="D65" s="3">
        <v>0.25</v>
      </c>
      <c r="E65" s="3">
        <v>0.75</v>
      </c>
      <c r="F65" t="s">
        <v>16</v>
      </c>
      <c r="G65" t="s">
        <v>16</v>
      </c>
      <c r="H65" t="s">
        <v>18</v>
      </c>
      <c r="I65" s="16">
        <v>11681627.030424874</v>
      </c>
      <c r="J65" s="16">
        <v>6084438</v>
      </c>
      <c r="K65" s="16">
        <v>17766065.030424874</v>
      </c>
      <c r="L65" s="17">
        <v>163.72771380314271</v>
      </c>
      <c r="M65" s="17">
        <v>50.476522260518614</v>
      </c>
      <c r="N65" s="15">
        <v>28.955165221447995</v>
      </c>
      <c r="O65" s="11">
        <v>0.24178518517428116</v>
      </c>
      <c r="P65" s="11">
        <v>0.25466179347094364</v>
      </c>
    </row>
    <row r="66" spans="1:16">
      <c r="A66">
        <v>15</v>
      </c>
      <c r="B66">
        <v>5.5</v>
      </c>
      <c r="C66" t="s">
        <v>16</v>
      </c>
      <c r="D66" s="3" t="s">
        <v>16</v>
      </c>
      <c r="E66" s="3" t="s">
        <v>17</v>
      </c>
      <c r="F66" t="s">
        <v>16</v>
      </c>
      <c r="G66" t="s">
        <v>16</v>
      </c>
      <c r="H66" t="s">
        <v>18</v>
      </c>
      <c r="I66" s="16">
        <v>11855584.015986444</v>
      </c>
      <c r="J66" s="16">
        <v>9625284.4000000004</v>
      </c>
      <c r="K66" s="16">
        <v>21480868.415986445</v>
      </c>
      <c r="L66" s="17">
        <v>197.96243401296877</v>
      </c>
      <c r="M66" s="17">
        <v>81.450561464217074</v>
      </c>
      <c r="N66" s="15">
        <v>35.427699159938292</v>
      </c>
      <c r="O66" s="11">
        <v>8.3245916277427279E-2</v>
      </c>
      <c r="P66" s="11">
        <v>8.8051560011134122E-2</v>
      </c>
    </row>
    <row r="67" spans="1:16">
      <c r="A67">
        <v>15</v>
      </c>
      <c r="B67">
        <v>5.5</v>
      </c>
      <c r="C67" t="s">
        <v>16</v>
      </c>
      <c r="D67" s="3" t="s">
        <v>16</v>
      </c>
      <c r="E67" s="3">
        <v>0.75</v>
      </c>
      <c r="F67" t="s">
        <v>16</v>
      </c>
      <c r="G67" t="s">
        <v>16</v>
      </c>
      <c r="H67" t="s">
        <v>18</v>
      </c>
      <c r="I67" s="16">
        <v>12214936.986160148</v>
      </c>
      <c r="J67" s="16">
        <v>5598087.2999999998</v>
      </c>
      <c r="K67" s="16">
        <v>17813024.286160149</v>
      </c>
      <c r="L67" s="17">
        <v>164.16047882850239</v>
      </c>
      <c r="M67" s="17">
        <v>46.117057986831227</v>
      </c>
      <c r="N67" s="15">
        <v>28.939093491738657</v>
      </c>
      <c r="O67" s="11">
        <v>0.23978107208954902</v>
      </c>
      <c r="P67" s="11">
        <v>0.25507549769627835</v>
      </c>
    </row>
    <row r="68" spans="1:16">
      <c r="A68">
        <v>15</v>
      </c>
      <c r="B68">
        <v>5.5</v>
      </c>
      <c r="C68" t="s">
        <v>16</v>
      </c>
      <c r="D68" s="3">
        <v>0.25</v>
      </c>
      <c r="E68" s="3" t="s">
        <v>17</v>
      </c>
      <c r="F68" t="s">
        <v>16</v>
      </c>
      <c r="G68" t="s">
        <v>16</v>
      </c>
      <c r="H68" t="s">
        <v>18</v>
      </c>
      <c r="I68" s="16">
        <v>11326194.059925815</v>
      </c>
      <c r="J68" s="16">
        <v>9867361</v>
      </c>
      <c r="K68" s="16">
        <v>21193555.059925817</v>
      </c>
      <c r="L68" s="17">
        <v>195.31462433466601</v>
      </c>
      <c r="M68" s="17">
        <v>83.798078297565766</v>
      </c>
      <c r="N68" s="15">
        <v>35.022189890407127</v>
      </c>
      <c r="O68" s="11">
        <v>9.5507789837464441E-2</v>
      </c>
      <c r="P68" s="11">
        <v>9.8489820313630516E-2</v>
      </c>
    </row>
    <row r="69" spans="1:16">
      <c r="A69">
        <v>15</v>
      </c>
      <c r="B69">
        <v>5.5</v>
      </c>
      <c r="C69" t="s">
        <v>16</v>
      </c>
      <c r="D69" s="3">
        <v>0.25</v>
      </c>
      <c r="E69" s="3">
        <v>0.75</v>
      </c>
      <c r="F69" t="s">
        <v>16</v>
      </c>
      <c r="G69" t="s">
        <v>16</v>
      </c>
      <c r="H69" t="s">
        <v>18</v>
      </c>
      <c r="I69" s="16">
        <v>11687454.029941235</v>
      </c>
      <c r="J69" s="16">
        <v>5863047.1999999993</v>
      </c>
      <c r="K69" s="16">
        <v>17550501.229941234</v>
      </c>
      <c r="L69" s="17">
        <v>161.74113049550189</v>
      </c>
      <c r="M69" s="17">
        <v>48.454232991370993</v>
      </c>
      <c r="N69" s="15">
        <v>28.576640388924417</v>
      </c>
      <c r="O69" s="11">
        <v>0.25098495264034237</v>
      </c>
      <c r="P69" s="11">
        <v>0.26440544430636881</v>
      </c>
    </row>
    <row r="70" spans="1:16">
      <c r="A70">
        <v>15</v>
      </c>
      <c r="B70">
        <v>5.5</v>
      </c>
      <c r="C70" t="s">
        <v>19</v>
      </c>
      <c r="D70" s="3" t="s">
        <v>16</v>
      </c>
      <c r="E70" s="3" t="s">
        <v>17</v>
      </c>
      <c r="F70" t="s">
        <v>16</v>
      </c>
      <c r="G70" t="s">
        <v>16</v>
      </c>
      <c r="H70" t="s">
        <v>18</v>
      </c>
      <c r="I70" s="16">
        <v>11856234.015932495</v>
      </c>
      <c r="J70" s="16">
        <v>9400524.0999999996</v>
      </c>
      <c r="K70" s="16">
        <v>21256758.115932494</v>
      </c>
      <c r="L70" s="17">
        <v>195.8970882538076</v>
      </c>
      <c r="M70" s="17">
        <v>79.507391235782279</v>
      </c>
      <c r="N70" s="15">
        <v>35.035163660884443</v>
      </c>
      <c r="O70" s="11">
        <v>9.2810428698435699E-2</v>
      </c>
      <c r="P70" s="11">
        <v>9.8155861009805889E-2</v>
      </c>
    </row>
    <row r="71" spans="1:16">
      <c r="A71">
        <v>15</v>
      </c>
      <c r="B71">
        <v>5.5</v>
      </c>
      <c r="C71" t="s">
        <v>19</v>
      </c>
      <c r="D71" s="3" t="s">
        <v>16</v>
      </c>
      <c r="E71" s="3">
        <v>0.75</v>
      </c>
      <c r="F71" t="s">
        <v>16</v>
      </c>
      <c r="G71" t="s">
        <v>16</v>
      </c>
      <c r="H71" t="s">
        <v>18</v>
      </c>
      <c r="I71" s="16">
        <v>12215402.986121468</v>
      </c>
      <c r="J71" s="16">
        <v>5359995.5</v>
      </c>
      <c r="K71" s="16">
        <v>17575398.486121468</v>
      </c>
      <c r="L71" s="17">
        <v>161.97057752428287</v>
      </c>
      <c r="M71" s="17">
        <v>44.180125258278572</v>
      </c>
      <c r="N71" s="15">
        <v>28.522926353101624</v>
      </c>
      <c r="O71" s="11">
        <v>0.24992239498044211</v>
      </c>
      <c r="P71" s="11">
        <v>0.26578810342157022</v>
      </c>
    </row>
    <row r="72" spans="1:16">
      <c r="A72">
        <v>15</v>
      </c>
      <c r="B72">
        <v>5.5</v>
      </c>
      <c r="C72" t="s">
        <v>19</v>
      </c>
      <c r="D72" s="3">
        <v>0.25</v>
      </c>
      <c r="E72" s="3" t="s">
        <v>17</v>
      </c>
      <c r="F72" t="s">
        <v>16</v>
      </c>
      <c r="G72" t="s">
        <v>16</v>
      </c>
      <c r="H72" t="s">
        <v>18</v>
      </c>
      <c r="I72" s="16">
        <v>11330349.05958095</v>
      </c>
      <c r="J72" s="16">
        <v>9667447.0999999996</v>
      </c>
      <c r="K72" s="16">
        <v>20997796.15958095</v>
      </c>
      <c r="L72" s="17">
        <v>193.510558146954</v>
      </c>
      <c r="M72" s="17">
        <v>81.791763508635782</v>
      </c>
      <c r="N72" s="15">
        <v>34.678651485512667</v>
      </c>
      <c r="O72" s="11">
        <v>0.10386232969315468</v>
      </c>
      <c r="P72" s="11">
        <v>0.10733288152981124</v>
      </c>
    </row>
    <row r="73" spans="1:16">
      <c r="A73">
        <v>15</v>
      </c>
      <c r="B73">
        <v>5.5</v>
      </c>
      <c r="C73" t="s">
        <v>19</v>
      </c>
      <c r="D73" s="3">
        <v>0.25</v>
      </c>
      <c r="E73" s="3">
        <v>0.75</v>
      </c>
      <c r="F73" t="s">
        <v>16</v>
      </c>
      <c r="G73" t="s">
        <v>16</v>
      </c>
      <c r="H73" t="s">
        <v>18</v>
      </c>
      <c r="I73" s="16">
        <v>11691584.029598445</v>
      </c>
      <c r="J73" s="16">
        <v>5645582.6000000006</v>
      </c>
      <c r="K73" s="16">
        <v>17337166.629598446</v>
      </c>
      <c r="L73" s="17">
        <v>159.77509095160653</v>
      </c>
      <c r="M73" s="17">
        <v>46.452570675296819</v>
      </c>
      <c r="N73" s="15">
        <v>28.202331654232555</v>
      </c>
      <c r="O73" s="11">
        <v>0.26008958296888274</v>
      </c>
      <c r="P73" s="11">
        <v>0.27404056808721111</v>
      </c>
    </row>
    <row r="74" spans="1:16">
      <c r="A74">
        <v>5</v>
      </c>
      <c r="B74">
        <v>2.8</v>
      </c>
      <c r="C74" t="s">
        <v>16</v>
      </c>
      <c r="D74" s="3" t="s">
        <v>16</v>
      </c>
      <c r="E74" s="3" t="s">
        <v>17</v>
      </c>
      <c r="F74" t="s">
        <v>19</v>
      </c>
      <c r="G74" t="s">
        <v>16</v>
      </c>
      <c r="H74" t="s">
        <v>18</v>
      </c>
      <c r="I74" s="16">
        <v>10660237.115200248</v>
      </c>
      <c r="J74" s="16">
        <v>9782303.0999999996</v>
      </c>
      <c r="K74" s="16">
        <v>20442540.215200245</v>
      </c>
      <c r="L74" s="17">
        <v>188.39345505218481</v>
      </c>
      <c r="M74" s="17">
        <v>86.980272523151655</v>
      </c>
      <c r="N74" s="15">
        <v>33.829913655971602</v>
      </c>
      <c r="O74" s="11">
        <v>0.12755937697562925</v>
      </c>
      <c r="P74" s="11">
        <v>0.12918033868798751</v>
      </c>
    </row>
    <row r="75" spans="1:16">
      <c r="A75">
        <v>5</v>
      </c>
      <c r="B75">
        <v>2.8</v>
      </c>
      <c r="C75" t="s">
        <v>16</v>
      </c>
      <c r="D75" s="3" t="s">
        <v>16</v>
      </c>
      <c r="E75" s="3">
        <v>0.75</v>
      </c>
      <c r="F75" t="s">
        <v>19</v>
      </c>
      <c r="G75" t="s">
        <v>16</v>
      </c>
      <c r="H75" t="s">
        <v>18</v>
      </c>
      <c r="I75" s="16">
        <v>10995001.087414835</v>
      </c>
      <c r="J75" s="16">
        <v>6274360.6000000006</v>
      </c>
      <c r="K75" s="16">
        <v>17269361.687414836</v>
      </c>
      <c r="L75" s="17">
        <v>159.15021717402749</v>
      </c>
      <c r="M75" s="17">
        <v>54.991953733639924</v>
      </c>
      <c r="N75" s="15">
        <v>28.211996399897572</v>
      </c>
      <c r="O75" s="11">
        <v>0.26298334203111573</v>
      </c>
      <c r="P75" s="11">
        <v>0.27379178676804294</v>
      </c>
    </row>
    <row r="76" spans="1:16">
      <c r="A76">
        <v>5</v>
      </c>
      <c r="B76">
        <v>2.8</v>
      </c>
      <c r="C76" t="s">
        <v>16</v>
      </c>
      <c r="D76" s="3">
        <v>0.25</v>
      </c>
      <c r="E76" s="3" t="s">
        <v>17</v>
      </c>
      <c r="F76" t="s">
        <v>19</v>
      </c>
      <c r="G76" t="s">
        <v>16</v>
      </c>
      <c r="H76" t="s">
        <v>18</v>
      </c>
      <c r="I76" s="16">
        <v>10134728.158817492</v>
      </c>
      <c r="J76" s="16">
        <v>10069355.200000001</v>
      </c>
      <c r="K76" s="16">
        <v>20204083.358817495</v>
      </c>
      <c r="L76" s="17">
        <v>186.19589493578474</v>
      </c>
      <c r="M76" s="17">
        <v>89.724035312216643</v>
      </c>
      <c r="N76" s="15">
        <v>33.509236476309411</v>
      </c>
      <c r="O76" s="11">
        <v>0.13773616744085271</v>
      </c>
      <c r="P76" s="11">
        <v>0.13743492650112044</v>
      </c>
    </row>
    <row r="77" spans="1:16">
      <c r="A77">
        <v>5</v>
      </c>
      <c r="B77">
        <v>2.8</v>
      </c>
      <c r="C77" t="s">
        <v>16</v>
      </c>
      <c r="D77" s="3">
        <v>0.25</v>
      </c>
      <c r="E77" s="3">
        <v>0.75</v>
      </c>
      <c r="F77" t="s">
        <v>19</v>
      </c>
      <c r="G77" t="s">
        <v>16</v>
      </c>
      <c r="H77" t="s">
        <v>18</v>
      </c>
      <c r="I77" s="16">
        <v>10469821.131004777</v>
      </c>
      <c r="J77" s="16">
        <v>6568122.3999999994</v>
      </c>
      <c r="K77" s="16">
        <v>17037943.531004775</v>
      </c>
      <c r="L77" s="17">
        <v>157.01752399651909</v>
      </c>
      <c r="M77" s="17">
        <v>57.731655397240509</v>
      </c>
      <c r="N77" s="15">
        <v>27.903583298957809</v>
      </c>
      <c r="O77" s="11">
        <v>0.27285973696208532</v>
      </c>
      <c r="P77" s="11">
        <v>0.28173068353366171</v>
      </c>
    </row>
    <row r="78" spans="1:16">
      <c r="A78">
        <v>5</v>
      </c>
      <c r="B78">
        <v>2.8</v>
      </c>
      <c r="C78" t="s">
        <v>19</v>
      </c>
      <c r="D78" s="3" t="s">
        <v>16</v>
      </c>
      <c r="E78" s="3" t="s">
        <v>17</v>
      </c>
      <c r="F78" t="s">
        <v>19</v>
      </c>
      <c r="G78" t="s">
        <v>16</v>
      </c>
      <c r="H78" t="s">
        <v>18</v>
      </c>
      <c r="I78" s="16">
        <v>10660853.11514912</v>
      </c>
      <c r="J78" s="16">
        <v>9582096.2000000011</v>
      </c>
      <c r="K78" s="16">
        <v>20242949.315149121</v>
      </c>
      <c r="L78" s="17">
        <v>186.55407409161086</v>
      </c>
      <c r="M78" s="17">
        <v>85.012765244310899</v>
      </c>
      <c r="N78" s="15">
        <v>33.480317735362625</v>
      </c>
      <c r="O78" s="11">
        <v>0.13607745776977243</v>
      </c>
      <c r="P78" s="11">
        <v>0.13817932710624592</v>
      </c>
    </row>
    <row r="79" spans="1:16">
      <c r="A79">
        <v>5</v>
      </c>
      <c r="B79">
        <v>2.8</v>
      </c>
      <c r="C79" t="s">
        <v>19</v>
      </c>
      <c r="D79" s="3" t="s">
        <v>16</v>
      </c>
      <c r="E79" s="3">
        <v>0.75</v>
      </c>
      <c r="F79" t="s">
        <v>19</v>
      </c>
      <c r="G79" t="s">
        <v>16</v>
      </c>
      <c r="H79" t="s">
        <v>18</v>
      </c>
      <c r="I79" s="16">
        <v>10996120.087321959</v>
      </c>
      <c r="J79" s="16">
        <v>6066887.2999999998</v>
      </c>
      <c r="K79" s="16">
        <v>17063007.38732196</v>
      </c>
      <c r="L79" s="17">
        <v>157.24850637144993</v>
      </c>
      <c r="M79" s="17">
        <v>53.025210616040141</v>
      </c>
      <c r="N79" s="15">
        <v>27.850465098813981</v>
      </c>
      <c r="O79" s="11">
        <v>0.27179006919132076</v>
      </c>
      <c r="P79" s="11">
        <v>0.28309800517477346</v>
      </c>
    </row>
    <row r="80" spans="1:16">
      <c r="A80">
        <v>5</v>
      </c>
      <c r="B80">
        <v>2.8</v>
      </c>
      <c r="C80" t="s">
        <v>19</v>
      </c>
      <c r="D80" s="3">
        <v>0.25</v>
      </c>
      <c r="E80" s="3" t="s">
        <v>17</v>
      </c>
      <c r="F80" t="s">
        <v>19</v>
      </c>
      <c r="G80" t="s">
        <v>16</v>
      </c>
      <c r="H80" t="s">
        <v>18</v>
      </c>
      <c r="I80" s="16">
        <v>10134184.158862645</v>
      </c>
      <c r="J80" s="16">
        <v>9862907.4000000004</v>
      </c>
      <c r="K80" s="16">
        <v>19997091.558862645</v>
      </c>
      <c r="L80" s="17">
        <v>184.28830909026593</v>
      </c>
      <c r="M80" s="17">
        <v>87.729423261160775</v>
      </c>
      <c r="N80" s="15">
        <v>33.146895433073759</v>
      </c>
      <c r="O80" s="11">
        <v>0.14657010162968054</v>
      </c>
      <c r="P80" s="11">
        <v>0.14676198857283262</v>
      </c>
    </row>
    <row r="81" spans="1:16">
      <c r="A81">
        <v>5</v>
      </c>
      <c r="B81">
        <v>2.8</v>
      </c>
      <c r="C81" t="s">
        <v>19</v>
      </c>
      <c r="D81" s="3">
        <v>0.25</v>
      </c>
      <c r="E81" s="3">
        <v>0.75</v>
      </c>
      <c r="F81" t="s">
        <v>19</v>
      </c>
      <c r="G81" t="s">
        <v>16</v>
      </c>
      <c r="H81" t="s">
        <v>18</v>
      </c>
      <c r="I81" s="16">
        <v>10470035.130987013</v>
      </c>
      <c r="J81" s="16">
        <v>6362641.5</v>
      </c>
      <c r="K81" s="16">
        <v>16832676.630987011</v>
      </c>
      <c r="L81" s="17">
        <v>155.12583440730435</v>
      </c>
      <c r="M81" s="17">
        <v>55.737667096172842</v>
      </c>
      <c r="N81" s="15">
        <v>27.544122833576193</v>
      </c>
      <c r="O81" s="11">
        <v>0.28162005638680243</v>
      </c>
      <c r="P81" s="11">
        <v>0.29098359632267856</v>
      </c>
    </row>
    <row r="82" spans="1:16">
      <c r="A82">
        <v>5</v>
      </c>
      <c r="B82">
        <v>4</v>
      </c>
      <c r="C82" t="s">
        <v>16</v>
      </c>
      <c r="D82" s="3" t="s">
        <v>16</v>
      </c>
      <c r="E82" s="3" t="s">
        <v>17</v>
      </c>
      <c r="F82" t="s">
        <v>19</v>
      </c>
      <c r="G82" t="s">
        <v>16</v>
      </c>
      <c r="H82" t="s">
        <v>18</v>
      </c>
      <c r="I82" s="16">
        <v>10672324.114197027</v>
      </c>
      <c r="J82" s="16">
        <v>8965096.7999999989</v>
      </c>
      <c r="K82" s="16">
        <v>19637420.914197028</v>
      </c>
      <c r="L82" s="17">
        <v>180.97367232222771</v>
      </c>
      <c r="M82" s="17">
        <v>78.947730883803089</v>
      </c>
      <c r="N82" s="15">
        <v>32.417927120698984</v>
      </c>
      <c r="O82" s="11">
        <v>0.16192001793227029</v>
      </c>
      <c r="P82" s="11">
        <v>0.16552644494552382</v>
      </c>
    </row>
    <row r="83" spans="1:16">
      <c r="A83">
        <v>5</v>
      </c>
      <c r="B83">
        <v>4</v>
      </c>
      <c r="C83" t="s">
        <v>16</v>
      </c>
      <c r="D83" s="3" t="s">
        <v>16</v>
      </c>
      <c r="E83" s="3">
        <v>0.75</v>
      </c>
      <c r="F83" t="s">
        <v>19</v>
      </c>
      <c r="G83" t="s">
        <v>16</v>
      </c>
      <c r="H83" t="s">
        <v>18</v>
      </c>
      <c r="I83" s="16">
        <v>11008202.086319152</v>
      </c>
      <c r="J83" s="16">
        <v>5428059.3999999994</v>
      </c>
      <c r="K83" s="16">
        <v>16436261.486319151</v>
      </c>
      <c r="L83" s="17">
        <v>151.47256930654845</v>
      </c>
      <c r="M83" s="17">
        <v>46.965528084435526</v>
      </c>
      <c r="N83" s="15">
        <v>26.750810161477432</v>
      </c>
      <c r="O83" s="11">
        <v>0.29853814348114338</v>
      </c>
      <c r="P83" s="11">
        <v>0.31140434818911511</v>
      </c>
    </row>
    <row r="84" spans="1:16">
      <c r="A84">
        <v>5</v>
      </c>
      <c r="B84">
        <v>4</v>
      </c>
      <c r="C84" t="s">
        <v>16</v>
      </c>
      <c r="D84" s="3">
        <v>0.25</v>
      </c>
      <c r="E84" s="3" t="s">
        <v>17</v>
      </c>
      <c r="F84" t="s">
        <v>19</v>
      </c>
      <c r="G84" t="s">
        <v>16</v>
      </c>
      <c r="H84" t="s">
        <v>18</v>
      </c>
      <c r="I84" s="16">
        <v>10143109.158121873</v>
      </c>
      <c r="J84" s="16">
        <v>9231375.2000000011</v>
      </c>
      <c r="K84" s="16">
        <v>19374484.358121872</v>
      </c>
      <c r="L84" s="17">
        <v>178.55051327559963</v>
      </c>
      <c r="M84" s="17">
        <v>81.554230872431376</v>
      </c>
      <c r="N84" s="15">
        <v>32.055069216043982</v>
      </c>
      <c r="O84" s="11">
        <v>0.17314154570637352</v>
      </c>
      <c r="P84" s="11">
        <v>0.17486681160591222</v>
      </c>
    </row>
    <row r="85" spans="1:16">
      <c r="A85">
        <v>5</v>
      </c>
      <c r="B85">
        <v>4</v>
      </c>
      <c r="C85" t="s">
        <v>16</v>
      </c>
      <c r="D85" s="3">
        <v>0.25</v>
      </c>
      <c r="E85" s="3">
        <v>0.75</v>
      </c>
      <c r="F85" t="s">
        <v>19</v>
      </c>
      <c r="G85" t="s">
        <v>16</v>
      </c>
      <c r="H85" t="s">
        <v>18</v>
      </c>
      <c r="I85" s="16">
        <v>10479977.130161826</v>
      </c>
      <c r="J85" s="16">
        <v>5712591.7000000002</v>
      </c>
      <c r="K85" s="16">
        <v>16192568.830161825</v>
      </c>
      <c r="L85" s="17">
        <v>149.22675733890534</v>
      </c>
      <c r="M85" s="17">
        <v>49.566460226848676</v>
      </c>
      <c r="N85" s="15">
        <v>26.421465729883266</v>
      </c>
      <c r="O85" s="11">
        <v>0.3089383858446767</v>
      </c>
      <c r="P85" s="11">
        <v>0.31988204072159976</v>
      </c>
    </row>
    <row r="86" spans="1:16">
      <c r="A86">
        <v>5</v>
      </c>
      <c r="B86">
        <v>4</v>
      </c>
      <c r="C86" t="s">
        <v>19</v>
      </c>
      <c r="D86" s="3" t="s">
        <v>16</v>
      </c>
      <c r="E86" s="3" t="s">
        <v>17</v>
      </c>
      <c r="F86" t="s">
        <v>19</v>
      </c>
      <c r="G86" t="s">
        <v>16</v>
      </c>
      <c r="H86" t="s">
        <v>18</v>
      </c>
      <c r="I86" s="16">
        <v>10675007.113974337</v>
      </c>
      <c r="J86" s="16">
        <v>8765475.9000000004</v>
      </c>
      <c r="K86" s="16">
        <v>19440483.013974339</v>
      </c>
      <c r="L86" s="17">
        <v>179.15874075975549</v>
      </c>
      <c r="M86" s="17">
        <v>76.977077852857278</v>
      </c>
      <c r="N86" s="15">
        <v>32.072595606423278</v>
      </c>
      <c r="O86" s="11">
        <v>0.17032487479245828</v>
      </c>
      <c r="P86" s="11">
        <v>0.17441566279455767</v>
      </c>
    </row>
    <row r="87" spans="1:16">
      <c r="A87">
        <v>5</v>
      </c>
      <c r="B87">
        <v>4</v>
      </c>
      <c r="C87" t="s">
        <v>19</v>
      </c>
      <c r="D87" s="3" t="s">
        <v>16</v>
      </c>
      <c r="E87" s="3">
        <v>0.75</v>
      </c>
      <c r="F87" t="s">
        <v>19</v>
      </c>
      <c r="G87" t="s">
        <v>16</v>
      </c>
      <c r="H87" t="s">
        <v>18</v>
      </c>
      <c r="I87" s="16">
        <v>11010967.086089658</v>
      </c>
      <c r="J87" s="16">
        <v>5218154.2</v>
      </c>
      <c r="K87" s="16">
        <v>16229121.286089659</v>
      </c>
      <c r="L87" s="17">
        <v>149.56361584036333</v>
      </c>
      <c r="M87" s="17">
        <v>44.997810188715647</v>
      </c>
      <c r="N87" s="15">
        <v>26.387599371658293</v>
      </c>
      <c r="O87" s="11">
        <v>0.30737841105255004</v>
      </c>
      <c r="P87" s="11">
        <v>0.32075379850671415</v>
      </c>
    </row>
    <row r="88" spans="1:16">
      <c r="A88">
        <v>5</v>
      </c>
      <c r="B88">
        <v>4</v>
      </c>
      <c r="C88" t="s">
        <v>19</v>
      </c>
      <c r="D88" s="3">
        <v>0.25</v>
      </c>
      <c r="E88" s="3" t="s">
        <v>17</v>
      </c>
      <c r="F88" t="s">
        <v>19</v>
      </c>
      <c r="G88" t="s">
        <v>16</v>
      </c>
      <c r="H88" t="s">
        <v>18</v>
      </c>
      <c r="I88" s="16">
        <v>10144736.157986829</v>
      </c>
      <c r="J88" s="16">
        <v>9027652.2999999989</v>
      </c>
      <c r="K88" s="16">
        <v>19172388.457986828</v>
      </c>
      <c r="L88" s="17">
        <v>176.68804684640253</v>
      </c>
      <c r="M88" s="17">
        <v>79.549576716586898</v>
      </c>
      <c r="N88" s="15">
        <v>31.700900713833263</v>
      </c>
      <c r="O88" s="11">
        <v>0.18176653414559818</v>
      </c>
      <c r="P88" s="11">
        <v>0.18398350336808822</v>
      </c>
    </row>
    <row r="89" spans="1:16">
      <c r="A89">
        <v>5</v>
      </c>
      <c r="B89">
        <v>4</v>
      </c>
      <c r="C89" t="s">
        <v>19</v>
      </c>
      <c r="D89" s="3">
        <v>0.25</v>
      </c>
      <c r="E89" s="3">
        <v>0.75</v>
      </c>
      <c r="F89" t="s">
        <v>19</v>
      </c>
      <c r="G89" t="s">
        <v>16</v>
      </c>
      <c r="H89" t="s">
        <v>18</v>
      </c>
      <c r="I89" s="16">
        <v>10482204.129976986</v>
      </c>
      <c r="J89" s="16">
        <v>5504122.2000000002</v>
      </c>
      <c r="K89" s="16">
        <v>15986326.329976987</v>
      </c>
      <c r="L89" s="17">
        <v>147.32607685695956</v>
      </c>
      <c r="M89" s="17">
        <v>47.563680021185242</v>
      </c>
      <c r="N89" s="15">
        <v>26.059925968591941</v>
      </c>
      <c r="O89" s="11">
        <v>0.31774034164181264</v>
      </c>
      <c r="P89" s="11">
        <v>0.32918847690350128</v>
      </c>
    </row>
    <row r="90" spans="1:16">
      <c r="A90">
        <v>5</v>
      </c>
      <c r="B90">
        <v>5.5</v>
      </c>
      <c r="C90" t="s">
        <v>16</v>
      </c>
      <c r="D90" s="3" t="s">
        <v>16</v>
      </c>
      <c r="E90" s="3" t="s">
        <v>17</v>
      </c>
      <c r="F90" t="s">
        <v>19</v>
      </c>
      <c r="G90" t="s">
        <v>16</v>
      </c>
      <c r="H90" t="s">
        <v>18</v>
      </c>
      <c r="I90" s="16">
        <v>10681454.113439238</v>
      </c>
      <c r="J90" s="16">
        <v>8560581</v>
      </c>
      <c r="K90" s="16">
        <v>19242035.11343924</v>
      </c>
      <c r="L90" s="17">
        <v>177.3298934034049</v>
      </c>
      <c r="M90" s="17">
        <v>74.962146673397456</v>
      </c>
      <c r="N90" s="15">
        <v>31.723926329284527</v>
      </c>
      <c r="O90" s="11">
        <v>0.17879417499478756</v>
      </c>
      <c r="P90" s="11">
        <v>0.18339079837768602</v>
      </c>
    </row>
    <row r="91" spans="1:16">
      <c r="A91">
        <v>5</v>
      </c>
      <c r="B91">
        <v>5.5</v>
      </c>
      <c r="C91" t="s">
        <v>16</v>
      </c>
      <c r="D91" s="3" t="s">
        <v>16</v>
      </c>
      <c r="E91" s="3">
        <v>0.75</v>
      </c>
      <c r="F91" t="s">
        <v>19</v>
      </c>
      <c r="G91" t="s">
        <v>16</v>
      </c>
      <c r="H91" t="s">
        <v>18</v>
      </c>
      <c r="I91" s="16">
        <v>11017349.085559951</v>
      </c>
      <c r="J91" s="16">
        <v>5002389</v>
      </c>
      <c r="K91" s="16">
        <v>16019738.085559951</v>
      </c>
      <c r="L91" s="17">
        <v>147.63399143153643</v>
      </c>
      <c r="M91" s="17">
        <v>42.985244398821521</v>
      </c>
      <c r="N91" s="15">
        <v>26.01979443503037</v>
      </c>
      <c r="O91" s="11">
        <v>0.31631440472055539</v>
      </c>
      <c r="P91" s="11">
        <v>0.33022150728068189</v>
      </c>
    </row>
    <row r="92" spans="1:16">
      <c r="A92">
        <v>5</v>
      </c>
      <c r="B92">
        <v>5.5</v>
      </c>
      <c r="C92" t="s">
        <v>16</v>
      </c>
      <c r="D92" s="3">
        <v>0.25</v>
      </c>
      <c r="E92" s="3" t="s">
        <v>17</v>
      </c>
      <c r="F92" t="s">
        <v>19</v>
      </c>
      <c r="G92" t="s">
        <v>16</v>
      </c>
      <c r="H92" t="s">
        <v>18</v>
      </c>
      <c r="I92" s="16">
        <v>10149898.157558383</v>
      </c>
      <c r="J92" s="16">
        <v>8819768.7999999989</v>
      </c>
      <c r="K92" s="16">
        <v>18969666.957558382</v>
      </c>
      <c r="L92" s="17">
        <v>174.81981503778022</v>
      </c>
      <c r="M92" s="17">
        <v>77.484054282671778</v>
      </c>
      <c r="N92" s="15">
        <v>31.344985235662893</v>
      </c>
      <c r="O92" s="11">
        <v>0.1904182217672139</v>
      </c>
      <c r="P92" s="11">
        <v>0.19314516423745653</v>
      </c>
    </row>
    <row r="93" spans="1:16">
      <c r="A93">
        <v>5</v>
      </c>
      <c r="B93">
        <v>5.5</v>
      </c>
      <c r="C93" t="s">
        <v>16</v>
      </c>
      <c r="D93" s="3">
        <v>0.25</v>
      </c>
      <c r="E93" s="3">
        <v>0.75</v>
      </c>
      <c r="F93" t="s">
        <v>19</v>
      </c>
      <c r="G93" t="s">
        <v>16</v>
      </c>
      <c r="H93" t="s">
        <v>18</v>
      </c>
      <c r="I93" s="16">
        <v>10487556.129532771</v>
      </c>
      <c r="J93" s="16">
        <v>5285339.1000000006</v>
      </c>
      <c r="K93" s="16">
        <v>15772895.229532771</v>
      </c>
      <c r="L93" s="17">
        <v>145.3591479917113</v>
      </c>
      <c r="M93" s="17">
        <v>45.50059858289498</v>
      </c>
      <c r="N93" s="15">
        <v>25.685223029794159</v>
      </c>
      <c r="O93" s="11">
        <v>0.32684909037284726</v>
      </c>
      <c r="P93" s="11">
        <v>0.33883374793714172</v>
      </c>
    </row>
    <row r="94" spans="1:16">
      <c r="A94">
        <v>5</v>
      </c>
      <c r="B94">
        <v>5.5</v>
      </c>
      <c r="C94" t="s">
        <v>19</v>
      </c>
      <c r="D94" s="3" t="s">
        <v>16</v>
      </c>
      <c r="E94" s="3" t="s">
        <v>17</v>
      </c>
      <c r="F94" t="s">
        <v>19</v>
      </c>
      <c r="G94" t="s">
        <v>16</v>
      </c>
      <c r="H94" t="s">
        <v>18</v>
      </c>
      <c r="I94" s="16">
        <v>10685484.113104744</v>
      </c>
      <c r="J94" s="16">
        <v>8358498.8999999994</v>
      </c>
      <c r="K94" s="16">
        <v>19043983.013104744</v>
      </c>
      <c r="L94" s="17">
        <v>175.50469364498085</v>
      </c>
      <c r="M94" s="17">
        <v>72.997450319828275</v>
      </c>
      <c r="N94" s="15">
        <v>31.376395585341943</v>
      </c>
      <c r="O94" s="11">
        <v>0.18724658335442146</v>
      </c>
      <c r="P94" s="11">
        <v>0.19233662684811048</v>
      </c>
    </row>
    <row r="95" spans="1:16">
      <c r="A95">
        <v>5</v>
      </c>
      <c r="B95">
        <v>5.5</v>
      </c>
      <c r="C95" t="s">
        <v>19</v>
      </c>
      <c r="D95" s="3" t="s">
        <v>16</v>
      </c>
      <c r="E95" s="3">
        <v>0.75</v>
      </c>
      <c r="F95" t="s">
        <v>19</v>
      </c>
      <c r="G95" t="s">
        <v>16</v>
      </c>
      <c r="H95" t="s">
        <v>18</v>
      </c>
      <c r="I95" s="16">
        <v>11021634.085204298</v>
      </c>
      <c r="J95" s="16">
        <v>4791839.2</v>
      </c>
      <c r="K95" s="16">
        <v>15813473.285204299</v>
      </c>
      <c r="L95" s="17">
        <v>145.73310543666597</v>
      </c>
      <c r="M95" s="17">
        <v>41.023766703200174</v>
      </c>
      <c r="N95" s="15">
        <v>25.657836305813156</v>
      </c>
      <c r="O95" s="11">
        <v>0.32511731223771789</v>
      </c>
      <c r="P95" s="11">
        <v>0.33953871271902414</v>
      </c>
    </row>
    <row r="96" spans="1:16">
      <c r="A96">
        <v>5</v>
      </c>
      <c r="B96">
        <v>5.5</v>
      </c>
      <c r="C96" t="s">
        <v>19</v>
      </c>
      <c r="D96" s="3">
        <v>0.25</v>
      </c>
      <c r="E96" s="3" t="s">
        <v>17</v>
      </c>
      <c r="F96" t="s">
        <v>19</v>
      </c>
      <c r="G96" t="s">
        <v>16</v>
      </c>
      <c r="H96" t="s">
        <v>18</v>
      </c>
      <c r="I96" s="16">
        <v>10152629.157331711</v>
      </c>
      <c r="J96" s="16">
        <v>8617305.7999999989</v>
      </c>
      <c r="K96" s="16">
        <v>18769934.95733171</v>
      </c>
      <c r="L96" s="17">
        <v>172.97913373246925</v>
      </c>
      <c r="M96" s="17">
        <v>75.480393806462189</v>
      </c>
      <c r="N96" s="15">
        <v>30.994752423123156</v>
      </c>
      <c r="O96" s="11">
        <v>0.19894232439248816</v>
      </c>
      <c r="P96" s="11">
        <v>0.2021605469634592</v>
      </c>
    </row>
    <row r="97" spans="1:16">
      <c r="A97">
        <v>5</v>
      </c>
      <c r="B97">
        <v>5.5</v>
      </c>
      <c r="C97" t="s">
        <v>19</v>
      </c>
      <c r="D97" s="3">
        <v>0.25</v>
      </c>
      <c r="E97" s="3">
        <v>0.75</v>
      </c>
      <c r="F97" t="s">
        <v>19</v>
      </c>
      <c r="G97" t="s">
        <v>16</v>
      </c>
      <c r="H97" t="s">
        <v>18</v>
      </c>
      <c r="I97" s="16">
        <v>10490660.129275138</v>
      </c>
      <c r="J97" s="16">
        <v>5071390.5</v>
      </c>
      <c r="K97" s="16">
        <v>15562050.629275138</v>
      </c>
      <c r="L97" s="17">
        <v>143.41605568011605</v>
      </c>
      <c r="M97" s="17">
        <v>43.499241391273912</v>
      </c>
      <c r="N97" s="15">
        <v>25.31546337652912</v>
      </c>
      <c r="O97" s="11">
        <v>0.33584745322177134</v>
      </c>
      <c r="P97" s="11">
        <v>0.3483517732947462</v>
      </c>
    </row>
    <row r="98" spans="1:16">
      <c r="A98">
        <v>10</v>
      </c>
      <c r="B98">
        <v>2.8</v>
      </c>
      <c r="C98" t="s">
        <v>16</v>
      </c>
      <c r="D98" s="3" t="s">
        <v>16</v>
      </c>
      <c r="E98" s="3" t="s">
        <v>17</v>
      </c>
      <c r="F98" t="s">
        <v>19</v>
      </c>
      <c r="G98" t="s">
        <v>16</v>
      </c>
      <c r="H98" t="s">
        <v>18</v>
      </c>
      <c r="I98" s="16">
        <v>10660402.115186553</v>
      </c>
      <c r="J98" s="16">
        <v>9210103.4000000004</v>
      </c>
      <c r="K98" s="16">
        <v>19870505.515186556</v>
      </c>
      <c r="L98" s="17">
        <v>183.12172304574915</v>
      </c>
      <c r="M98" s="17">
        <v>81.340506044218685</v>
      </c>
      <c r="N98" s="15">
        <v>32.828254162757766</v>
      </c>
      <c r="O98" s="11">
        <v>0.151972502977476</v>
      </c>
      <c r="P98" s="11">
        <v>0.15496416981155481</v>
      </c>
    </row>
    <row r="99" spans="1:16">
      <c r="A99">
        <v>10</v>
      </c>
      <c r="B99">
        <v>2.8</v>
      </c>
      <c r="C99" t="s">
        <v>16</v>
      </c>
      <c r="D99" s="3" t="s">
        <v>16</v>
      </c>
      <c r="E99" s="3">
        <v>0.75</v>
      </c>
      <c r="F99" t="s">
        <v>19</v>
      </c>
      <c r="G99" t="s">
        <v>16</v>
      </c>
      <c r="H99" t="s">
        <v>18</v>
      </c>
      <c r="I99" s="16">
        <v>10995727.087354578</v>
      </c>
      <c r="J99" s="16">
        <v>5681182.1000000006</v>
      </c>
      <c r="K99" s="16">
        <v>16676909.18735458</v>
      </c>
      <c r="L99" s="17">
        <v>153.69031971188798</v>
      </c>
      <c r="M99" s="17">
        <v>49.35450134016105</v>
      </c>
      <c r="N99" s="15">
        <v>27.174482069330445</v>
      </c>
      <c r="O99" s="11">
        <v>0.28826785280246237</v>
      </c>
      <c r="P99" s="11">
        <v>0.30049856134449371</v>
      </c>
    </row>
    <row r="100" spans="1:16">
      <c r="A100">
        <v>10</v>
      </c>
      <c r="B100">
        <v>2.8</v>
      </c>
      <c r="C100" t="s">
        <v>16</v>
      </c>
      <c r="D100" s="3">
        <v>0.25</v>
      </c>
      <c r="E100" s="3" t="s">
        <v>17</v>
      </c>
      <c r="F100" t="s">
        <v>19</v>
      </c>
      <c r="G100" t="s">
        <v>16</v>
      </c>
      <c r="H100" t="s">
        <v>18</v>
      </c>
      <c r="I100" s="16">
        <v>10133436.15892473</v>
      </c>
      <c r="J100" s="16">
        <v>9483238</v>
      </c>
      <c r="K100" s="16">
        <v>19616674.158924729</v>
      </c>
      <c r="L100" s="17">
        <v>180.78247529555077</v>
      </c>
      <c r="M100" s="17">
        <v>84.02107296867689</v>
      </c>
      <c r="N100" s="15">
        <v>32.48092487977064</v>
      </c>
      <c r="O100" s="11">
        <v>0.16280544175460132</v>
      </c>
      <c r="P100" s="11">
        <v>0.16390481245257449</v>
      </c>
    </row>
    <row r="101" spans="1:16">
      <c r="A101">
        <v>10</v>
      </c>
      <c r="B101">
        <v>2.8</v>
      </c>
      <c r="C101" t="s">
        <v>16</v>
      </c>
      <c r="D101" s="3">
        <v>0.25</v>
      </c>
      <c r="E101" s="3">
        <v>0.75</v>
      </c>
      <c r="F101" t="s">
        <v>19</v>
      </c>
      <c r="G101" t="s">
        <v>16</v>
      </c>
      <c r="H101" t="s">
        <v>18</v>
      </c>
      <c r="I101" s="16">
        <v>10469293.131048599</v>
      </c>
      <c r="J101" s="16">
        <v>5974797.3999999994</v>
      </c>
      <c r="K101" s="16">
        <v>16444090.5310486</v>
      </c>
      <c r="L101" s="17">
        <v>151.54471986958086</v>
      </c>
      <c r="M101" s="17">
        <v>52.030502198688225</v>
      </c>
      <c r="N101" s="15">
        <v>26.863847833210901</v>
      </c>
      <c r="O101" s="11">
        <v>0.29820401784951722</v>
      </c>
      <c r="P101" s="11">
        <v>0.30849463260380616</v>
      </c>
    </row>
    <row r="102" spans="1:16">
      <c r="A102">
        <v>10</v>
      </c>
      <c r="B102">
        <v>2.8</v>
      </c>
      <c r="C102" t="s">
        <v>19</v>
      </c>
      <c r="D102" s="3" t="s">
        <v>16</v>
      </c>
      <c r="E102" s="3" t="s">
        <v>17</v>
      </c>
      <c r="F102" t="s">
        <v>19</v>
      </c>
      <c r="G102" t="s">
        <v>16</v>
      </c>
      <c r="H102" t="s">
        <v>18</v>
      </c>
      <c r="I102" s="16">
        <v>10660985.115138164</v>
      </c>
      <c r="J102" s="16">
        <v>9008871</v>
      </c>
      <c r="K102" s="16">
        <v>19669856.115138166</v>
      </c>
      <c r="L102" s="17">
        <v>181.27258720786747</v>
      </c>
      <c r="M102" s="17">
        <v>79.359143955033645</v>
      </c>
      <c r="N102" s="15">
        <v>32.476810897858535</v>
      </c>
      <c r="O102" s="11">
        <v>0.16053575811822018</v>
      </c>
      <c r="P102" s="11">
        <v>0.16401071092963759</v>
      </c>
    </row>
    <row r="103" spans="1:16">
      <c r="A103">
        <v>10</v>
      </c>
      <c r="B103">
        <v>2.8</v>
      </c>
      <c r="C103" t="s">
        <v>19</v>
      </c>
      <c r="D103" s="3" t="s">
        <v>16</v>
      </c>
      <c r="E103" s="3">
        <v>0.75</v>
      </c>
      <c r="F103" t="s">
        <v>19</v>
      </c>
      <c r="G103" t="s">
        <v>16</v>
      </c>
      <c r="H103" t="s">
        <v>18</v>
      </c>
      <c r="I103" s="16">
        <v>10997008.087248255</v>
      </c>
      <c r="J103" s="16">
        <v>5473708.7999999998</v>
      </c>
      <c r="K103" s="16">
        <v>16470716.887248255</v>
      </c>
      <c r="L103" s="17">
        <v>151.79010186159834</v>
      </c>
      <c r="M103" s="17">
        <v>47.374859288822321</v>
      </c>
      <c r="N103" s="15">
        <v>26.813204570135802</v>
      </c>
      <c r="O103" s="11">
        <v>0.29706766617564728</v>
      </c>
      <c r="P103" s="11">
        <v>0.30979824660788768</v>
      </c>
    </row>
    <row r="104" spans="1:16">
      <c r="A104">
        <v>10</v>
      </c>
      <c r="B104">
        <v>2.8</v>
      </c>
      <c r="C104" t="s">
        <v>19</v>
      </c>
      <c r="D104" s="3">
        <v>0.25</v>
      </c>
      <c r="E104" s="3" t="s">
        <v>17</v>
      </c>
      <c r="F104" t="s">
        <v>19</v>
      </c>
      <c r="G104" t="s">
        <v>16</v>
      </c>
      <c r="H104" t="s">
        <v>18</v>
      </c>
      <c r="I104" s="16">
        <v>10133507.158918835</v>
      </c>
      <c r="J104" s="16">
        <v>9279866.7000000011</v>
      </c>
      <c r="K104" s="16">
        <v>19413373.858918838</v>
      </c>
      <c r="L104" s="17">
        <v>178.90890941146475</v>
      </c>
      <c r="M104" s="17">
        <v>82.008229056493661</v>
      </c>
      <c r="N104" s="15">
        <v>32.124934275422383</v>
      </c>
      <c r="O104" s="11">
        <v>0.17148183121163652</v>
      </c>
      <c r="P104" s="11">
        <v>0.17306840715344618</v>
      </c>
    </row>
    <row r="105" spans="1:16">
      <c r="A105">
        <v>10</v>
      </c>
      <c r="B105">
        <v>2.8</v>
      </c>
      <c r="C105" t="s">
        <v>19</v>
      </c>
      <c r="D105" s="3">
        <v>0.25</v>
      </c>
      <c r="E105" s="3">
        <v>0.75</v>
      </c>
      <c r="F105" t="s">
        <v>19</v>
      </c>
      <c r="G105" t="s">
        <v>16</v>
      </c>
      <c r="H105" t="s">
        <v>18</v>
      </c>
      <c r="I105" s="16">
        <v>10470059.130985022</v>
      </c>
      <c r="J105" s="16">
        <v>5762548.2000000002</v>
      </c>
      <c r="K105" s="16">
        <v>16232607.330985021</v>
      </c>
      <c r="L105" s="17">
        <v>149.59574237822952</v>
      </c>
      <c r="M105" s="17">
        <v>50.018881484533821</v>
      </c>
      <c r="N105" s="15">
        <v>26.493400924489634</v>
      </c>
      <c r="O105" s="11">
        <v>0.30722963467014419</v>
      </c>
      <c r="P105" s="11">
        <v>0.31803034868240132</v>
      </c>
    </row>
    <row r="106" spans="1:16">
      <c r="A106">
        <v>10</v>
      </c>
      <c r="B106">
        <v>4</v>
      </c>
      <c r="C106" t="s">
        <v>16</v>
      </c>
      <c r="D106" s="3" t="s">
        <v>16</v>
      </c>
      <c r="E106" s="3" t="s">
        <v>17</v>
      </c>
      <c r="F106" t="s">
        <v>19</v>
      </c>
      <c r="G106" t="s">
        <v>16</v>
      </c>
      <c r="H106" t="s">
        <v>18</v>
      </c>
      <c r="I106" s="16">
        <v>10675214.113957159</v>
      </c>
      <c r="J106" s="16">
        <v>8395651.2999999989</v>
      </c>
      <c r="K106" s="16">
        <v>19070865.413957156</v>
      </c>
      <c r="L106" s="17">
        <v>175.75243528194815</v>
      </c>
      <c r="M106" s="17">
        <v>73.331918024547377</v>
      </c>
      <c r="N106" s="15">
        <v>31.425359412414746</v>
      </c>
      <c r="O106" s="11">
        <v>0.18609930428336796</v>
      </c>
      <c r="P106" s="11">
        <v>0.19107624339748497</v>
      </c>
    </row>
    <row r="107" spans="1:16">
      <c r="A107">
        <v>10</v>
      </c>
      <c r="B107">
        <v>4</v>
      </c>
      <c r="C107" t="s">
        <v>16</v>
      </c>
      <c r="D107" s="3" t="s">
        <v>16</v>
      </c>
      <c r="E107" s="3">
        <v>0.75</v>
      </c>
      <c r="F107" t="s">
        <v>19</v>
      </c>
      <c r="G107" t="s">
        <v>16</v>
      </c>
      <c r="H107" t="s">
        <v>18</v>
      </c>
      <c r="I107" s="16">
        <v>11010966.08608974</v>
      </c>
      <c r="J107" s="16">
        <v>4829636.2</v>
      </c>
      <c r="K107" s="16">
        <v>15840602.286089741</v>
      </c>
      <c r="L107" s="17">
        <v>145.98311967927569</v>
      </c>
      <c r="M107" s="17">
        <v>41.355612497795654</v>
      </c>
      <c r="N107" s="15">
        <v>25.707305285366733</v>
      </c>
      <c r="O107" s="11">
        <v>0.32395950884413938</v>
      </c>
      <c r="P107" s="11">
        <v>0.33826532608084414</v>
      </c>
    </row>
    <row r="108" spans="1:16">
      <c r="A108">
        <v>10</v>
      </c>
      <c r="B108">
        <v>4</v>
      </c>
      <c r="C108" t="s">
        <v>16</v>
      </c>
      <c r="D108" s="3">
        <v>0.25</v>
      </c>
      <c r="E108" s="3" t="s">
        <v>17</v>
      </c>
      <c r="F108" t="s">
        <v>19</v>
      </c>
      <c r="G108" t="s">
        <v>16</v>
      </c>
      <c r="H108" t="s">
        <v>18</v>
      </c>
      <c r="I108" s="16">
        <v>10143797.158064768</v>
      </c>
      <c r="J108" s="16">
        <v>8657974.2000000011</v>
      </c>
      <c r="K108" s="16">
        <v>18801771.358064771</v>
      </c>
      <c r="L108" s="17">
        <v>173.27253022172098</v>
      </c>
      <c r="M108" s="17">
        <v>75.845255146970629</v>
      </c>
      <c r="N108" s="15">
        <v>31.052125627020114</v>
      </c>
      <c r="O108" s="11">
        <v>0.19758361999479535</v>
      </c>
      <c r="P108" s="11">
        <v>0.20068369678600939</v>
      </c>
    </row>
    <row r="109" spans="1:16">
      <c r="A109">
        <v>10</v>
      </c>
      <c r="B109">
        <v>4</v>
      </c>
      <c r="C109" t="s">
        <v>16</v>
      </c>
      <c r="D109" s="3">
        <v>0.25</v>
      </c>
      <c r="E109" s="3">
        <v>0.75</v>
      </c>
      <c r="F109" t="s">
        <v>19</v>
      </c>
      <c r="G109" t="s">
        <v>16</v>
      </c>
      <c r="H109" t="s">
        <v>18</v>
      </c>
      <c r="I109" s="16">
        <v>10481655.130022554</v>
      </c>
      <c r="J109" s="16">
        <v>5111033.3999999994</v>
      </c>
      <c r="K109" s="16">
        <v>15592688.530022554</v>
      </c>
      <c r="L109" s="17">
        <v>143.69840708637915</v>
      </c>
      <c r="M109" s="17">
        <v>43.861556427717915</v>
      </c>
      <c r="N109" s="15">
        <v>25.370769901170068</v>
      </c>
      <c r="O109" s="11">
        <v>0.33453989804835116</v>
      </c>
      <c r="P109" s="11">
        <v>0.34692812174346077</v>
      </c>
    </row>
    <row r="110" spans="1:16">
      <c r="A110">
        <v>10</v>
      </c>
      <c r="B110">
        <v>4</v>
      </c>
      <c r="C110" t="s">
        <v>19</v>
      </c>
      <c r="D110" s="3" t="s">
        <v>16</v>
      </c>
      <c r="E110" s="3" t="s">
        <v>17</v>
      </c>
      <c r="F110" t="s">
        <v>19</v>
      </c>
      <c r="G110" t="s">
        <v>16</v>
      </c>
      <c r="H110" t="s">
        <v>18</v>
      </c>
      <c r="I110" s="16">
        <v>10677974.113728076</v>
      </c>
      <c r="J110" s="16">
        <v>8192045.6000000006</v>
      </c>
      <c r="K110" s="16">
        <v>18870019.713728078</v>
      </c>
      <c r="L110" s="17">
        <v>173.90149038957139</v>
      </c>
      <c r="M110" s="17">
        <v>71.35973667111962</v>
      </c>
      <c r="N110" s="15">
        <v>31.07317117319468</v>
      </c>
      <c r="O110" s="11">
        <v>0.19467093706456862</v>
      </c>
      <c r="P110" s="11">
        <v>0.20014196098442749</v>
      </c>
    </row>
    <row r="111" spans="1:16">
      <c r="A111">
        <v>10</v>
      </c>
      <c r="B111">
        <v>4</v>
      </c>
      <c r="C111" t="s">
        <v>19</v>
      </c>
      <c r="D111" s="3" t="s">
        <v>16</v>
      </c>
      <c r="E111" s="3">
        <v>0.75</v>
      </c>
      <c r="F111" t="s">
        <v>19</v>
      </c>
      <c r="G111" t="s">
        <v>16</v>
      </c>
      <c r="H111" t="s">
        <v>18</v>
      </c>
      <c r="I111" s="16">
        <v>11014378.085806545</v>
      </c>
      <c r="J111" s="16">
        <v>4615570.3999999994</v>
      </c>
      <c r="K111" s="16">
        <v>15629948.485806543</v>
      </c>
      <c r="L111" s="17">
        <v>144.04178573361878</v>
      </c>
      <c r="M111" s="17">
        <v>39.387114239536402</v>
      </c>
      <c r="N111" s="15">
        <v>25.337822952580026</v>
      </c>
      <c r="O111" s="11">
        <v>0.33294972878876605</v>
      </c>
      <c r="P111" s="11">
        <v>0.3477762129004236</v>
      </c>
    </row>
    <row r="112" spans="1:16">
      <c r="A112">
        <v>10</v>
      </c>
      <c r="B112">
        <v>4</v>
      </c>
      <c r="C112" t="s">
        <v>19</v>
      </c>
      <c r="D112" s="3">
        <v>0.25</v>
      </c>
      <c r="E112" s="3" t="s">
        <v>17</v>
      </c>
      <c r="F112" t="s">
        <v>19</v>
      </c>
      <c r="G112" t="s">
        <v>16</v>
      </c>
      <c r="H112" t="s">
        <v>18</v>
      </c>
      <c r="I112" s="16">
        <v>10146765.157818424</v>
      </c>
      <c r="J112" s="16">
        <v>8450764.5999999996</v>
      </c>
      <c r="K112" s="16">
        <v>18597529.757818423</v>
      </c>
      <c r="L112" s="17">
        <v>171.39028954464573</v>
      </c>
      <c r="M112" s="17">
        <v>73.827334827956918</v>
      </c>
      <c r="N112" s="15">
        <v>30.693952851167104</v>
      </c>
      <c r="O112" s="11">
        <v>0.20630018198222999</v>
      </c>
      <c r="P112" s="11">
        <v>0.20990346301217722</v>
      </c>
    </row>
    <row r="113" spans="1:16">
      <c r="A113">
        <v>10</v>
      </c>
      <c r="B113">
        <v>4</v>
      </c>
      <c r="C113" t="s">
        <v>19</v>
      </c>
      <c r="D113" s="3">
        <v>0.25</v>
      </c>
      <c r="E113" s="3">
        <v>0.75</v>
      </c>
      <c r="F113" t="s">
        <v>19</v>
      </c>
      <c r="G113" t="s">
        <v>16</v>
      </c>
      <c r="H113" t="s">
        <v>18</v>
      </c>
      <c r="I113" s="16">
        <v>10484708.129769154</v>
      </c>
      <c r="J113" s="16">
        <v>4895180.3</v>
      </c>
      <c r="K113" s="16">
        <v>15379888.429769155</v>
      </c>
      <c r="L113" s="17">
        <v>141.73729336469108</v>
      </c>
      <c r="M113" s="17">
        <v>41.846690053451688</v>
      </c>
      <c r="N113" s="15">
        <v>24.997595580057354</v>
      </c>
      <c r="O113" s="11">
        <v>0.34362171714178635</v>
      </c>
      <c r="P113" s="11">
        <v>0.35653404445513026</v>
      </c>
    </row>
    <row r="114" spans="1:16">
      <c r="A114">
        <v>10</v>
      </c>
      <c r="B114">
        <v>5.5</v>
      </c>
      <c r="C114" t="s">
        <v>16</v>
      </c>
      <c r="D114" s="3" t="s">
        <v>16</v>
      </c>
      <c r="E114" s="3" t="s">
        <v>17</v>
      </c>
      <c r="F114" t="s">
        <v>19</v>
      </c>
      <c r="G114" t="s">
        <v>16</v>
      </c>
      <c r="H114" t="s">
        <v>18</v>
      </c>
      <c r="I114" s="16">
        <v>10684864.113156207</v>
      </c>
      <c r="J114" s="16">
        <v>7992981.3999999994</v>
      </c>
      <c r="K114" s="16">
        <v>18677845.513156205</v>
      </c>
      <c r="L114" s="17">
        <v>172.13045991896936</v>
      </c>
      <c r="M114" s="17">
        <v>69.386364522259825</v>
      </c>
      <c r="N114" s="15">
        <v>30.735405452760077</v>
      </c>
      <c r="O114" s="11">
        <v>0.20287249017446396</v>
      </c>
      <c r="P114" s="11">
        <v>0.20883642687230453</v>
      </c>
    </row>
    <row r="115" spans="1:16">
      <c r="A115">
        <v>10</v>
      </c>
      <c r="B115">
        <v>5.5</v>
      </c>
      <c r="C115" t="s">
        <v>16</v>
      </c>
      <c r="D115" s="3" t="s">
        <v>16</v>
      </c>
      <c r="E115" s="3">
        <v>0.75</v>
      </c>
      <c r="F115" t="s">
        <v>19</v>
      </c>
      <c r="G115" t="s">
        <v>16</v>
      </c>
      <c r="H115" t="s">
        <v>18</v>
      </c>
      <c r="I115" s="16">
        <v>11020808.085272856</v>
      </c>
      <c r="J115" s="16">
        <v>4399570.8</v>
      </c>
      <c r="K115" s="16">
        <v>15420378.885272857</v>
      </c>
      <c r="L115" s="17">
        <v>142.11044350790604</v>
      </c>
      <c r="M115" s="17">
        <v>37.418227150115662</v>
      </c>
      <c r="N115" s="15">
        <v>24.96968278361912</v>
      </c>
      <c r="O115" s="11">
        <v>0.34189367758044431</v>
      </c>
      <c r="P115" s="11">
        <v>0.35725255092806418</v>
      </c>
    </row>
    <row r="116" spans="1:16">
      <c r="A116">
        <v>10</v>
      </c>
      <c r="B116">
        <v>5.5</v>
      </c>
      <c r="C116" t="s">
        <v>16</v>
      </c>
      <c r="D116" s="3">
        <v>0.25</v>
      </c>
      <c r="E116" s="3" t="s">
        <v>17</v>
      </c>
      <c r="F116" t="s">
        <v>19</v>
      </c>
      <c r="G116" t="s">
        <v>16</v>
      </c>
      <c r="H116" t="s">
        <v>18</v>
      </c>
      <c r="I116" s="16">
        <v>10152323.15735711</v>
      </c>
      <c r="J116" s="16">
        <v>8243437.7999999998</v>
      </c>
      <c r="K116" s="16">
        <v>18395760.957357109</v>
      </c>
      <c r="L116" s="17">
        <v>169.53083758610794</v>
      </c>
      <c r="M116" s="17">
        <v>71.789713730094661</v>
      </c>
      <c r="N116" s="15">
        <v>30.339632555734276</v>
      </c>
      <c r="O116" s="11">
        <v>0.21491121055931739</v>
      </c>
      <c r="P116" s="11">
        <v>0.21902406210097569</v>
      </c>
    </row>
    <row r="117" spans="1:16">
      <c r="A117">
        <v>10</v>
      </c>
      <c r="B117">
        <v>5.5</v>
      </c>
      <c r="C117" t="s">
        <v>16</v>
      </c>
      <c r="D117" s="3">
        <v>0.25</v>
      </c>
      <c r="E117" s="3">
        <v>0.75</v>
      </c>
      <c r="F117" t="s">
        <v>19</v>
      </c>
      <c r="G117" t="s">
        <v>16</v>
      </c>
      <c r="H117" t="s">
        <v>18</v>
      </c>
      <c r="I117" s="16">
        <v>10490420.129295059</v>
      </c>
      <c r="J117" s="16">
        <v>4672441.7</v>
      </c>
      <c r="K117" s="16">
        <v>15162861.829295058</v>
      </c>
      <c r="L117" s="17">
        <v>139.73722924980464</v>
      </c>
      <c r="M117" s="17">
        <v>39.812263311589682</v>
      </c>
      <c r="N117" s="15">
        <v>24.616530590393296</v>
      </c>
      <c r="O117" s="11">
        <v>0.35288391354875215</v>
      </c>
      <c r="P117" s="11">
        <v>0.36634308176488239</v>
      </c>
    </row>
    <row r="118" spans="1:16">
      <c r="A118">
        <v>10</v>
      </c>
      <c r="B118">
        <v>5.5</v>
      </c>
      <c r="C118" t="s">
        <v>19</v>
      </c>
      <c r="D118" s="3" t="s">
        <v>16</v>
      </c>
      <c r="E118" s="3" t="s">
        <v>17</v>
      </c>
      <c r="F118" t="s">
        <v>19</v>
      </c>
      <c r="G118" t="s">
        <v>16</v>
      </c>
      <c r="H118" t="s">
        <v>18</v>
      </c>
      <c r="I118" s="16">
        <v>10688462.112857571</v>
      </c>
      <c r="J118" s="16">
        <v>7796642.1000000006</v>
      </c>
      <c r="K118" s="16">
        <v>18485104.21285757</v>
      </c>
      <c r="L118" s="17">
        <v>170.35420319586845</v>
      </c>
      <c r="M118" s="17">
        <v>67.436216934649494</v>
      </c>
      <c r="N118" s="15">
        <v>30.397253509650902</v>
      </c>
      <c r="O118" s="11">
        <v>0.21109824579704717</v>
      </c>
      <c r="P118" s="11">
        <v>0.21754083456204609</v>
      </c>
    </row>
    <row r="119" spans="1:16">
      <c r="A119">
        <v>10</v>
      </c>
      <c r="B119">
        <v>5.5</v>
      </c>
      <c r="C119" t="s">
        <v>19</v>
      </c>
      <c r="D119" s="3" t="s">
        <v>16</v>
      </c>
      <c r="E119" s="3">
        <v>0.75</v>
      </c>
      <c r="F119" t="s">
        <v>19</v>
      </c>
      <c r="G119" t="s">
        <v>16</v>
      </c>
      <c r="H119" t="s">
        <v>18</v>
      </c>
      <c r="I119" s="16">
        <v>11024682.084951311</v>
      </c>
      <c r="J119" s="16">
        <v>4189138.1999999997</v>
      </c>
      <c r="K119" s="16">
        <v>15213820.284951311</v>
      </c>
      <c r="L119" s="17">
        <v>140.20684992434619</v>
      </c>
      <c r="M119" s="17">
        <v>35.472875146830312</v>
      </c>
      <c r="N119" s="15">
        <v>24.607285966055908</v>
      </c>
      <c r="O119" s="11">
        <v>0.35070912380476316</v>
      </c>
      <c r="P119" s="11">
        <v>0.36658104869309593</v>
      </c>
    </row>
    <row r="120" spans="1:16">
      <c r="A120">
        <v>10</v>
      </c>
      <c r="B120">
        <v>5.5</v>
      </c>
      <c r="C120" t="s">
        <v>19</v>
      </c>
      <c r="D120" s="3">
        <v>0.25</v>
      </c>
      <c r="E120" s="3" t="s">
        <v>17</v>
      </c>
      <c r="F120" t="s">
        <v>19</v>
      </c>
      <c r="G120" t="s">
        <v>16</v>
      </c>
      <c r="H120" t="s">
        <v>18</v>
      </c>
      <c r="I120" s="16">
        <v>10155589.15708603</v>
      </c>
      <c r="J120" s="16">
        <v>8037927.6000000006</v>
      </c>
      <c r="K120" s="16">
        <v>18193516.757086031</v>
      </c>
      <c r="L120" s="17">
        <v>167.66700445909746</v>
      </c>
      <c r="M120" s="17">
        <v>69.779804953137344</v>
      </c>
      <c r="N120" s="15">
        <v>29.984902288494574</v>
      </c>
      <c r="O120" s="11">
        <v>0.22354252810743525</v>
      </c>
      <c r="P120" s="11">
        <v>0.22815521432075891</v>
      </c>
    </row>
    <row r="121" spans="1:16">
      <c r="A121">
        <v>10</v>
      </c>
      <c r="B121">
        <v>5.5</v>
      </c>
      <c r="C121" t="s">
        <v>19</v>
      </c>
      <c r="D121" s="3">
        <v>0.25</v>
      </c>
      <c r="E121" s="3">
        <v>0.75</v>
      </c>
      <c r="F121" t="s">
        <v>19</v>
      </c>
      <c r="G121" t="s">
        <v>16</v>
      </c>
      <c r="H121" t="s">
        <v>18</v>
      </c>
      <c r="I121" s="16">
        <v>10494016.12899659</v>
      </c>
      <c r="J121" s="16">
        <v>4453307</v>
      </c>
      <c r="K121" s="16">
        <v>14947323.12899659</v>
      </c>
      <c r="L121" s="17">
        <v>137.75087725933662</v>
      </c>
      <c r="M121" s="17">
        <v>37.805627196908191</v>
      </c>
      <c r="N121" s="15">
        <v>24.238460915114565</v>
      </c>
      <c r="O121" s="11">
        <v>0.36208260979661067</v>
      </c>
      <c r="P121" s="11">
        <v>0.37607501634581664</v>
      </c>
    </row>
    <row r="122" spans="1:16">
      <c r="A122">
        <v>15</v>
      </c>
      <c r="B122">
        <v>2.8</v>
      </c>
      <c r="C122" t="s">
        <v>16</v>
      </c>
      <c r="D122" s="3" t="s">
        <v>16</v>
      </c>
      <c r="E122" s="3" t="s">
        <v>17</v>
      </c>
      <c r="F122" t="s">
        <v>19</v>
      </c>
      <c r="G122" t="s">
        <v>16</v>
      </c>
      <c r="H122" t="s">
        <v>18</v>
      </c>
      <c r="I122" s="16">
        <v>10659793.115237096</v>
      </c>
      <c r="J122" s="16">
        <v>9013881.2999999989</v>
      </c>
      <c r="K122" s="16">
        <v>19673674.415237095</v>
      </c>
      <c r="L122" s="17">
        <v>181.30777572849607</v>
      </c>
      <c r="M122" s="17">
        <v>79.398939744325006</v>
      </c>
      <c r="N122" s="15">
        <v>32.483716420373931</v>
      </c>
      <c r="O122" s="11">
        <v>0.16037280184751523</v>
      </c>
      <c r="P122" s="11">
        <v>0.16383295508789364</v>
      </c>
    </row>
    <row r="123" spans="1:16">
      <c r="A123">
        <v>15</v>
      </c>
      <c r="B123">
        <v>2.8</v>
      </c>
      <c r="C123" t="s">
        <v>16</v>
      </c>
      <c r="D123" s="3" t="s">
        <v>16</v>
      </c>
      <c r="E123" s="3">
        <v>0.75</v>
      </c>
      <c r="F123" t="s">
        <v>19</v>
      </c>
      <c r="G123" t="s">
        <v>16</v>
      </c>
      <c r="H123" t="s">
        <v>18</v>
      </c>
      <c r="I123" s="16">
        <v>10995452.087377403</v>
      </c>
      <c r="J123" s="16">
        <v>5477664.2999999998</v>
      </c>
      <c r="K123" s="16">
        <v>16473116.387377404</v>
      </c>
      <c r="L123" s="17">
        <v>151.81221506841948</v>
      </c>
      <c r="M123" s="17">
        <v>47.414144737214208</v>
      </c>
      <c r="N123" s="15">
        <v>26.817692873723175</v>
      </c>
      <c r="O123" s="11">
        <v>0.29696526102611187</v>
      </c>
      <c r="P123" s="11">
        <v>0.30968271267393888</v>
      </c>
    </row>
    <row r="124" spans="1:16">
      <c r="A124">
        <v>15</v>
      </c>
      <c r="B124">
        <v>2.8</v>
      </c>
      <c r="C124" t="s">
        <v>16</v>
      </c>
      <c r="D124" s="3">
        <v>0.25</v>
      </c>
      <c r="E124" s="3" t="s">
        <v>17</v>
      </c>
      <c r="F124" t="s">
        <v>19</v>
      </c>
      <c r="G124" t="s">
        <v>16</v>
      </c>
      <c r="H124" t="s">
        <v>18</v>
      </c>
      <c r="I124" s="16">
        <v>10132920.158967556</v>
      </c>
      <c r="J124" s="16">
        <v>9286224.7999999989</v>
      </c>
      <c r="K124" s="16">
        <v>19419144.958967555</v>
      </c>
      <c r="L124" s="17">
        <v>178.96209445922224</v>
      </c>
      <c r="M124" s="17">
        <v>82.05377090628248</v>
      </c>
      <c r="N124" s="15">
        <v>32.135147627458409</v>
      </c>
      <c r="O124" s="11">
        <v>0.17123553392817581</v>
      </c>
      <c r="P124" s="11">
        <v>0.1728055040951848</v>
      </c>
    </row>
    <row r="125" spans="1:16">
      <c r="A125">
        <v>15</v>
      </c>
      <c r="B125">
        <v>2.8</v>
      </c>
      <c r="C125" t="s">
        <v>16</v>
      </c>
      <c r="D125" s="3">
        <v>0.25</v>
      </c>
      <c r="E125" s="3">
        <v>0.75</v>
      </c>
      <c r="F125" t="s">
        <v>19</v>
      </c>
      <c r="G125" t="s">
        <v>16</v>
      </c>
      <c r="H125" t="s">
        <v>18</v>
      </c>
      <c r="I125" s="16">
        <v>10469094.131065113</v>
      </c>
      <c r="J125" s="16">
        <v>5769170</v>
      </c>
      <c r="K125" s="16">
        <v>16238264.131065113</v>
      </c>
      <c r="L125" s="17">
        <v>149.64787406540779</v>
      </c>
      <c r="M125" s="17">
        <v>50.064220818092707</v>
      </c>
      <c r="N125" s="15">
        <v>26.503483809122375</v>
      </c>
      <c r="O125" s="11">
        <v>0.30698821544659149</v>
      </c>
      <c r="P125" s="11">
        <v>0.31777080400043078</v>
      </c>
    </row>
    <row r="126" spans="1:16">
      <c r="A126">
        <v>15</v>
      </c>
      <c r="B126">
        <v>2.8</v>
      </c>
      <c r="C126" t="s">
        <v>19</v>
      </c>
      <c r="D126" s="3" t="s">
        <v>16</v>
      </c>
      <c r="E126" s="3" t="s">
        <v>17</v>
      </c>
      <c r="F126" t="s">
        <v>19</v>
      </c>
      <c r="G126" t="s">
        <v>16</v>
      </c>
      <c r="H126" t="s">
        <v>18</v>
      </c>
      <c r="I126" s="16">
        <v>10661362.115106871</v>
      </c>
      <c r="J126" s="16">
        <v>8813586.5</v>
      </c>
      <c r="K126" s="16">
        <v>19474948.615106873</v>
      </c>
      <c r="L126" s="17">
        <v>179.47636731738754</v>
      </c>
      <c r="M126" s="17">
        <v>77.413089895484518</v>
      </c>
      <c r="N126" s="15">
        <v>32.135459631875676</v>
      </c>
      <c r="O126" s="11">
        <v>0.16885396216572801</v>
      </c>
      <c r="P126" s="11">
        <v>0.17279747275393642</v>
      </c>
    </row>
    <row r="127" spans="1:16">
      <c r="A127">
        <v>15</v>
      </c>
      <c r="B127">
        <v>2.8</v>
      </c>
      <c r="C127" t="s">
        <v>19</v>
      </c>
      <c r="D127" s="3" t="s">
        <v>16</v>
      </c>
      <c r="E127" s="3">
        <v>0.75</v>
      </c>
      <c r="F127" t="s">
        <v>19</v>
      </c>
      <c r="G127" t="s">
        <v>16</v>
      </c>
      <c r="H127" t="s">
        <v>18</v>
      </c>
      <c r="I127" s="16">
        <v>10997347.087220117</v>
      </c>
      <c r="J127" s="16">
        <v>5265122.1000000006</v>
      </c>
      <c r="K127" s="16">
        <v>16262469.187220119</v>
      </c>
      <c r="L127" s="17">
        <v>149.87094194791013</v>
      </c>
      <c r="M127" s="17">
        <v>45.430638676208225</v>
      </c>
      <c r="N127" s="15">
        <v>26.448501703717064</v>
      </c>
      <c r="O127" s="11">
        <v>0.30595519929253689</v>
      </c>
      <c r="P127" s="11">
        <v>0.31918610463921393</v>
      </c>
    </row>
    <row r="128" spans="1:16">
      <c r="A128">
        <v>15</v>
      </c>
      <c r="B128">
        <v>2.8</v>
      </c>
      <c r="C128" t="s">
        <v>19</v>
      </c>
      <c r="D128" s="3">
        <v>0.25</v>
      </c>
      <c r="E128" s="3" t="s">
        <v>17</v>
      </c>
      <c r="F128" t="s">
        <v>19</v>
      </c>
      <c r="G128" t="s">
        <v>16</v>
      </c>
      <c r="H128" t="s">
        <v>18</v>
      </c>
      <c r="I128" s="16">
        <v>10133481.158920996</v>
      </c>
      <c r="J128" s="16">
        <v>9082414</v>
      </c>
      <c r="K128" s="16">
        <v>19215895.158920996</v>
      </c>
      <c r="L128" s="17">
        <v>177.08899397042069</v>
      </c>
      <c r="M128" s="17">
        <v>80.033690414149405</v>
      </c>
      <c r="N128" s="15">
        <v>31.779155133816545</v>
      </c>
      <c r="O128" s="11">
        <v>0.17990976816303617</v>
      </c>
      <c r="P128" s="11">
        <v>0.18196914742857839</v>
      </c>
    </row>
    <row r="129" spans="1:16">
      <c r="A129">
        <v>15</v>
      </c>
      <c r="B129">
        <v>2.8</v>
      </c>
      <c r="C129" t="s">
        <v>19</v>
      </c>
      <c r="D129" s="3">
        <v>0.25</v>
      </c>
      <c r="E129" s="3">
        <v>0.75</v>
      </c>
      <c r="F129" t="s">
        <v>19</v>
      </c>
      <c r="G129" t="s">
        <v>16</v>
      </c>
      <c r="H129" t="s">
        <v>18</v>
      </c>
      <c r="I129" s="16">
        <v>10470291.130965766</v>
      </c>
      <c r="J129" s="16">
        <v>5556715.7000000002</v>
      </c>
      <c r="K129" s="16">
        <v>16027006.830965765</v>
      </c>
      <c r="L129" s="17">
        <v>147.70097841292329</v>
      </c>
      <c r="M129" s="17">
        <v>48.045503935241229</v>
      </c>
      <c r="N129" s="15">
        <v>26.133353009978887</v>
      </c>
      <c r="O129" s="11">
        <v>0.31600419137604463</v>
      </c>
      <c r="P129" s="11">
        <v>0.32729838306637327</v>
      </c>
    </row>
    <row r="130" spans="1:16">
      <c r="A130">
        <v>15</v>
      </c>
      <c r="B130">
        <v>4</v>
      </c>
      <c r="C130" t="s">
        <v>16</v>
      </c>
      <c r="D130" s="3" t="s">
        <v>16</v>
      </c>
      <c r="E130" s="3" t="s">
        <v>17</v>
      </c>
      <c r="F130" t="s">
        <v>19</v>
      </c>
      <c r="G130" t="s">
        <v>16</v>
      </c>
      <c r="H130" t="s">
        <v>18</v>
      </c>
      <c r="I130" s="16">
        <v>10675472.113935743</v>
      </c>
      <c r="J130" s="16">
        <v>8196938.7000000002</v>
      </c>
      <c r="K130" s="16">
        <v>18872410.813935742</v>
      </c>
      <c r="L130" s="17">
        <v>173.92352618476883</v>
      </c>
      <c r="M130" s="17">
        <v>71.407608807660949</v>
      </c>
      <c r="N130" s="15">
        <v>31.07781913065558</v>
      </c>
      <c r="O130" s="11">
        <v>0.19456889040437242</v>
      </c>
      <c r="P130" s="11">
        <v>0.20002231738193255</v>
      </c>
    </row>
    <row r="131" spans="1:16">
      <c r="A131">
        <v>15</v>
      </c>
      <c r="B131">
        <v>4</v>
      </c>
      <c r="C131" t="s">
        <v>16</v>
      </c>
      <c r="D131" s="3" t="s">
        <v>16</v>
      </c>
      <c r="E131" s="3">
        <v>0.75</v>
      </c>
      <c r="F131" t="s">
        <v>19</v>
      </c>
      <c r="G131" t="s">
        <v>16</v>
      </c>
      <c r="H131" t="s">
        <v>18</v>
      </c>
      <c r="I131" s="16">
        <v>11011607.086036537</v>
      </c>
      <c r="J131" s="16">
        <v>4619467.3</v>
      </c>
      <c r="K131" s="16">
        <v>15631074.386036538</v>
      </c>
      <c r="L131" s="17">
        <v>144.05216175500067</v>
      </c>
      <c r="M131" s="17">
        <v>39.434162810075982</v>
      </c>
      <c r="N131" s="15">
        <v>25.340305133777129</v>
      </c>
      <c r="O131" s="11">
        <v>0.33290167795517189</v>
      </c>
      <c r="P131" s="11">
        <v>0.34771231879145958</v>
      </c>
    </row>
    <row r="132" spans="1:16">
      <c r="A132">
        <v>15</v>
      </c>
      <c r="B132">
        <v>4</v>
      </c>
      <c r="C132" t="s">
        <v>16</v>
      </c>
      <c r="D132" s="3">
        <v>0.25</v>
      </c>
      <c r="E132" s="3" t="s">
        <v>17</v>
      </c>
      <c r="F132" t="s">
        <v>19</v>
      </c>
      <c r="G132" t="s">
        <v>16</v>
      </c>
      <c r="H132" t="s">
        <v>18</v>
      </c>
      <c r="I132" s="16">
        <v>10144369.158017289</v>
      </c>
      <c r="J132" s="16">
        <v>8457679.4000000004</v>
      </c>
      <c r="K132" s="16">
        <v>18602048.558017291</v>
      </c>
      <c r="L132" s="17">
        <v>171.43193370301321</v>
      </c>
      <c r="M132" s="17">
        <v>73.879835135406466</v>
      </c>
      <c r="N132" s="15">
        <v>30.702306860229996</v>
      </c>
      <c r="O132" s="11">
        <v>0.20610732997757086</v>
      </c>
      <c r="P132" s="11">
        <v>0.2096884215132031</v>
      </c>
    </row>
    <row r="133" spans="1:16">
      <c r="A133">
        <v>15</v>
      </c>
      <c r="B133">
        <v>4</v>
      </c>
      <c r="C133" t="s">
        <v>16</v>
      </c>
      <c r="D133" s="3">
        <v>0.25</v>
      </c>
      <c r="E133" s="3">
        <v>0.75</v>
      </c>
      <c r="F133" t="s">
        <v>19</v>
      </c>
      <c r="G133" t="s">
        <v>16</v>
      </c>
      <c r="H133" t="s">
        <v>18</v>
      </c>
      <c r="I133" s="16">
        <v>10482420.129959056</v>
      </c>
      <c r="J133" s="16">
        <v>4900454.3</v>
      </c>
      <c r="K133" s="16">
        <v>15382874.429959055</v>
      </c>
      <c r="L133" s="17">
        <v>141.76481161274833</v>
      </c>
      <c r="M133" s="17">
        <v>41.897986064387197</v>
      </c>
      <c r="N133" s="15">
        <v>25.003245760130795</v>
      </c>
      <c r="O133" s="11">
        <v>0.34349428151790573</v>
      </c>
      <c r="P133" s="11">
        <v>0.35638860252619298</v>
      </c>
    </row>
    <row r="134" spans="1:16">
      <c r="A134">
        <v>15</v>
      </c>
      <c r="B134">
        <v>4</v>
      </c>
      <c r="C134" t="s">
        <v>19</v>
      </c>
      <c r="D134" s="3" t="s">
        <v>16</v>
      </c>
      <c r="E134" s="3" t="s">
        <v>17</v>
      </c>
      <c r="F134" t="s">
        <v>19</v>
      </c>
      <c r="G134" t="s">
        <v>16</v>
      </c>
      <c r="H134" t="s">
        <v>18</v>
      </c>
      <c r="I134" s="16">
        <v>10678756.11366317</v>
      </c>
      <c r="J134" s="16">
        <v>7997991.7000000002</v>
      </c>
      <c r="K134" s="16">
        <v>18676747.81366317</v>
      </c>
      <c r="L134" s="17">
        <v>172.12034378868785</v>
      </c>
      <c r="M134" s="17">
        <v>69.437547124106558</v>
      </c>
      <c r="N134" s="15">
        <v>30.734609184620741</v>
      </c>
      <c r="O134" s="11">
        <v>0.20291933746543256</v>
      </c>
      <c r="P134" s="11">
        <v>0.2088569237011898</v>
      </c>
    </row>
    <row r="135" spans="1:16">
      <c r="A135">
        <v>15</v>
      </c>
      <c r="B135">
        <v>4</v>
      </c>
      <c r="C135" t="s">
        <v>19</v>
      </c>
      <c r="D135" s="3" t="s">
        <v>16</v>
      </c>
      <c r="E135" s="3">
        <v>0.75</v>
      </c>
      <c r="F135" t="s">
        <v>19</v>
      </c>
      <c r="G135" t="s">
        <v>16</v>
      </c>
      <c r="H135" t="s">
        <v>18</v>
      </c>
      <c r="I135" s="16">
        <v>11015084.085747944</v>
      </c>
      <c r="J135" s="16">
        <v>4406192.6000000006</v>
      </c>
      <c r="K135" s="16">
        <v>15421276.685747944</v>
      </c>
      <c r="L135" s="17">
        <v>142.11871741768772</v>
      </c>
      <c r="M135" s="17">
        <v>37.468434973842299</v>
      </c>
      <c r="N135" s="15">
        <v>24.972309846094447</v>
      </c>
      <c r="O135" s="11">
        <v>0.3418553615200336</v>
      </c>
      <c r="P135" s="11">
        <v>0.35718492741361263</v>
      </c>
    </row>
    <row r="136" spans="1:16">
      <c r="A136">
        <v>15</v>
      </c>
      <c r="B136">
        <v>4</v>
      </c>
      <c r="C136" t="s">
        <v>19</v>
      </c>
      <c r="D136" s="3">
        <v>0.25</v>
      </c>
      <c r="E136" s="3" t="s">
        <v>17</v>
      </c>
      <c r="F136" t="s">
        <v>19</v>
      </c>
      <c r="G136" t="s">
        <v>16</v>
      </c>
      <c r="H136" t="s">
        <v>18</v>
      </c>
      <c r="I136" s="16">
        <v>10147061.157793853</v>
      </c>
      <c r="J136" s="16">
        <v>8250557.7000000002</v>
      </c>
      <c r="K136" s="16">
        <v>18397618.857793853</v>
      </c>
      <c r="L136" s="17">
        <v>169.54795954251534</v>
      </c>
      <c r="M136" s="17">
        <v>71.859768144355385</v>
      </c>
      <c r="N136" s="15">
        <v>30.34385559349354</v>
      </c>
      <c r="O136" s="11">
        <v>0.214831919639623</v>
      </c>
      <c r="P136" s="11">
        <v>0.21891535640492732</v>
      </c>
    </row>
    <row r="137" spans="1:16">
      <c r="A137">
        <v>15</v>
      </c>
      <c r="B137">
        <v>4</v>
      </c>
      <c r="C137" t="s">
        <v>19</v>
      </c>
      <c r="D137" s="3">
        <v>0.25</v>
      </c>
      <c r="E137" s="3">
        <v>0.75</v>
      </c>
      <c r="F137" t="s">
        <v>19</v>
      </c>
      <c r="G137" t="s">
        <v>16</v>
      </c>
      <c r="H137" t="s">
        <v>18</v>
      </c>
      <c r="I137" s="16">
        <v>10485427.129709477</v>
      </c>
      <c r="J137" s="16">
        <v>4680440.6000000006</v>
      </c>
      <c r="K137" s="16">
        <v>15165867.729709476</v>
      </c>
      <c r="L137" s="17">
        <v>139.76493089346798</v>
      </c>
      <c r="M137" s="17">
        <v>39.881507660930644</v>
      </c>
      <c r="N137" s="15">
        <v>24.622714187970026</v>
      </c>
      <c r="O137" s="11">
        <v>0.35275562862903587</v>
      </c>
      <c r="P137" s="11">
        <v>0.36618390907522624</v>
      </c>
    </row>
    <row r="138" spans="1:16">
      <c r="A138">
        <v>15</v>
      </c>
      <c r="B138">
        <v>5.5</v>
      </c>
      <c r="C138" t="s">
        <v>16</v>
      </c>
      <c r="D138" s="3" t="s">
        <v>16</v>
      </c>
      <c r="E138" s="3" t="s">
        <v>17</v>
      </c>
      <c r="F138" t="s">
        <v>19</v>
      </c>
      <c r="G138" t="s">
        <v>16</v>
      </c>
      <c r="H138" t="s">
        <v>18</v>
      </c>
      <c r="I138" s="16">
        <v>10685236.11312533</v>
      </c>
      <c r="J138" s="16">
        <v>7801623.1000000006</v>
      </c>
      <c r="K138" s="16">
        <v>18486859.213125329</v>
      </c>
      <c r="L138" s="17">
        <v>170.37037684946432</v>
      </c>
      <c r="M138" s="17">
        <v>67.486651576553655</v>
      </c>
      <c r="N138" s="15">
        <v>30.400921104337932</v>
      </c>
      <c r="O138" s="11">
        <v>0.21102334642001819</v>
      </c>
      <c r="P138" s="11">
        <v>0.21744642658939595</v>
      </c>
    </row>
    <row r="139" spans="1:16">
      <c r="A139">
        <v>15</v>
      </c>
      <c r="B139">
        <v>5.5</v>
      </c>
      <c r="C139" t="s">
        <v>16</v>
      </c>
      <c r="D139" s="3" t="s">
        <v>16</v>
      </c>
      <c r="E139" s="3">
        <v>0.75</v>
      </c>
      <c r="F139" t="s">
        <v>19</v>
      </c>
      <c r="G139" t="s">
        <v>16</v>
      </c>
      <c r="H139" t="s">
        <v>18</v>
      </c>
      <c r="I139" s="16">
        <v>11021309.085231271</v>
      </c>
      <c r="J139" s="16">
        <v>4193474.6</v>
      </c>
      <c r="K139" s="16">
        <v>15214783.68523127</v>
      </c>
      <c r="L139" s="17">
        <v>140.21572838589887</v>
      </c>
      <c r="M139" s="17">
        <v>35.522067689190848</v>
      </c>
      <c r="N139" s="15">
        <v>24.609594568574028</v>
      </c>
      <c r="O139" s="11">
        <v>0.35066800809548138</v>
      </c>
      <c r="P139" s="11">
        <v>0.36652162269268174</v>
      </c>
    </row>
    <row r="140" spans="1:16">
      <c r="A140">
        <v>15</v>
      </c>
      <c r="B140">
        <v>5.5</v>
      </c>
      <c r="C140" t="s">
        <v>16</v>
      </c>
      <c r="D140" s="3">
        <v>0.25</v>
      </c>
      <c r="E140" s="3" t="s">
        <v>17</v>
      </c>
      <c r="F140" t="s">
        <v>19</v>
      </c>
      <c r="G140" t="s">
        <v>16</v>
      </c>
      <c r="H140" t="s">
        <v>18</v>
      </c>
      <c r="I140" s="16">
        <v>10153044.157297267</v>
      </c>
      <c r="J140" s="16">
        <v>8044490.7999999998</v>
      </c>
      <c r="K140" s="16">
        <v>18197534.957297266</v>
      </c>
      <c r="L140" s="17">
        <v>167.70403521031119</v>
      </c>
      <c r="M140" s="17">
        <v>69.834341223751892</v>
      </c>
      <c r="N140" s="15">
        <v>29.992407213147754</v>
      </c>
      <c r="O140" s="11">
        <v>0.2233710405594681</v>
      </c>
      <c r="P140" s="11">
        <v>0.22796202920030262</v>
      </c>
    </row>
    <row r="141" spans="1:16">
      <c r="A141">
        <v>15</v>
      </c>
      <c r="B141">
        <v>5.5</v>
      </c>
      <c r="C141" t="s">
        <v>16</v>
      </c>
      <c r="D141" s="3">
        <v>0.25</v>
      </c>
      <c r="E141" s="3">
        <v>0.75</v>
      </c>
      <c r="F141" t="s">
        <v>19</v>
      </c>
      <c r="G141" t="s">
        <v>16</v>
      </c>
      <c r="H141" t="s">
        <v>18</v>
      </c>
      <c r="I141" s="16">
        <v>10491290.129222848</v>
      </c>
      <c r="J141" s="16">
        <v>4459489.3</v>
      </c>
      <c r="K141" s="16">
        <v>14950779.429222848</v>
      </c>
      <c r="L141" s="17">
        <v>137.78272967760105</v>
      </c>
      <c r="M141" s="17">
        <v>37.859226492432221</v>
      </c>
      <c r="N141" s="15">
        <v>24.245015317539984</v>
      </c>
      <c r="O141" s="11">
        <v>0.36193510284830521</v>
      </c>
      <c r="P141" s="11">
        <v>0.37590629872630832</v>
      </c>
    </row>
    <row r="142" spans="1:16">
      <c r="A142">
        <v>15</v>
      </c>
      <c r="B142">
        <v>5.5</v>
      </c>
      <c r="C142" t="s">
        <v>19</v>
      </c>
      <c r="D142" s="3" t="s">
        <v>16</v>
      </c>
      <c r="E142" s="3" t="s">
        <v>17</v>
      </c>
      <c r="F142" t="s">
        <v>19</v>
      </c>
      <c r="G142" t="s">
        <v>16</v>
      </c>
      <c r="H142" t="s">
        <v>18</v>
      </c>
      <c r="I142" s="16">
        <v>10683991.113228664</v>
      </c>
      <c r="J142" s="16">
        <v>7595175.2999999998</v>
      </c>
      <c r="K142" s="16">
        <v>18279166.413228665</v>
      </c>
      <c r="L142" s="17">
        <v>168.45633075978606</v>
      </c>
      <c r="M142" s="17">
        <v>65.545860238766551</v>
      </c>
      <c r="N142" s="15">
        <v>30.037481819595165</v>
      </c>
      <c r="O142" s="11">
        <v>0.21988719767490228</v>
      </c>
      <c r="P142" s="11">
        <v>0.22680175862085417</v>
      </c>
    </row>
    <row r="143" spans="1:16">
      <c r="A143">
        <v>15</v>
      </c>
      <c r="B143">
        <v>5.5</v>
      </c>
      <c r="C143" t="s">
        <v>19</v>
      </c>
      <c r="D143" s="3" t="s">
        <v>16</v>
      </c>
      <c r="E143" s="3">
        <v>0.75</v>
      </c>
      <c r="F143" t="s">
        <v>19</v>
      </c>
      <c r="G143" t="s">
        <v>16</v>
      </c>
      <c r="H143" t="s">
        <v>18</v>
      </c>
      <c r="I143" s="16">
        <v>11020493.085298998</v>
      </c>
      <c r="J143" s="16">
        <v>3973197.1999999997</v>
      </c>
      <c r="K143" s="16">
        <v>14993690.285298998</v>
      </c>
      <c r="L143" s="17">
        <v>138.17818564101512</v>
      </c>
      <c r="M143" s="17">
        <v>33.587443645659498</v>
      </c>
      <c r="N143" s="15">
        <v>24.222611848165492</v>
      </c>
      <c r="O143" s="11">
        <v>0.36010376615455386</v>
      </c>
      <c r="P143" s="11">
        <v>0.37648298898367361</v>
      </c>
    </row>
    <row r="144" spans="1:16">
      <c r="A144">
        <v>15</v>
      </c>
      <c r="B144">
        <v>5.5</v>
      </c>
      <c r="C144" t="s">
        <v>19</v>
      </c>
      <c r="D144" s="3">
        <v>0.25</v>
      </c>
      <c r="E144" s="3" t="s">
        <v>17</v>
      </c>
      <c r="F144" t="s">
        <v>19</v>
      </c>
      <c r="G144" t="s">
        <v>16</v>
      </c>
      <c r="H144" t="s">
        <v>18</v>
      </c>
      <c r="I144" s="16">
        <v>10156071.157046026</v>
      </c>
      <c r="J144" s="16">
        <v>7843932.2999999998</v>
      </c>
      <c r="K144" s="16">
        <v>18000003.457046025</v>
      </c>
      <c r="L144" s="17">
        <v>165.88363317503465</v>
      </c>
      <c r="M144" s="17">
        <v>67.828031835254706</v>
      </c>
      <c r="N144" s="15">
        <v>29.64597290464576</v>
      </c>
      <c r="O144" s="11">
        <v>0.23180123090430549</v>
      </c>
      <c r="P144" s="11">
        <v>0.23687963420114533</v>
      </c>
    </row>
    <row r="145" spans="1:16">
      <c r="A145">
        <v>15</v>
      </c>
      <c r="B145">
        <v>5.5</v>
      </c>
      <c r="C145" t="s">
        <v>19</v>
      </c>
      <c r="D145" s="3">
        <v>0.25</v>
      </c>
      <c r="E145" s="3">
        <v>0.75</v>
      </c>
      <c r="F145" t="s">
        <v>19</v>
      </c>
      <c r="G145" t="s">
        <v>16</v>
      </c>
      <c r="H145" t="s">
        <v>18</v>
      </c>
      <c r="I145" s="16">
        <v>10494565.128951022</v>
      </c>
      <c r="J145" s="16">
        <v>4241995.3999999994</v>
      </c>
      <c r="K145" s="16">
        <v>14736560.528951023</v>
      </c>
      <c r="L145" s="17">
        <v>135.80854064165726</v>
      </c>
      <c r="M145" s="17">
        <v>35.857577677440048</v>
      </c>
      <c r="N145" s="15">
        <v>23.869315768767084</v>
      </c>
      <c r="O145" s="11">
        <v>0.37107747306498606</v>
      </c>
      <c r="P145" s="11">
        <v>0.38557722361085178</v>
      </c>
    </row>
    <row r="146" spans="1:16">
      <c r="A146">
        <v>5</v>
      </c>
      <c r="B146">
        <v>2.8</v>
      </c>
      <c r="C146" t="s">
        <v>16</v>
      </c>
      <c r="D146" s="3" t="s">
        <v>16</v>
      </c>
      <c r="E146" s="3" t="s">
        <v>17</v>
      </c>
      <c r="F146" t="s">
        <v>19</v>
      </c>
      <c r="G146" t="s">
        <v>20</v>
      </c>
      <c r="H146" t="s">
        <v>18</v>
      </c>
      <c r="I146" s="16">
        <v>13744396.859214965</v>
      </c>
      <c r="J146" s="16">
        <v>2526392.5</v>
      </c>
      <c r="K146" s="16">
        <v>16270789.359214965</v>
      </c>
      <c r="L146" s="17">
        <v>149.94761861980297</v>
      </c>
      <c r="M146" s="17">
        <v>84.825046200238859</v>
      </c>
      <c r="N146" s="15">
        <v>25.956747483407714</v>
      </c>
      <c r="O146" s="11">
        <v>0.30560011347822824</v>
      </c>
      <c r="P146" s="11">
        <v>0.33184440604469057</v>
      </c>
    </row>
    <row r="147" spans="1:16">
      <c r="A147">
        <v>5</v>
      </c>
      <c r="B147">
        <v>2.8</v>
      </c>
      <c r="C147" t="s">
        <v>16</v>
      </c>
      <c r="D147" s="3" t="s">
        <v>16</v>
      </c>
      <c r="E147" s="3">
        <v>0.75</v>
      </c>
      <c r="F147" t="s">
        <v>19</v>
      </c>
      <c r="G147" t="s">
        <v>20</v>
      </c>
      <c r="H147" t="s">
        <v>18</v>
      </c>
      <c r="I147" s="16">
        <v>12909240.928532917</v>
      </c>
      <c r="J147" s="16">
        <v>1888326.4000000001</v>
      </c>
      <c r="K147" s="16">
        <v>14797567.328532917</v>
      </c>
      <c r="L147" s="17">
        <v>136.37076439829016</v>
      </c>
      <c r="M147" s="17">
        <v>55.018464458247216</v>
      </c>
      <c r="N147" s="15">
        <v>23.531077040699987</v>
      </c>
      <c r="O147" s="11">
        <v>0.36847384310140774</v>
      </c>
      <c r="P147" s="11">
        <v>0.3942838652420817</v>
      </c>
    </row>
    <row r="148" spans="1:16">
      <c r="A148">
        <v>5</v>
      </c>
      <c r="B148">
        <v>2.8</v>
      </c>
      <c r="C148" t="s">
        <v>16</v>
      </c>
      <c r="D148" s="3">
        <v>0.25</v>
      </c>
      <c r="E148" s="3" t="s">
        <v>17</v>
      </c>
      <c r="F148" t="s">
        <v>19</v>
      </c>
      <c r="G148" t="s">
        <v>20</v>
      </c>
      <c r="H148" t="s">
        <v>18</v>
      </c>
      <c r="I148" s="16">
        <v>13318036.894602846</v>
      </c>
      <c r="J148" s="16">
        <v>2560790.6999999997</v>
      </c>
      <c r="K148" s="16">
        <v>15878827.594602846</v>
      </c>
      <c r="L148" s="17">
        <v>146.33539478136231</v>
      </c>
      <c r="M148" s="17">
        <v>87.487254353398939</v>
      </c>
      <c r="N148" s="15">
        <v>25.349009538978109</v>
      </c>
      <c r="O148" s="11">
        <v>0.32232814054923076</v>
      </c>
      <c r="P148" s="11">
        <v>0.34748825770557801</v>
      </c>
    </row>
    <row r="149" spans="1:16">
      <c r="A149">
        <v>5</v>
      </c>
      <c r="B149">
        <v>2.8</v>
      </c>
      <c r="C149" t="s">
        <v>16</v>
      </c>
      <c r="D149" s="3">
        <v>0.25</v>
      </c>
      <c r="E149" s="3">
        <v>0.75</v>
      </c>
      <c r="F149" t="s">
        <v>19</v>
      </c>
      <c r="G149" t="s">
        <v>20</v>
      </c>
      <c r="H149" t="s">
        <v>18</v>
      </c>
      <c r="I149" s="16">
        <v>12496479.96279208</v>
      </c>
      <c r="J149" s="16">
        <v>1909158.7</v>
      </c>
      <c r="K149" s="16">
        <v>14405638.662792079</v>
      </c>
      <c r="L149" s="17">
        <v>132.7588455909588</v>
      </c>
      <c r="M149" s="17">
        <v>57.751958324346049</v>
      </c>
      <c r="N149" s="15">
        <v>22.920890551173315</v>
      </c>
      <c r="O149" s="11">
        <v>0.38520045758867183</v>
      </c>
      <c r="P149" s="11">
        <v>0.40999074518125023</v>
      </c>
    </row>
    <row r="150" spans="1:16">
      <c r="A150">
        <v>5</v>
      </c>
      <c r="B150">
        <v>2.8</v>
      </c>
      <c r="C150" t="s">
        <v>19</v>
      </c>
      <c r="D150" s="3" t="s">
        <v>16</v>
      </c>
      <c r="E150" s="3" t="s">
        <v>17</v>
      </c>
      <c r="F150" t="s">
        <v>19</v>
      </c>
      <c r="G150" t="s">
        <v>20</v>
      </c>
      <c r="H150" t="s">
        <v>18</v>
      </c>
      <c r="I150" s="16">
        <v>13679403.864609385</v>
      </c>
      <c r="J150" s="16">
        <v>2481915.1</v>
      </c>
      <c r="K150" s="16">
        <v>16161318.964609385</v>
      </c>
      <c r="L150" s="17">
        <v>148.93876621454581</v>
      </c>
      <c r="M150" s="17">
        <v>83.017969578539876</v>
      </c>
      <c r="N150" s="15">
        <v>25.777044717526039</v>
      </c>
      <c r="O150" s="11">
        <v>0.31027205826918913</v>
      </c>
      <c r="P150" s="11">
        <v>0.33647015541293612</v>
      </c>
    </row>
    <row r="151" spans="1:16">
      <c r="A151">
        <v>5</v>
      </c>
      <c r="B151">
        <v>2.8</v>
      </c>
      <c r="C151" t="s">
        <v>19</v>
      </c>
      <c r="D151" s="3" t="s">
        <v>16</v>
      </c>
      <c r="E151" s="3">
        <v>0.75</v>
      </c>
      <c r="F151" t="s">
        <v>19</v>
      </c>
      <c r="G151" t="s">
        <v>20</v>
      </c>
      <c r="H151" t="s">
        <v>18</v>
      </c>
      <c r="I151" s="16">
        <v>12830658.93505522</v>
      </c>
      <c r="J151" s="16">
        <v>1863743.7</v>
      </c>
      <c r="K151" s="16">
        <v>14694402.63505522</v>
      </c>
      <c r="L151" s="17">
        <v>135.42002379369487</v>
      </c>
      <c r="M151" s="17">
        <v>53.049280345022567</v>
      </c>
      <c r="N151" s="15">
        <v>23.36492017480094</v>
      </c>
      <c r="O151" s="11">
        <v>0.37287667506379163</v>
      </c>
      <c r="P151" s="11">
        <v>0.39856092805572951</v>
      </c>
    </row>
    <row r="152" spans="1:16">
      <c r="A152">
        <v>5</v>
      </c>
      <c r="B152">
        <v>2.8</v>
      </c>
      <c r="C152" t="s">
        <v>19</v>
      </c>
      <c r="D152" s="3">
        <v>0.25</v>
      </c>
      <c r="E152" s="3" t="s">
        <v>17</v>
      </c>
      <c r="F152" t="s">
        <v>19</v>
      </c>
      <c r="G152" t="s">
        <v>20</v>
      </c>
      <c r="H152" t="s">
        <v>18</v>
      </c>
      <c r="I152" s="16">
        <v>13244351.900718702</v>
      </c>
      <c r="J152" s="16">
        <v>2523726.1999999997</v>
      </c>
      <c r="K152" s="16">
        <v>15768078.100718701</v>
      </c>
      <c r="L152" s="17">
        <v>145.31475450972911</v>
      </c>
      <c r="M152" s="17">
        <v>85.589212841643899</v>
      </c>
      <c r="N152" s="15">
        <v>25.168669145310503</v>
      </c>
      <c r="O152" s="11">
        <v>0.32705467435700442</v>
      </c>
      <c r="P152" s="11">
        <v>0.35213042032329955</v>
      </c>
    </row>
    <row r="153" spans="1:16">
      <c r="A153">
        <v>5</v>
      </c>
      <c r="B153">
        <v>2.8</v>
      </c>
      <c r="C153" t="s">
        <v>19</v>
      </c>
      <c r="D153" s="3">
        <v>0.25</v>
      </c>
      <c r="E153" s="3">
        <v>0.75</v>
      </c>
      <c r="F153" t="s">
        <v>19</v>
      </c>
      <c r="G153" t="s">
        <v>20</v>
      </c>
      <c r="H153" t="s">
        <v>18</v>
      </c>
      <c r="I153" s="16">
        <v>12418092.969298197</v>
      </c>
      <c r="J153" s="16">
        <v>1883433.3</v>
      </c>
      <c r="K153" s="16">
        <v>14301526.269298198</v>
      </c>
      <c r="L153" s="17">
        <v>131.79937121460509</v>
      </c>
      <c r="M153" s="17">
        <v>55.754211322050715</v>
      </c>
      <c r="N153" s="15">
        <v>22.753038327196197</v>
      </c>
      <c r="O153" s="11">
        <v>0.38964373520917139</v>
      </c>
      <c r="P153" s="11">
        <v>0.4143114484003203</v>
      </c>
    </row>
    <row r="154" spans="1:16">
      <c r="A154">
        <v>5</v>
      </c>
      <c r="B154">
        <v>4</v>
      </c>
      <c r="C154" t="s">
        <v>16</v>
      </c>
      <c r="D154" s="3" t="s">
        <v>16</v>
      </c>
      <c r="E154" s="3" t="s">
        <v>17</v>
      </c>
      <c r="F154" t="s">
        <v>19</v>
      </c>
      <c r="G154" t="s">
        <v>20</v>
      </c>
      <c r="H154" t="s">
        <v>18</v>
      </c>
      <c r="I154" s="16">
        <v>13486254.880640753</v>
      </c>
      <c r="J154" s="16">
        <v>2403332.5</v>
      </c>
      <c r="K154" s="16">
        <v>15889587.380640753</v>
      </c>
      <c r="L154" s="17">
        <v>146.43455434010426</v>
      </c>
      <c r="M154" s="17">
        <v>77.765862367173781</v>
      </c>
      <c r="N154" s="15">
        <v>25.33684473810569</v>
      </c>
      <c r="O154" s="11">
        <v>0.32186893761575475</v>
      </c>
      <c r="P154" s="11">
        <v>0.34780139323064541</v>
      </c>
    </row>
    <row r="155" spans="1:16">
      <c r="A155">
        <v>5</v>
      </c>
      <c r="B155">
        <v>4</v>
      </c>
      <c r="C155" t="s">
        <v>16</v>
      </c>
      <c r="D155" s="3" t="s">
        <v>16</v>
      </c>
      <c r="E155" s="3">
        <v>0.75</v>
      </c>
      <c r="F155" t="s">
        <v>19</v>
      </c>
      <c r="G155" t="s">
        <v>20</v>
      </c>
      <c r="H155" t="s">
        <v>18</v>
      </c>
      <c r="I155" s="16">
        <v>12603050.953946685</v>
      </c>
      <c r="J155" s="16">
        <v>1768753.0999999999</v>
      </c>
      <c r="K155" s="16">
        <v>14371804.053946685</v>
      </c>
      <c r="L155" s="17">
        <v>132.44703410404861</v>
      </c>
      <c r="M155" s="17">
        <v>47.012509149565126</v>
      </c>
      <c r="N155" s="15">
        <v>22.842003724428697</v>
      </c>
      <c r="O155" s="11">
        <v>0.38664444091511341</v>
      </c>
      <c r="P155" s="11">
        <v>0.41202137997524713</v>
      </c>
    </row>
    <row r="156" spans="1:16">
      <c r="A156">
        <v>5</v>
      </c>
      <c r="B156">
        <v>4</v>
      </c>
      <c r="C156" t="s">
        <v>16</v>
      </c>
      <c r="D156" s="3">
        <v>0.25</v>
      </c>
      <c r="E156" s="3" t="s">
        <v>17</v>
      </c>
      <c r="F156" t="s">
        <v>19</v>
      </c>
      <c r="G156" t="s">
        <v>20</v>
      </c>
      <c r="H156" t="s">
        <v>18</v>
      </c>
      <c r="I156" s="16">
        <v>13051810.916699603</v>
      </c>
      <c r="J156" s="16">
        <v>2429556</v>
      </c>
      <c r="K156" s="16">
        <v>15481366.916699603</v>
      </c>
      <c r="L156" s="17">
        <v>142.67249430180749</v>
      </c>
      <c r="M156" s="17">
        <v>80.241682682946603</v>
      </c>
      <c r="N156" s="15">
        <v>24.702127918949802</v>
      </c>
      <c r="O156" s="11">
        <v>0.33929084859858349</v>
      </c>
      <c r="P156" s="11">
        <v>0.36413971117928734</v>
      </c>
    </row>
    <row r="157" spans="1:16">
      <c r="A157">
        <v>5</v>
      </c>
      <c r="B157">
        <v>4</v>
      </c>
      <c r="C157" t="s">
        <v>16</v>
      </c>
      <c r="D157" s="3">
        <v>0.25</v>
      </c>
      <c r="E157" s="3">
        <v>0.75</v>
      </c>
      <c r="F157" t="s">
        <v>19</v>
      </c>
      <c r="G157" t="s">
        <v>20</v>
      </c>
      <c r="H157" t="s">
        <v>18</v>
      </c>
      <c r="I157" s="16">
        <v>12180356.989030287</v>
      </c>
      <c r="J157" s="16">
        <v>1795972.8</v>
      </c>
      <c r="K157" s="16">
        <v>13976329.789030287</v>
      </c>
      <c r="L157" s="17">
        <v>128.80243992115817</v>
      </c>
      <c r="M157" s="17">
        <v>49.607970653553501</v>
      </c>
      <c r="N157" s="15">
        <v>22.227439715407019</v>
      </c>
      <c r="O157" s="11">
        <v>0.40352237342455843</v>
      </c>
      <c r="P157" s="11">
        <v>0.42784094214242219</v>
      </c>
    </row>
    <row r="158" spans="1:16">
      <c r="A158">
        <v>5</v>
      </c>
      <c r="B158">
        <v>4</v>
      </c>
      <c r="C158" t="s">
        <v>19</v>
      </c>
      <c r="D158" s="3" t="s">
        <v>16</v>
      </c>
      <c r="E158" s="3" t="s">
        <v>17</v>
      </c>
      <c r="F158" t="s">
        <v>19</v>
      </c>
      <c r="G158" t="s">
        <v>20</v>
      </c>
      <c r="H158" t="s">
        <v>18</v>
      </c>
      <c r="I158" s="16">
        <v>13416056.886467187</v>
      </c>
      <c r="J158" s="16">
        <v>2369930.5</v>
      </c>
      <c r="K158" s="16">
        <v>15785987.386467187</v>
      </c>
      <c r="L158" s="17">
        <v>145.47980211067085</v>
      </c>
      <c r="M158" s="17">
        <v>75.83941727911558</v>
      </c>
      <c r="N158" s="15">
        <v>25.168380365711844</v>
      </c>
      <c r="O158" s="11">
        <v>0.32629034721116801</v>
      </c>
      <c r="P158" s="11">
        <v>0.35213785383184626</v>
      </c>
    </row>
    <row r="159" spans="1:16">
      <c r="A159">
        <v>5</v>
      </c>
      <c r="B159">
        <v>4</v>
      </c>
      <c r="C159" t="s">
        <v>19</v>
      </c>
      <c r="D159" s="3" t="s">
        <v>16</v>
      </c>
      <c r="E159" s="3">
        <v>0.75</v>
      </c>
      <c r="F159" t="s">
        <v>19</v>
      </c>
      <c r="G159" t="s">
        <v>20</v>
      </c>
      <c r="H159" t="s">
        <v>18</v>
      </c>
      <c r="I159" s="16">
        <v>12528921.960099394</v>
      </c>
      <c r="J159" s="16">
        <v>1736904</v>
      </c>
      <c r="K159" s="16">
        <v>14265825.960099394</v>
      </c>
      <c r="L159" s="17">
        <v>131.4703658891616</v>
      </c>
      <c r="M159" s="17">
        <v>45.040433104576941</v>
      </c>
      <c r="N159" s="15">
        <v>22.670099857446051</v>
      </c>
      <c r="O159" s="11">
        <v>0.39116734233782002</v>
      </c>
      <c r="P159" s="11">
        <v>0.41644637699848452</v>
      </c>
    </row>
    <row r="160" spans="1:16">
      <c r="A160">
        <v>5</v>
      </c>
      <c r="B160">
        <v>4</v>
      </c>
      <c r="C160" t="s">
        <v>19</v>
      </c>
      <c r="D160" s="3">
        <v>0.25</v>
      </c>
      <c r="E160" s="3" t="s">
        <v>17</v>
      </c>
      <c r="F160" t="s">
        <v>19</v>
      </c>
      <c r="G160" t="s">
        <v>20</v>
      </c>
      <c r="H160" t="s">
        <v>18</v>
      </c>
      <c r="I160" s="16">
        <v>12983109.922401786</v>
      </c>
      <c r="J160" s="16">
        <v>2398498</v>
      </c>
      <c r="K160" s="16">
        <v>15381607.922401786</v>
      </c>
      <c r="L160" s="17">
        <v>141.7531397885987</v>
      </c>
      <c r="M160" s="17">
        <v>78.304760755259537</v>
      </c>
      <c r="N160" s="15">
        <v>24.540113192938012</v>
      </c>
      <c r="O160" s="11">
        <v>0.34354833314899935</v>
      </c>
      <c r="P160" s="11">
        <v>0.36831015069822592</v>
      </c>
    </row>
    <row r="161" spans="1:16">
      <c r="A161">
        <v>5</v>
      </c>
      <c r="B161">
        <v>4</v>
      </c>
      <c r="C161" t="s">
        <v>19</v>
      </c>
      <c r="D161" s="3">
        <v>0.25</v>
      </c>
      <c r="E161" s="3">
        <v>0.75</v>
      </c>
      <c r="F161" t="s">
        <v>19</v>
      </c>
      <c r="G161" t="s">
        <v>20</v>
      </c>
      <c r="H161" t="s">
        <v>18</v>
      </c>
      <c r="I161" s="16">
        <v>12103869.995378708</v>
      </c>
      <c r="J161" s="16">
        <v>1765207.8</v>
      </c>
      <c r="K161" s="16">
        <v>13869077.795378709</v>
      </c>
      <c r="L161" s="17">
        <v>127.81403175697943</v>
      </c>
      <c r="M161" s="17">
        <v>47.601545155751154</v>
      </c>
      <c r="N161" s="15">
        <v>22.053739873058326</v>
      </c>
      <c r="O161" s="11">
        <v>0.40809964196246817</v>
      </c>
      <c r="P161" s="11">
        <v>0.43231216957215401</v>
      </c>
    </row>
    <row r="162" spans="1:16">
      <c r="A162">
        <v>5</v>
      </c>
      <c r="B162">
        <v>5.5</v>
      </c>
      <c r="C162" t="s">
        <v>16</v>
      </c>
      <c r="D162" s="3" t="s">
        <v>16</v>
      </c>
      <c r="E162" s="3" t="s">
        <v>17</v>
      </c>
      <c r="F162" t="s">
        <v>19</v>
      </c>
      <c r="G162" t="s">
        <v>20</v>
      </c>
      <c r="H162" t="s">
        <v>18</v>
      </c>
      <c r="I162" s="16">
        <v>13356272.891429259</v>
      </c>
      <c r="J162" s="16">
        <v>2339341.3000000003</v>
      </c>
      <c r="K162" s="16">
        <v>15695614.191429259</v>
      </c>
      <c r="L162" s="17">
        <v>144.64694482982077</v>
      </c>
      <c r="M162" s="17">
        <v>74.117294865768088</v>
      </c>
      <c r="N162" s="15">
        <v>25.021156576125811</v>
      </c>
      <c r="O162" s="11">
        <v>0.33014726742526967</v>
      </c>
      <c r="P162" s="11">
        <v>0.35592755817127042</v>
      </c>
    </row>
    <row r="163" spans="1:16">
      <c r="A163">
        <v>5</v>
      </c>
      <c r="B163">
        <v>5.5</v>
      </c>
      <c r="C163" t="s">
        <v>16</v>
      </c>
      <c r="D163" s="3" t="s">
        <v>16</v>
      </c>
      <c r="E163" s="3">
        <v>0.75</v>
      </c>
      <c r="F163" t="s">
        <v>19</v>
      </c>
      <c r="G163" t="s">
        <v>20</v>
      </c>
      <c r="H163" t="s">
        <v>18</v>
      </c>
      <c r="I163" s="16">
        <v>12456566.966104856</v>
      </c>
      <c r="J163" s="16">
        <v>1708922.5</v>
      </c>
      <c r="K163" s="16">
        <v>14165489.466104856</v>
      </c>
      <c r="L163" s="17">
        <v>130.54568927987219</v>
      </c>
      <c r="M163" s="17">
        <v>43.032849213939329</v>
      </c>
      <c r="N163" s="15">
        <v>22.507747420544383</v>
      </c>
      <c r="O163" s="11">
        <v>0.39544947324773427</v>
      </c>
      <c r="P163" s="11">
        <v>0.42062550957191136</v>
      </c>
    </row>
    <row r="164" spans="1:16">
      <c r="A164">
        <v>5</v>
      </c>
      <c r="B164">
        <v>5.5</v>
      </c>
      <c r="C164" t="s">
        <v>16</v>
      </c>
      <c r="D164" s="3">
        <v>0.25</v>
      </c>
      <c r="E164" s="3" t="s">
        <v>17</v>
      </c>
      <c r="F164" t="s">
        <v>19</v>
      </c>
      <c r="G164" t="s">
        <v>20</v>
      </c>
      <c r="H164" t="s">
        <v>18</v>
      </c>
      <c r="I164" s="16">
        <v>12919089.927715447</v>
      </c>
      <c r="J164" s="16">
        <v>2365154.6</v>
      </c>
      <c r="K164" s="16">
        <v>15284244.527715446</v>
      </c>
      <c r="L164" s="17">
        <v>140.85586253599334</v>
      </c>
      <c r="M164" s="17">
        <v>76.486688852383054</v>
      </c>
      <c r="N164" s="15">
        <v>24.381430367470532</v>
      </c>
      <c r="O164" s="11">
        <v>0.3477035790150077</v>
      </c>
      <c r="P164" s="11">
        <v>0.37239482338568441</v>
      </c>
    </row>
    <row r="165" spans="1:16">
      <c r="A165">
        <v>5</v>
      </c>
      <c r="B165">
        <v>5.5</v>
      </c>
      <c r="C165" t="s">
        <v>16</v>
      </c>
      <c r="D165" s="3">
        <v>0.25</v>
      </c>
      <c r="E165" s="3">
        <v>0.75</v>
      </c>
      <c r="F165" t="s">
        <v>19</v>
      </c>
      <c r="G165" t="s">
        <v>20</v>
      </c>
      <c r="H165" t="s">
        <v>18</v>
      </c>
      <c r="I165" s="16">
        <v>12026932.001764564</v>
      </c>
      <c r="J165" s="16">
        <v>1732655.5</v>
      </c>
      <c r="K165" s="16">
        <v>13759587.501764564</v>
      </c>
      <c r="L165" s="17">
        <v>126.80499596732207</v>
      </c>
      <c r="M165" s="17">
        <v>45.547720059277331</v>
      </c>
      <c r="N165" s="15">
        <v>21.876203907977565</v>
      </c>
      <c r="O165" s="11">
        <v>0.41277243599737079</v>
      </c>
      <c r="P165" s="11">
        <v>0.43688214307414197</v>
      </c>
    </row>
    <row r="166" spans="1:16">
      <c r="A166">
        <v>5</v>
      </c>
      <c r="B166">
        <v>5.5</v>
      </c>
      <c r="C166" t="s">
        <v>19</v>
      </c>
      <c r="D166" s="3" t="s">
        <v>16</v>
      </c>
      <c r="E166" s="3" t="s">
        <v>17</v>
      </c>
      <c r="F166" t="s">
        <v>19</v>
      </c>
      <c r="G166" t="s">
        <v>20</v>
      </c>
      <c r="H166" t="s">
        <v>18</v>
      </c>
      <c r="I166" s="16">
        <v>13274972.89817716</v>
      </c>
      <c r="J166" s="16">
        <v>2312561.1</v>
      </c>
      <c r="K166" s="16">
        <v>15587533.99817716</v>
      </c>
      <c r="L166" s="17">
        <v>143.6509041805119</v>
      </c>
      <c r="M166" s="17">
        <v>72.056497810551548</v>
      </c>
      <c r="N166" s="15">
        <v>24.846893670165578</v>
      </c>
      <c r="O166" s="11">
        <v>0.33475988161826231</v>
      </c>
      <c r="P166" s="11">
        <v>0.360413279485571</v>
      </c>
    </row>
    <row r="167" spans="1:16">
      <c r="A167">
        <v>5</v>
      </c>
      <c r="B167">
        <v>5.5</v>
      </c>
      <c r="C167" t="s">
        <v>19</v>
      </c>
      <c r="D167" s="3" t="s">
        <v>16</v>
      </c>
      <c r="E167" s="3">
        <v>0.75</v>
      </c>
      <c r="F167" t="s">
        <v>19</v>
      </c>
      <c r="G167" t="s">
        <v>20</v>
      </c>
      <c r="H167" t="s">
        <v>18</v>
      </c>
      <c r="I167" s="16">
        <v>12382235.97227433</v>
      </c>
      <c r="J167" s="16">
        <v>1679476</v>
      </c>
      <c r="K167" s="16">
        <v>14061711.97227433</v>
      </c>
      <c r="L167" s="17">
        <v>129.58930125697606</v>
      </c>
      <c r="M167" s="17">
        <v>41.065800971886439</v>
      </c>
      <c r="N167" s="15">
        <v>22.339734021689665</v>
      </c>
      <c r="O167" s="11">
        <v>0.39987845812047007</v>
      </c>
      <c r="P167" s="11">
        <v>0.42495036161186683</v>
      </c>
    </row>
    <row r="168" spans="1:16">
      <c r="A168">
        <v>5</v>
      </c>
      <c r="B168">
        <v>5.5</v>
      </c>
      <c r="C168" t="s">
        <v>19</v>
      </c>
      <c r="D168" s="3">
        <v>0.25</v>
      </c>
      <c r="E168" s="3" t="s">
        <v>17</v>
      </c>
      <c r="F168" t="s">
        <v>19</v>
      </c>
      <c r="G168" t="s">
        <v>20</v>
      </c>
      <c r="H168" t="s">
        <v>18</v>
      </c>
      <c r="I168" s="16">
        <v>12848473.933576576</v>
      </c>
      <c r="J168" s="16">
        <v>2335356.5</v>
      </c>
      <c r="K168" s="16">
        <v>15183830.433576576</v>
      </c>
      <c r="L168" s="17">
        <v>139.93047078273702</v>
      </c>
      <c r="M168" s="17">
        <v>74.593815554816047</v>
      </c>
      <c r="N168" s="15">
        <v>24.218621529260993</v>
      </c>
      <c r="O168" s="11">
        <v>0.35198902172069479</v>
      </c>
      <c r="P168" s="11">
        <v>0.3765857042371703</v>
      </c>
    </row>
    <row r="169" spans="1:16">
      <c r="A169">
        <v>5</v>
      </c>
      <c r="B169">
        <v>5.5</v>
      </c>
      <c r="C169" t="s">
        <v>19</v>
      </c>
      <c r="D169" s="3">
        <v>0.25</v>
      </c>
      <c r="E169" s="3">
        <v>0.75</v>
      </c>
      <c r="F169" t="s">
        <v>19</v>
      </c>
      <c r="G169" t="s">
        <v>20</v>
      </c>
      <c r="H169" t="s">
        <v>18</v>
      </c>
      <c r="I169" s="16">
        <v>11950833.008080779</v>
      </c>
      <c r="J169" s="16">
        <v>1703384.8</v>
      </c>
      <c r="K169" s="16">
        <v>13654217.808080779</v>
      </c>
      <c r="L169" s="17">
        <v>125.83393461966635</v>
      </c>
      <c r="M169" s="17">
        <v>43.541488977055721</v>
      </c>
      <c r="N169" s="15">
        <v>21.705728446510498</v>
      </c>
      <c r="O169" s="11">
        <v>0.41726937229969074</v>
      </c>
      <c r="P169" s="11">
        <v>0.44127037134827929</v>
      </c>
    </row>
    <row r="170" spans="1:16">
      <c r="A170">
        <v>10</v>
      </c>
      <c r="B170">
        <v>2.8</v>
      </c>
      <c r="C170" t="s">
        <v>16</v>
      </c>
      <c r="D170" s="3" t="s">
        <v>16</v>
      </c>
      <c r="E170" s="3" t="s">
        <v>17</v>
      </c>
      <c r="F170" t="s">
        <v>19</v>
      </c>
      <c r="G170" t="s">
        <v>20</v>
      </c>
      <c r="H170" t="s">
        <v>18</v>
      </c>
      <c r="I170" s="16">
        <v>13553195.87508465</v>
      </c>
      <c r="J170" s="16">
        <v>2442067.1</v>
      </c>
      <c r="K170" s="16">
        <v>15995262.975084649</v>
      </c>
      <c r="L170" s="17">
        <v>147.40843479441179</v>
      </c>
      <c r="M170" s="17">
        <v>79.853105341804024</v>
      </c>
      <c r="N170" s="15">
        <v>25.509543787497439</v>
      </c>
      <c r="O170" s="11">
        <v>0.31735894617219862</v>
      </c>
      <c r="P170" s="11">
        <v>0.34335592732642828</v>
      </c>
    </row>
    <row r="171" spans="1:16">
      <c r="A171">
        <v>10</v>
      </c>
      <c r="B171">
        <v>2.8</v>
      </c>
      <c r="C171" t="s">
        <v>16</v>
      </c>
      <c r="D171" s="3" t="s">
        <v>16</v>
      </c>
      <c r="E171" s="3">
        <v>0.75</v>
      </c>
      <c r="F171" t="s">
        <v>19</v>
      </c>
      <c r="G171" t="s">
        <v>20</v>
      </c>
      <c r="H171" t="s">
        <v>18</v>
      </c>
      <c r="I171" s="16">
        <v>12684200.947211236</v>
      </c>
      <c r="J171" s="16">
        <v>1807546.3</v>
      </c>
      <c r="K171" s="16">
        <v>14491747.247211237</v>
      </c>
      <c r="L171" s="17">
        <v>133.55240126249495</v>
      </c>
      <c r="M171" s="17">
        <v>49.395463622936845</v>
      </c>
      <c r="N171" s="15">
        <v>23.037066314389637</v>
      </c>
      <c r="O171" s="11">
        <v>0.3815255411522821</v>
      </c>
      <c r="P171" s="11">
        <v>0.40700025162559061</v>
      </c>
    </row>
    <row r="172" spans="1:16">
      <c r="A172">
        <v>10</v>
      </c>
      <c r="B172">
        <v>2.8</v>
      </c>
      <c r="C172" t="s">
        <v>16</v>
      </c>
      <c r="D172" s="3">
        <v>0.25</v>
      </c>
      <c r="E172" s="3" t="s">
        <v>17</v>
      </c>
      <c r="F172" t="s">
        <v>19</v>
      </c>
      <c r="G172" t="s">
        <v>20</v>
      </c>
      <c r="H172" t="s">
        <v>18</v>
      </c>
      <c r="I172" s="16">
        <v>13120488.910999332</v>
      </c>
      <c r="J172" s="16">
        <v>2467616.6999999997</v>
      </c>
      <c r="K172" s="16">
        <v>15588105.610999331</v>
      </c>
      <c r="L172" s="17">
        <v>143.65617202459524</v>
      </c>
      <c r="M172" s="17">
        <v>82.356627177616204</v>
      </c>
      <c r="N172" s="15">
        <v>24.876368294028826</v>
      </c>
      <c r="O172" s="11">
        <v>0.33473548649703699</v>
      </c>
      <c r="P172" s="11">
        <v>0.3596545698349668</v>
      </c>
    </row>
    <row r="173" spans="1:16">
      <c r="A173">
        <v>10</v>
      </c>
      <c r="B173">
        <v>2.8</v>
      </c>
      <c r="C173" t="s">
        <v>16</v>
      </c>
      <c r="D173" s="3">
        <v>0.25</v>
      </c>
      <c r="E173" s="3">
        <v>0.75</v>
      </c>
      <c r="F173" t="s">
        <v>19</v>
      </c>
      <c r="G173" t="s">
        <v>20</v>
      </c>
      <c r="H173" t="s">
        <v>18</v>
      </c>
      <c r="I173" s="16">
        <v>12267189.981823148</v>
      </c>
      <c r="J173" s="16">
        <v>1831337.9000000001</v>
      </c>
      <c r="K173" s="16">
        <v>14098527.881823149</v>
      </c>
      <c r="L173" s="17">
        <v>129.92858768262457</v>
      </c>
      <c r="M173" s="17">
        <v>52.066415076797526</v>
      </c>
      <c r="N173" s="15">
        <v>22.425403157243963</v>
      </c>
      <c r="O173" s="11">
        <v>0.3983072397334273</v>
      </c>
      <c r="P173" s="11">
        <v>0.42274514263416141</v>
      </c>
    </row>
    <row r="174" spans="1:16">
      <c r="A174">
        <v>10</v>
      </c>
      <c r="B174">
        <v>2.8</v>
      </c>
      <c r="C174" t="s">
        <v>19</v>
      </c>
      <c r="D174" s="3" t="s">
        <v>16</v>
      </c>
      <c r="E174" s="3" t="s">
        <v>17</v>
      </c>
      <c r="F174" t="s">
        <v>19</v>
      </c>
      <c r="G174" t="s">
        <v>20</v>
      </c>
      <c r="H174" t="s">
        <v>18</v>
      </c>
      <c r="I174" s="16">
        <v>13480577.881111944</v>
      </c>
      <c r="J174" s="16">
        <v>2410921.1999999997</v>
      </c>
      <c r="K174" s="16">
        <v>15891499.081111943</v>
      </c>
      <c r="L174" s="17">
        <v>146.45217210448192</v>
      </c>
      <c r="M174" s="17">
        <v>77.980688883677331</v>
      </c>
      <c r="N174" s="15">
        <v>25.341238470144674</v>
      </c>
      <c r="O174" s="11">
        <v>0.321787350634266</v>
      </c>
      <c r="P174" s="11">
        <v>0.34768829367369725</v>
      </c>
    </row>
    <row r="175" spans="1:16">
      <c r="A175">
        <v>10</v>
      </c>
      <c r="B175">
        <v>2.8</v>
      </c>
      <c r="C175" t="s">
        <v>19</v>
      </c>
      <c r="D175" s="3" t="s">
        <v>16</v>
      </c>
      <c r="E175" s="3">
        <v>0.75</v>
      </c>
      <c r="F175" t="s">
        <v>19</v>
      </c>
      <c r="G175" t="s">
        <v>20</v>
      </c>
      <c r="H175" t="s">
        <v>18</v>
      </c>
      <c r="I175" s="16">
        <v>12606875.953629211</v>
      </c>
      <c r="J175" s="16">
        <v>1775902.3</v>
      </c>
      <c r="K175" s="16">
        <v>14382778.253629211</v>
      </c>
      <c r="L175" s="17">
        <v>132.54816964654282</v>
      </c>
      <c r="M175" s="17">
        <v>47.414079932020634</v>
      </c>
      <c r="N175" s="15">
        <v>22.860514472255513</v>
      </c>
      <c r="O175" s="11">
        <v>0.38617608730017972</v>
      </c>
      <c r="P175" s="11">
        <v>0.41154489270669814</v>
      </c>
    </row>
    <row r="176" spans="1:16">
      <c r="A176">
        <v>10</v>
      </c>
      <c r="B176">
        <v>2.8</v>
      </c>
      <c r="C176" t="s">
        <v>19</v>
      </c>
      <c r="D176" s="3">
        <v>0.25</v>
      </c>
      <c r="E176" s="3" t="s">
        <v>17</v>
      </c>
      <c r="F176" t="s">
        <v>19</v>
      </c>
      <c r="G176" t="s">
        <v>20</v>
      </c>
      <c r="H176" t="s">
        <v>18</v>
      </c>
      <c r="I176" s="16">
        <v>13054619.916466456</v>
      </c>
      <c r="J176" s="16">
        <v>2432632.5</v>
      </c>
      <c r="K176" s="16">
        <v>15487252.416466456</v>
      </c>
      <c r="L176" s="17">
        <v>142.72673362941131</v>
      </c>
      <c r="M176" s="17">
        <v>80.562063358711114</v>
      </c>
      <c r="N176" s="15">
        <v>24.711915650086276</v>
      </c>
      <c r="O176" s="11">
        <v>0.33903966899813509</v>
      </c>
      <c r="P176" s="11">
        <v>0.36388776407708801</v>
      </c>
    </row>
    <row r="177" spans="1:16">
      <c r="A177">
        <v>10</v>
      </c>
      <c r="B177">
        <v>2.8</v>
      </c>
      <c r="C177" t="s">
        <v>19</v>
      </c>
      <c r="D177" s="3">
        <v>0.25</v>
      </c>
      <c r="E177" s="3">
        <v>0.75</v>
      </c>
      <c r="F177" t="s">
        <v>19</v>
      </c>
      <c r="G177" t="s">
        <v>20</v>
      </c>
      <c r="H177" t="s">
        <v>18</v>
      </c>
      <c r="I177" s="16">
        <v>12187580.988430694</v>
      </c>
      <c r="J177" s="16">
        <v>1802272.3</v>
      </c>
      <c r="K177" s="16">
        <v>13989853.288430694</v>
      </c>
      <c r="L177" s="17">
        <v>128.92706918687654</v>
      </c>
      <c r="M177" s="17">
        <v>50.051154470937007</v>
      </c>
      <c r="N177" s="15">
        <v>22.249787783630801</v>
      </c>
      <c r="O177" s="11">
        <v>0.40294522155800194</v>
      </c>
      <c r="P177" s="11">
        <v>0.42726567797238868</v>
      </c>
    </row>
    <row r="178" spans="1:16">
      <c r="A178">
        <v>10</v>
      </c>
      <c r="B178">
        <v>4</v>
      </c>
      <c r="C178" t="s">
        <v>16</v>
      </c>
      <c r="D178" s="3" t="s">
        <v>16</v>
      </c>
      <c r="E178" s="3" t="s">
        <v>17</v>
      </c>
      <c r="F178" t="s">
        <v>19</v>
      </c>
      <c r="G178" t="s">
        <v>20</v>
      </c>
      <c r="H178" t="s">
        <v>18</v>
      </c>
      <c r="I178" s="16">
        <v>13289598.896963203</v>
      </c>
      <c r="J178" s="16">
        <v>2317190.5</v>
      </c>
      <c r="K178" s="16">
        <v>15606789.396963203</v>
      </c>
      <c r="L178" s="17">
        <v>143.82835723025633</v>
      </c>
      <c r="M178" s="17">
        <v>72.638426847174884</v>
      </c>
      <c r="N178" s="15">
        <v>24.877913957004271</v>
      </c>
      <c r="O178" s="11">
        <v>0.33393810546243075</v>
      </c>
      <c r="P178" s="11">
        <v>0.35961478274823433</v>
      </c>
    </row>
    <row r="179" spans="1:16">
      <c r="A179">
        <v>10</v>
      </c>
      <c r="B179">
        <v>4</v>
      </c>
      <c r="C179" t="s">
        <v>16</v>
      </c>
      <c r="D179" s="3" t="s">
        <v>16</v>
      </c>
      <c r="E179" s="3">
        <v>0.75</v>
      </c>
      <c r="F179" t="s">
        <v>19</v>
      </c>
      <c r="G179" t="s">
        <v>20</v>
      </c>
      <c r="H179" t="s">
        <v>18</v>
      </c>
      <c r="I179" s="16">
        <v>12384312.972101938</v>
      </c>
      <c r="J179" s="16">
        <v>1684603.5</v>
      </c>
      <c r="K179" s="16">
        <v>14068916.472101938</v>
      </c>
      <c r="L179" s="17">
        <v>129.65569616681398</v>
      </c>
      <c r="M179" s="17">
        <v>41.400735814042612</v>
      </c>
      <c r="N179" s="15">
        <v>22.35196623210183</v>
      </c>
      <c r="O179" s="11">
        <v>0.39957098662954904</v>
      </c>
      <c r="P179" s="11">
        <v>0.42463549089015762</v>
      </c>
    </row>
    <row r="180" spans="1:16">
      <c r="A180">
        <v>10</v>
      </c>
      <c r="B180">
        <v>4</v>
      </c>
      <c r="C180" t="s">
        <v>16</v>
      </c>
      <c r="D180" s="3">
        <v>0.25</v>
      </c>
      <c r="E180" s="3" t="s">
        <v>17</v>
      </c>
      <c r="F180" t="s">
        <v>19</v>
      </c>
      <c r="G180" t="s">
        <v>20</v>
      </c>
      <c r="H180" t="s">
        <v>18</v>
      </c>
      <c r="I180" s="16">
        <v>12844270.933925424</v>
      </c>
      <c r="J180" s="16">
        <v>2341831.8000000003</v>
      </c>
      <c r="K180" s="16">
        <v>15186102.733925425</v>
      </c>
      <c r="L180" s="17">
        <v>139.95141174746692</v>
      </c>
      <c r="M180" s="17">
        <v>74.859028109328605</v>
      </c>
      <c r="N180" s="15">
        <v>24.223374988913516</v>
      </c>
      <c r="O180" s="11">
        <v>0.35189204516537531</v>
      </c>
      <c r="P180" s="11">
        <v>0.37646334489074196</v>
      </c>
    </row>
    <row r="181" spans="1:16">
      <c r="A181">
        <v>10</v>
      </c>
      <c r="B181">
        <v>4</v>
      </c>
      <c r="C181" t="s">
        <v>16</v>
      </c>
      <c r="D181" s="3">
        <v>0.25</v>
      </c>
      <c r="E181" s="3">
        <v>0.75</v>
      </c>
      <c r="F181" t="s">
        <v>19</v>
      </c>
      <c r="G181" t="s">
        <v>20</v>
      </c>
      <c r="H181" t="s">
        <v>18</v>
      </c>
      <c r="I181" s="16">
        <v>11955086.007727779</v>
      </c>
      <c r="J181" s="16">
        <v>1707897</v>
      </c>
      <c r="K181" s="16">
        <v>13662983.007727779</v>
      </c>
      <c r="L181" s="17">
        <v>125.91471255764945</v>
      </c>
      <c r="M181" s="17">
        <v>43.907311594602284</v>
      </c>
      <c r="N181" s="15">
        <v>21.720292362618579</v>
      </c>
      <c r="O181" s="11">
        <v>0.41689529372821865</v>
      </c>
      <c r="P181" s="11">
        <v>0.4408954799246243</v>
      </c>
    </row>
    <row r="182" spans="1:16">
      <c r="A182">
        <v>10</v>
      </c>
      <c r="B182">
        <v>4</v>
      </c>
      <c r="C182" t="s">
        <v>19</v>
      </c>
      <c r="D182" s="3" t="s">
        <v>16</v>
      </c>
      <c r="E182" s="3" t="s">
        <v>17</v>
      </c>
      <c r="F182" t="s">
        <v>19</v>
      </c>
      <c r="G182" t="s">
        <v>20</v>
      </c>
      <c r="H182" t="s">
        <v>18</v>
      </c>
      <c r="I182" s="16">
        <v>13211457.903448904</v>
      </c>
      <c r="J182" s="16">
        <v>2289677.8000000003</v>
      </c>
      <c r="K182" s="16">
        <v>15501135.703448905</v>
      </c>
      <c r="L182" s="17">
        <v>142.85467860956402</v>
      </c>
      <c r="M182" s="17">
        <v>70.604151317431231</v>
      </c>
      <c r="N182" s="15">
        <v>24.707317585088894</v>
      </c>
      <c r="O182" s="11">
        <v>0.33844716222465754</v>
      </c>
      <c r="P182" s="11">
        <v>0.36400612339199578</v>
      </c>
    </row>
    <row r="183" spans="1:16">
      <c r="A183">
        <v>10</v>
      </c>
      <c r="B183">
        <v>4</v>
      </c>
      <c r="C183" t="s">
        <v>19</v>
      </c>
      <c r="D183" s="3" t="s">
        <v>16</v>
      </c>
      <c r="E183" s="3">
        <v>0.75</v>
      </c>
      <c r="F183" t="s">
        <v>19</v>
      </c>
      <c r="G183" t="s">
        <v>20</v>
      </c>
      <c r="H183" t="s">
        <v>18</v>
      </c>
      <c r="I183" s="16">
        <v>12307390.978486465</v>
      </c>
      <c r="J183" s="16">
        <v>1656329</v>
      </c>
      <c r="K183" s="16">
        <v>13963719.978486465</v>
      </c>
      <c r="L183" s="17">
        <v>128.68623098866269</v>
      </c>
      <c r="M183" s="17">
        <v>39.428252036378147</v>
      </c>
      <c r="N183" s="15">
        <v>22.181945734165666</v>
      </c>
      <c r="O183" s="11">
        <v>0.40406053115110618</v>
      </c>
      <c r="P183" s="11">
        <v>0.42901200789621663</v>
      </c>
    </row>
    <row r="184" spans="1:16">
      <c r="A184">
        <v>10</v>
      </c>
      <c r="B184">
        <v>4</v>
      </c>
      <c r="C184" t="s">
        <v>19</v>
      </c>
      <c r="D184" s="3">
        <v>0.25</v>
      </c>
      <c r="E184" s="3" t="s">
        <v>17</v>
      </c>
      <c r="F184" t="s">
        <v>19</v>
      </c>
      <c r="G184" t="s">
        <v>20</v>
      </c>
      <c r="H184" t="s">
        <v>18</v>
      </c>
      <c r="I184" s="16">
        <v>12780702.939201569</v>
      </c>
      <c r="J184" s="16">
        <v>2314114</v>
      </c>
      <c r="K184" s="16">
        <v>15094816.939201569</v>
      </c>
      <c r="L184" s="17">
        <v>139.11014417092454</v>
      </c>
      <c r="M184" s="17">
        <v>73.068136584726403</v>
      </c>
      <c r="N184" s="15">
        <v>24.075250691474043</v>
      </c>
      <c r="O184" s="11">
        <v>0.35578791303618607</v>
      </c>
      <c r="P184" s="11">
        <v>0.38027622930540717</v>
      </c>
    </row>
    <row r="185" spans="1:16">
      <c r="A185">
        <v>10</v>
      </c>
      <c r="B185">
        <v>4</v>
      </c>
      <c r="C185" t="s">
        <v>19</v>
      </c>
      <c r="D185" s="3">
        <v>0.25</v>
      </c>
      <c r="E185" s="3">
        <v>0.75</v>
      </c>
      <c r="F185" t="s">
        <v>19</v>
      </c>
      <c r="G185" t="s">
        <v>20</v>
      </c>
      <c r="H185" t="s">
        <v>18</v>
      </c>
      <c r="I185" s="16">
        <v>11878806.01405902</v>
      </c>
      <c r="J185" s="16">
        <v>1679593.2</v>
      </c>
      <c r="K185" s="16">
        <v>13558399.214059019</v>
      </c>
      <c r="L185" s="17">
        <v>124.95089387248076</v>
      </c>
      <c r="M185" s="17">
        <v>41.887725242070253</v>
      </c>
      <c r="N185" s="15">
        <v>21.551226368056657</v>
      </c>
      <c r="O185" s="11">
        <v>0.42135868962452616</v>
      </c>
      <c r="P185" s="11">
        <v>0.44524742695059027</v>
      </c>
    </row>
    <row r="186" spans="1:16">
      <c r="A186">
        <v>10</v>
      </c>
      <c r="B186">
        <v>5.5</v>
      </c>
      <c r="C186" t="s">
        <v>16</v>
      </c>
      <c r="D186" s="3" t="s">
        <v>16</v>
      </c>
      <c r="E186" s="3" t="s">
        <v>17</v>
      </c>
      <c r="F186" t="s">
        <v>19</v>
      </c>
      <c r="G186" t="s">
        <v>20</v>
      </c>
      <c r="H186" t="s">
        <v>18</v>
      </c>
      <c r="I186" s="16">
        <v>13155056.908130189</v>
      </c>
      <c r="J186" s="16">
        <v>2253257.9</v>
      </c>
      <c r="K186" s="16">
        <v>15408314.80813019</v>
      </c>
      <c r="L186" s="17">
        <v>141.999263921074</v>
      </c>
      <c r="M186" s="17">
        <v>68.966005634098721</v>
      </c>
      <c r="N186" s="15">
        <v>24.555184350077194</v>
      </c>
      <c r="O186" s="11">
        <v>0.34240854465996395</v>
      </c>
      <c r="P186" s="11">
        <v>0.36792220232540451</v>
      </c>
    </row>
    <row r="187" spans="1:16">
      <c r="A187">
        <v>10</v>
      </c>
      <c r="B187">
        <v>5.5</v>
      </c>
      <c r="C187" t="s">
        <v>16</v>
      </c>
      <c r="D187" s="3" t="s">
        <v>16</v>
      </c>
      <c r="E187" s="3">
        <v>0.75</v>
      </c>
      <c r="F187" t="s">
        <v>19</v>
      </c>
      <c r="G187" t="s">
        <v>20</v>
      </c>
      <c r="H187" t="s">
        <v>18</v>
      </c>
      <c r="I187" s="16">
        <v>12234396.984544966</v>
      </c>
      <c r="J187" s="16">
        <v>1626179.3</v>
      </c>
      <c r="K187" s="16">
        <v>13860576.284544967</v>
      </c>
      <c r="L187" s="17">
        <v>127.73568391066132</v>
      </c>
      <c r="M187" s="17">
        <v>37.459915791102837</v>
      </c>
      <c r="N187" s="15">
        <v>22.014795685555885</v>
      </c>
      <c r="O187" s="11">
        <v>0.40846246690155885</v>
      </c>
      <c r="P187" s="11">
        <v>0.43331463633916456</v>
      </c>
    </row>
    <row r="188" spans="1:16">
      <c r="A188">
        <v>10</v>
      </c>
      <c r="B188">
        <v>5.5</v>
      </c>
      <c r="C188" t="s">
        <v>16</v>
      </c>
      <c r="D188" s="3">
        <v>0.25</v>
      </c>
      <c r="E188" s="3" t="s">
        <v>17</v>
      </c>
      <c r="F188" t="s">
        <v>19</v>
      </c>
      <c r="G188" t="s">
        <v>20</v>
      </c>
      <c r="H188" t="s">
        <v>18</v>
      </c>
      <c r="I188" s="16">
        <v>12707492.945277998</v>
      </c>
      <c r="J188" s="16">
        <v>2279598.6</v>
      </c>
      <c r="K188" s="16">
        <v>14987091.545277998</v>
      </c>
      <c r="L188" s="17">
        <v>138.11737326552458</v>
      </c>
      <c r="M188" s="17">
        <v>71.098785058084999</v>
      </c>
      <c r="N188" s="15">
        <v>23.900117927719549</v>
      </c>
      <c r="O188" s="11">
        <v>0.36038538520945074</v>
      </c>
      <c r="P188" s="11">
        <v>0.38478434172828369</v>
      </c>
    </row>
    <row r="189" spans="1:16">
      <c r="A189">
        <v>10</v>
      </c>
      <c r="B189">
        <v>5.5</v>
      </c>
      <c r="C189" t="s">
        <v>16</v>
      </c>
      <c r="D189" s="3">
        <v>0.25</v>
      </c>
      <c r="E189" s="3">
        <v>0.75</v>
      </c>
      <c r="F189" t="s">
        <v>19</v>
      </c>
      <c r="G189" t="s">
        <v>20</v>
      </c>
      <c r="H189" t="s">
        <v>18</v>
      </c>
      <c r="I189" s="16">
        <v>11803970.020270407</v>
      </c>
      <c r="J189" s="16">
        <v>1650176</v>
      </c>
      <c r="K189" s="16">
        <v>13454146.020270407</v>
      </c>
      <c r="L189" s="17">
        <v>123.99012191501836</v>
      </c>
      <c r="M189" s="17">
        <v>39.854389387633525</v>
      </c>
      <c r="N189" s="15">
        <v>21.382473100758464</v>
      </c>
      <c r="O189" s="11">
        <v>0.42580797627793276</v>
      </c>
      <c r="P189" s="11">
        <v>0.44959132402843482</v>
      </c>
    </row>
    <row r="190" spans="1:16">
      <c r="A190">
        <v>10</v>
      </c>
      <c r="B190">
        <v>5.5</v>
      </c>
      <c r="C190" t="s">
        <v>19</v>
      </c>
      <c r="D190" s="3" t="s">
        <v>16</v>
      </c>
      <c r="E190" s="3" t="s">
        <v>17</v>
      </c>
      <c r="F190" t="s">
        <v>19</v>
      </c>
      <c r="G190" t="s">
        <v>20</v>
      </c>
      <c r="H190" t="s">
        <v>18</v>
      </c>
      <c r="I190" s="16">
        <v>13073608.914890373</v>
      </c>
      <c r="J190" s="16">
        <v>2227356.6999999997</v>
      </c>
      <c r="K190" s="16">
        <v>15300965.614890372</v>
      </c>
      <c r="L190" s="17">
        <v>141.00995998924287</v>
      </c>
      <c r="M190" s="17">
        <v>66.884581625808707</v>
      </c>
      <c r="N190" s="15">
        <v>24.382228699072122</v>
      </c>
      <c r="O190" s="11">
        <v>0.34698996145285699</v>
      </c>
      <c r="P190" s="11">
        <v>0.37237427344098217</v>
      </c>
    </row>
    <row r="191" spans="1:16">
      <c r="A191">
        <v>10</v>
      </c>
      <c r="B191">
        <v>5.5</v>
      </c>
      <c r="C191" t="s">
        <v>19</v>
      </c>
      <c r="D191" s="3" t="s">
        <v>16</v>
      </c>
      <c r="E191" s="3">
        <v>0.75</v>
      </c>
      <c r="F191" t="s">
        <v>19</v>
      </c>
      <c r="G191" t="s">
        <v>20</v>
      </c>
      <c r="H191" t="s">
        <v>18</v>
      </c>
      <c r="I191" s="16">
        <v>12160566.990672855</v>
      </c>
      <c r="J191" s="16">
        <v>1597260.2</v>
      </c>
      <c r="K191" s="16">
        <v>13757827.190672854</v>
      </c>
      <c r="L191" s="17">
        <v>126.78877337047047</v>
      </c>
      <c r="M191" s="17">
        <v>35.510346049801939</v>
      </c>
      <c r="N191" s="15">
        <v>21.848490666551431</v>
      </c>
      <c r="O191" s="11">
        <v>0.41284756202815764</v>
      </c>
      <c r="P191" s="11">
        <v>0.43759551277877629</v>
      </c>
    </row>
    <row r="192" spans="1:16">
      <c r="A192">
        <v>10</v>
      </c>
      <c r="B192">
        <v>5.5</v>
      </c>
      <c r="C192" t="s">
        <v>19</v>
      </c>
      <c r="D192" s="3">
        <v>0.25</v>
      </c>
      <c r="E192" s="3" t="s">
        <v>17</v>
      </c>
      <c r="F192" t="s">
        <v>19</v>
      </c>
      <c r="G192" t="s">
        <v>20</v>
      </c>
      <c r="H192" t="s">
        <v>18</v>
      </c>
      <c r="I192" s="16">
        <v>12642842.950643949</v>
      </c>
      <c r="J192" s="16">
        <v>2251324.1</v>
      </c>
      <c r="K192" s="16">
        <v>14894167.050643949</v>
      </c>
      <c r="L192" s="17">
        <v>137.26100383106117</v>
      </c>
      <c r="M192" s="17">
        <v>69.346830653959202</v>
      </c>
      <c r="N192" s="15">
        <v>23.749323706210316</v>
      </c>
      <c r="O192" s="11">
        <v>0.36435118902538122</v>
      </c>
      <c r="P192" s="11">
        <v>0.38866595296258544</v>
      </c>
    </row>
    <row r="193" spans="1:16">
      <c r="A193">
        <v>10</v>
      </c>
      <c r="B193">
        <v>5.5</v>
      </c>
      <c r="C193" t="s">
        <v>19</v>
      </c>
      <c r="D193" s="3">
        <v>0.25</v>
      </c>
      <c r="E193" s="3">
        <v>0.75</v>
      </c>
      <c r="F193" t="s">
        <v>19</v>
      </c>
      <c r="G193" t="s">
        <v>20</v>
      </c>
      <c r="H193" t="s">
        <v>18</v>
      </c>
      <c r="I193" s="16">
        <v>11727031.026656346</v>
      </c>
      <c r="J193" s="16">
        <v>1620202.0999999999</v>
      </c>
      <c r="K193" s="16">
        <v>13347233.126656346</v>
      </c>
      <c r="L193" s="17">
        <v>123.00483881391906</v>
      </c>
      <c r="M193" s="17">
        <v>37.84374615181563</v>
      </c>
      <c r="N193" s="15">
        <v>21.209450330818829</v>
      </c>
      <c r="O193" s="11">
        <v>0.43037077280576508</v>
      </c>
      <c r="P193" s="11">
        <v>0.45404512286015308</v>
      </c>
    </row>
    <row r="194" spans="1:16">
      <c r="A194">
        <v>15</v>
      </c>
      <c r="B194">
        <v>2.8</v>
      </c>
      <c r="C194" t="s">
        <v>16</v>
      </c>
      <c r="D194" s="3" t="s">
        <v>16</v>
      </c>
      <c r="E194" s="3" t="s">
        <v>17</v>
      </c>
      <c r="F194" t="s">
        <v>19</v>
      </c>
      <c r="G194" t="s">
        <v>20</v>
      </c>
      <c r="H194" t="s">
        <v>18</v>
      </c>
      <c r="I194" s="16">
        <v>13492899.880089218</v>
      </c>
      <c r="J194" s="16">
        <v>2407668.9</v>
      </c>
      <c r="K194" s="16">
        <v>15900568.780089218</v>
      </c>
      <c r="L194" s="17">
        <v>146.53575623388193</v>
      </c>
      <c r="M194" s="17">
        <v>78.266315074167807</v>
      </c>
      <c r="N194" s="15">
        <v>25.354848324102054</v>
      </c>
      <c r="O194" s="11">
        <v>0.32140027673136162</v>
      </c>
      <c r="P194" s="11">
        <v>0.34733796087254987</v>
      </c>
    </row>
    <row r="195" spans="1:16">
      <c r="A195">
        <v>15</v>
      </c>
      <c r="B195">
        <v>2.8</v>
      </c>
      <c r="C195" t="s">
        <v>16</v>
      </c>
      <c r="D195" s="3" t="s">
        <v>16</v>
      </c>
      <c r="E195" s="3">
        <v>0.75</v>
      </c>
      <c r="F195" t="s">
        <v>19</v>
      </c>
      <c r="G195" t="s">
        <v>20</v>
      </c>
      <c r="H195" t="s">
        <v>18</v>
      </c>
      <c r="I195" s="16">
        <v>12607473.953579577</v>
      </c>
      <c r="J195" s="16">
        <v>1775052.5999999999</v>
      </c>
      <c r="K195" s="16">
        <v>14382526.553579576</v>
      </c>
      <c r="L195" s="17">
        <v>132.54585004039367</v>
      </c>
      <c r="M195" s="17">
        <v>47.458644303472944</v>
      </c>
      <c r="N195" s="15">
        <v>22.859963526659005</v>
      </c>
      <c r="O195" s="11">
        <v>0.38618682927968939</v>
      </c>
      <c r="P195" s="11">
        <v>0.41155907466006147</v>
      </c>
    </row>
    <row r="196" spans="1:16">
      <c r="A196">
        <v>15</v>
      </c>
      <c r="B196">
        <v>2.8</v>
      </c>
      <c r="C196" t="s">
        <v>16</v>
      </c>
      <c r="D196" s="3">
        <v>0.25</v>
      </c>
      <c r="E196" s="3" t="s">
        <v>17</v>
      </c>
      <c r="F196" t="s">
        <v>19</v>
      </c>
      <c r="G196" t="s">
        <v>20</v>
      </c>
      <c r="H196" t="s">
        <v>18</v>
      </c>
      <c r="I196" s="16">
        <v>13050712.916790741</v>
      </c>
      <c r="J196" s="16">
        <v>2431460.5</v>
      </c>
      <c r="K196" s="16">
        <v>15482173.416790741</v>
      </c>
      <c r="L196" s="17">
        <v>142.67992680956192</v>
      </c>
      <c r="M196" s="17">
        <v>80.51612727732801</v>
      </c>
      <c r="N196" s="15">
        <v>24.703742473399945</v>
      </c>
      <c r="O196" s="11">
        <v>0.33925642902867803</v>
      </c>
      <c r="P196" s="11">
        <v>0.36409815074925667</v>
      </c>
    </row>
    <row r="197" spans="1:16">
      <c r="A197">
        <v>15</v>
      </c>
      <c r="B197">
        <v>2.8</v>
      </c>
      <c r="C197" t="s">
        <v>16</v>
      </c>
      <c r="D197" s="3">
        <v>0.25</v>
      </c>
      <c r="E197" s="3">
        <v>0.75</v>
      </c>
      <c r="F197" t="s">
        <v>19</v>
      </c>
      <c r="G197" t="s">
        <v>20</v>
      </c>
      <c r="H197" t="s">
        <v>18</v>
      </c>
      <c r="I197" s="16">
        <v>12188119.988385959</v>
      </c>
      <c r="J197" s="16">
        <v>1801627.7</v>
      </c>
      <c r="K197" s="16">
        <v>13989747.688385958</v>
      </c>
      <c r="L197" s="17">
        <v>128.92609600266988</v>
      </c>
      <c r="M197" s="17">
        <v>50.102293869321365</v>
      </c>
      <c r="N197" s="15">
        <v>22.249503532794101</v>
      </c>
      <c r="O197" s="11">
        <v>0.40294972832515763</v>
      </c>
      <c r="P197" s="11">
        <v>0.42727299490555792</v>
      </c>
    </row>
    <row r="198" spans="1:16">
      <c r="A198">
        <v>15</v>
      </c>
      <c r="B198">
        <v>2.8</v>
      </c>
      <c r="C198" t="s">
        <v>19</v>
      </c>
      <c r="D198" s="3" t="s">
        <v>16</v>
      </c>
      <c r="E198" s="3" t="s">
        <v>17</v>
      </c>
      <c r="F198" t="s">
        <v>19</v>
      </c>
      <c r="G198" t="s">
        <v>20</v>
      </c>
      <c r="H198" t="s">
        <v>18</v>
      </c>
      <c r="I198" s="16">
        <v>13422152.885961218</v>
      </c>
      <c r="J198" s="16">
        <v>2377577.8000000003</v>
      </c>
      <c r="K198" s="16">
        <v>15799730.685961219</v>
      </c>
      <c r="L198" s="17">
        <v>145.60645700033922</v>
      </c>
      <c r="M198" s="17">
        <v>76.400935379977412</v>
      </c>
      <c r="N198" s="15">
        <v>25.191321209915849</v>
      </c>
      <c r="O198" s="11">
        <v>0.32570381478189259</v>
      </c>
      <c r="P198" s="11">
        <v>0.3515473309477769</v>
      </c>
    </row>
    <row r="199" spans="1:16">
      <c r="A199">
        <v>15</v>
      </c>
      <c r="B199">
        <v>2.8</v>
      </c>
      <c r="C199" t="s">
        <v>19</v>
      </c>
      <c r="D199" s="3" t="s">
        <v>16</v>
      </c>
      <c r="E199" s="3">
        <v>0.75</v>
      </c>
      <c r="F199" t="s">
        <v>19</v>
      </c>
      <c r="G199" t="s">
        <v>20</v>
      </c>
      <c r="H199" t="s">
        <v>18</v>
      </c>
      <c r="I199" s="16">
        <v>12529555.96004677</v>
      </c>
      <c r="J199" s="16">
        <v>1748243.0999999999</v>
      </c>
      <c r="K199" s="16">
        <v>14277799.06004677</v>
      </c>
      <c r="L199" s="17">
        <v>131.58070705239405</v>
      </c>
      <c r="M199" s="17">
        <v>45.472265212218218</v>
      </c>
      <c r="N199" s="15">
        <v>22.690947822688543</v>
      </c>
      <c r="O199" s="11">
        <v>0.39065635795585674</v>
      </c>
      <c r="P199" s="11">
        <v>0.41590972715018359</v>
      </c>
    </row>
    <row r="200" spans="1:16">
      <c r="A200">
        <v>15</v>
      </c>
      <c r="B200">
        <v>2.8</v>
      </c>
      <c r="C200" t="s">
        <v>19</v>
      </c>
      <c r="D200" s="3">
        <v>0.25</v>
      </c>
      <c r="E200" s="3" t="s">
        <v>17</v>
      </c>
      <c r="F200" t="s">
        <v>19</v>
      </c>
      <c r="G200" t="s">
        <v>20</v>
      </c>
      <c r="H200" t="s">
        <v>18</v>
      </c>
      <c r="I200" s="16">
        <v>12987354.922049452</v>
      </c>
      <c r="J200" s="16">
        <v>2396417.6999999997</v>
      </c>
      <c r="K200" s="16">
        <v>15383772.622049451</v>
      </c>
      <c r="L200" s="17">
        <v>141.77308913156099</v>
      </c>
      <c r="M200" s="17">
        <v>78.746084123543994</v>
      </c>
      <c r="N200" s="15">
        <v>24.543121150512913</v>
      </c>
      <c r="O200" s="11">
        <v>0.34345594874425389</v>
      </c>
      <c r="P200" s="11">
        <v>0.3682327225196248</v>
      </c>
    </row>
    <row r="201" spans="1:16">
      <c r="A201">
        <v>15</v>
      </c>
      <c r="B201">
        <v>2.8</v>
      </c>
      <c r="C201" t="s">
        <v>19</v>
      </c>
      <c r="D201" s="3">
        <v>0.25</v>
      </c>
      <c r="E201" s="3">
        <v>0.75</v>
      </c>
      <c r="F201" t="s">
        <v>19</v>
      </c>
      <c r="G201" t="s">
        <v>20</v>
      </c>
      <c r="H201" t="s">
        <v>18</v>
      </c>
      <c r="I201" s="16">
        <v>12109846.994882619</v>
      </c>
      <c r="J201" s="16">
        <v>1771331.5</v>
      </c>
      <c r="K201" s="16">
        <v>13881178.494882619</v>
      </c>
      <c r="L201" s="17">
        <v>127.92554884654322</v>
      </c>
      <c r="M201" s="17">
        <v>48.080822765742695</v>
      </c>
      <c r="N201" s="15">
        <v>22.073826468739032</v>
      </c>
      <c r="O201" s="11">
        <v>0.40758321192475822</v>
      </c>
      <c r="P201" s="11">
        <v>0.43179511822447803</v>
      </c>
    </row>
    <row r="202" spans="1:16">
      <c r="A202">
        <v>15</v>
      </c>
      <c r="B202">
        <v>4</v>
      </c>
      <c r="C202" t="s">
        <v>16</v>
      </c>
      <c r="D202" s="3" t="s">
        <v>16</v>
      </c>
      <c r="E202" s="3" t="s">
        <v>17</v>
      </c>
      <c r="F202" t="s">
        <v>19</v>
      </c>
      <c r="G202" t="s">
        <v>20</v>
      </c>
      <c r="H202" t="s">
        <v>18</v>
      </c>
      <c r="I202" s="16">
        <v>13215793.903089017</v>
      </c>
      <c r="J202" s="16">
        <v>2288359.3000000003</v>
      </c>
      <c r="K202" s="16">
        <v>15504153.203089017</v>
      </c>
      <c r="L202" s="17">
        <v>142.88248714885682</v>
      </c>
      <c r="M202" s="17">
        <v>70.752852234534913</v>
      </c>
      <c r="N202" s="15">
        <v>24.711802017292744</v>
      </c>
      <c r="O202" s="11">
        <v>0.33831838227665301</v>
      </c>
      <c r="P202" s="11">
        <v>0.36389068911177125</v>
      </c>
    </row>
    <row r="203" spans="1:16">
      <c r="A203">
        <v>15</v>
      </c>
      <c r="B203">
        <v>4</v>
      </c>
      <c r="C203" t="s">
        <v>16</v>
      </c>
      <c r="D203" s="3" t="s">
        <v>16</v>
      </c>
      <c r="E203" s="3">
        <v>0.75</v>
      </c>
      <c r="F203" t="s">
        <v>19</v>
      </c>
      <c r="G203" t="s">
        <v>20</v>
      </c>
      <c r="H203" t="s">
        <v>18</v>
      </c>
      <c r="I203" s="16">
        <v>12306424.978566643</v>
      </c>
      <c r="J203" s="16">
        <v>1657149.4000000001</v>
      </c>
      <c r="K203" s="16">
        <v>13963574.378566643</v>
      </c>
      <c r="L203" s="17">
        <v>128.68488917538207</v>
      </c>
      <c r="M203" s="17">
        <v>39.477433777873081</v>
      </c>
      <c r="N203" s="15">
        <v>22.181868838026308</v>
      </c>
      <c r="O203" s="11">
        <v>0.40406674502097872</v>
      </c>
      <c r="P203" s="11">
        <v>0.42901398728849982</v>
      </c>
    </row>
    <row r="204" spans="1:16">
      <c r="A204">
        <v>15</v>
      </c>
      <c r="B204">
        <v>4</v>
      </c>
      <c r="C204" t="s">
        <v>16</v>
      </c>
      <c r="D204" s="3">
        <v>0.25</v>
      </c>
      <c r="E204" s="3" t="s">
        <v>17</v>
      </c>
      <c r="F204" t="s">
        <v>19</v>
      </c>
      <c r="G204" t="s">
        <v>20</v>
      </c>
      <c r="H204" t="s">
        <v>18</v>
      </c>
      <c r="I204" s="16">
        <v>12780383.939228047</v>
      </c>
      <c r="J204" s="16">
        <v>2312033.6999999997</v>
      </c>
      <c r="K204" s="16">
        <v>15092417.639228046</v>
      </c>
      <c r="L204" s="17">
        <v>139.08803280868872</v>
      </c>
      <c r="M204" s="17">
        <v>73.149083671941469</v>
      </c>
      <c r="N204" s="15">
        <v>24.071108329165263</v>
      </c>
      <c r="O204" s="11">
        <v>0.35589030964353952</v>
      </c>
      <c r="P204" s="11">
        <v>0.38038285832549412</v>
      </c>
    </row>
    <row r="205" spans="1:16">
      <c r="A205">
        <v>15</v>
      </c>
      <c r="B205">
        <v>4</v>
      </c>
      <c r="C205" t="s">
        <v>16</v>
      </c>
      <c r="D205" s="3">
        <v>0.25</v>
      </c>
      <c r="E205" s="3">
        <v>0.75</v>
      </c>
      <c r="F205" t="s">
        <v>19</v>
      </c>
      <c r="G205" t="s">
        <v>20</v>
      </c>
      <c r="H205" t="s">
        <v>18</v>
      </c>
      <c r="I205" s="16">
        <v>11877654.014154635</v>
      </c>
      <c r="J205" s="16">
        <v>1680325.7</v>
      </c>
      <c r="K205" s="16">
        <v>13557979.714154635</v>
      </c>
      <c r="L205" s="17">
        <v>124.9470278638757</v>
      </c>
      <c r="M205" s="17">
        <v>41.941905084120101</v>
      </c>
      <c r="N205" s="15">
        <v>21.550704157413758</v>
      </c>
      <c r="O205" s="11">
        <v>0.42137659291609797</v>
      </c>
      <c r="P205" s="11">
        <v>0.44526086923423913</v>
      </c>
    </row>
    <row r="206" spans="1:16">
      <c r="A206">
        <v>15</v>
      </c>
      <c r="B206">
        <v>4</v>
      </c>
      <c r="C206" t="s">
        <v>19</v>
      </c>
      <c r="D206" s="3" t="s">
        <v>16</v>
      </c>
      <c r="E206" s="3" t="s">
        <v>17</v>
      </c>
      <c r="F206" t="s">
        <v>19</v>
      </c>
      <c r="G206" t="s">
        <v>20</v>
      </c>
      <c r="H206" t="s">
        <v>18</v>
      </c>
      <c r="I206" s="16">
        <v>13147368.908768291</v>
      </c>
      <c r="J206" s="16">
        <v>2254840.1</v>
      </c>
      <c r="K206" s="16">
        <v>15402209.00876829</v>
      </c>
      <c r="L206" s="17">
        <v>141.94299436623714</v>
      </c>
      <c r="M206" s="17">
        <v>68.942964687564384</v>
      </c>
      <c r="N206" s="15">
        <v>24.545910149126044</v>
      </c>
      <c r="O206" s="11">
        <v>0.34266912614070377</v>
      </c>
      <c r="P206" s="11">
        <v>0.36816093058860233</v>
      </c>
    </row>
    <row r="207" spans="1:16">
      <c r="A207">
        <v>15</v>
      </c>
      <c r="B207">
        <v>4</v>
      </c>
      <c r="C207" t="s">
        <v>19</v>
      </c>
      <c r="D207" s="3" t="s">
        <v>16</v>
      </c>
      <c r="E207" s="3">
        <v>0.75</v>
      </c>
      <c r="F207" t="s">
        <v>19</v>
      </c>
      <c r="G207" t="s">
        <v>20</v>
      </c>
      <c r="H207" t="s">
        <v>18</v>
      </c>
      <c r="I207" s="16">
        <v>12230067.984904274</v>
      </c>
      <c r="J207" s="16">
        <v>1627380.5999999999</v>
      </c>
      <c r="K207" s="16">
        <v>13857448.584904274</v>
      </c>
      <c r="L207" s="17">
        <v>127.70685979509287</v>
      </c>
      <c r="M207" s="17">
        <v>37.507590811847024</v>
      </c>
      <c r="N207" s="15">
        <v>22.010117003653981</v>
      </c>
      <c r="O207" s="11">
        <v>0.40859594993226023</v>
      </c>
      <c r="P207" s="11">
        <v>0.43343507082299548</v>
      </c>
    </row>
    <row r="208" spans="1:16">
      <c r="A208">
        <v>15</v>
      </c>
      <c r="B208">
        <v>4</v>
      </c>
      <c r="C208" t="s">
        <v>19</v>
      </c>
      <c r="D208" s="3">
        <v>0.25</v>
      </c>
      <c r="E208" s="3" t="s">
        <v>17</v>
      </c>
      <c r="F208" t="s">
        <v>19</v>
      </c>
      <c r="G208" t="s">
        <v>20</v>
      </c>
      <c r="H208" t="s">
        <v>18</v>
      </c>
      <c r="I208" s="16">
        <v>12702498.945692502</v>
      </c>
      <c r="J208" s="16">
        <v>2283524.8000000003</v>
      </c>
      <c r="K208" s="16">
        <v>14986023.745692503</v>
      </c>
      <c r="L208" s="17">
        <v>138.10753268548427</v>
      </c>
      <c r="M208" s="17">
        <v>71.167789088166444</v>
      </c>
      <c r="N208" s="15">
        <v>23.899168687107672</v>
      </c>
      <c r="O208" s="11">
        <v>0.36043095644109946</v>
      </c>
      <c r="P208" s="11">
        <v>0.38480877623901122</v>
      </c>
    </row>
    <row r="209" spans="1:16">
      <c r="A209">
        <v>15</v>
      </c>
      <c r="B209">
        <v>4</v>
      </c>
      <c r="C209" t="s">
        <v>19</v>
      </c>
      <c r="D209" s="3">
        <v>0.25</v>
      </c>
      <c r="E209" s="3">
        <v>0.75</v>
      </c>
      <c r="F209" t="s">
        <v>19</v>
      </c>
      <c r="G209" t="s">
        <v>20</v>
      </c>
      <c r="H209" t="s">
        <v>18</v>
      </c>
      <c r="I209" s="16">
        <v>11801436.02048073</v>
      </c>
      <c r="J209" s="16">
        <v>1651435.9000000001</v>
      </c>
      <c r="K209" s="16">
        <v>13452871.92048073</v>
      </c>
      <c r="L209" s="17">
        <v>123.97838012271018</v>
      </c>
      <c r="M209" s="17">
        <v>39.92038807686265</v>
      </c>
      <c r="N209" s="15">
        <v>21.380709214676408</v>
      </c>
      <c r="O209" s="11">
        <v>0.42586235192805255</v>
      </c>
      <c r="P209" s="11">
        <v>0.44963672842101432</v>
      </c>
    </row>
    <row r="210" spans="1:16">
      <c r="A210">
        <v>15</v>
      </c>
      <c r="B210">
        <v>5.5</v>
      </c>
      <c r="C210" t="s">
        <v>16</v>
      </c>
      <c r="D210" s="3" t="s">
        <v>16</v>
      </c>
      <c r="E210" s="3" t="s">
        <v>17</v>
      </c>
      <c r="F210" t="s">
        <v>19</v>
      </c>
      <c r="G210" t="s">
        <v>20</v>
      </c>
      <c r="H210" t="s">
        <v>18</v>
      </c>
      <c r="I210" s="16">
        <v>13077216.914590908</v>
      </c>
      <c r="J210" s="16">
        <v>2228323.6</v>
      </c>
      <c r="K210" s="16">
        <v>15305540.514590908</v>
      </c>
      <c r="L210" s="17">
        <v>141.0521211469086</v>
      </c>
      <c r="M210" s="17">
        <v>67.014856266204291</v>
      </c>
      <c r="N210" s="15">
        <v>24.389574310157641</v>
      </c>
      <c r="O210" s="11">
        <v>0.34679471525042849</v>
      </c>
      <c r="P210" s="11">
        <v>0.37218518922921995</v>
      </c>
    </row>
    <row r="211" spans="1:16">
      <c r="A211">
        <v>15</v>
      </c>
      <c r="B211">
        <v>5.5</v>
      </c>
      <c r="C211" t="s">
        <v>16</v>
      </c>
      <c r="D211" s="3" t="s">
        <v>16</v>
      </c>
      <c r="E211" s="3">
        <v>0.75</v>
      </c>
      <c r="F211" t="s">
        <v>19</v>
      </c>
      <c r="G211" t="s">
        <v>20</v>
      </c>
      <c r="H211" t="s">
        <v>18</v>
      </c>
      <c r="I211" s="16">
        <v>12158815.990818189</v>
      </c>
      <c r="J211" s="16">
        <v>1598959.5999999999</v>
      </c>
      <c r="K211" s="16">
        <v>13757775.590818189</v>
      </c>
      <c r="L211" s="17">
        <v>126.7882978388194</v>
      </c>
      <c r="M211" s="17">
        <v>35.561110118106811</v>
      </c>
      <c r="N211" s="15">
        <v>21.848723051273055</v>
      </c>
      <c r="O211" s="11">
        <v>0.4128497641913369</v>
      </c>
      <c r="P211" s="11">
        <v>0.43758953093718378</v>
      </c>
    </row>
    <row r="212" spans="1:16">
      <c r="A212">
        <v>15</v>
      </c>
      <c r="B212">
        <v>5.5</v>
      </c>
      <c r="C212" t="s">
        <v>16</v>
      </c>
      <c r="D212" s="3">
        <v>0.25</v>
      </c>
      <c r="E212" s="3" t="s">
        <v>17</v>
      </c>
      <c r="F212" t="s">
        <v>19</v>
      </c>
      <c r="G212" t="s">
        <v>20</v>
      </c>
      <c r="H212" t="s">
        <v>18</v>
      </c>
      <c r="I212" s="16">
        <v>12644378.95051646</v>
      </c>
      <c r="J212" s="16">
        <v>2250708.8000000003</v>
      </c>
      <c r="K212" s="16">
        <v>14895087.750516461</v>
      </c>
      <c r="L212" s="17">
        <v>137.26948877609357</v>
      </c>
      <c r="M212" s="17">
        <v>69.381109901146985</v>
      </c>
      <c r="N212" s="15">
        <v>23.75065273777706</v>
      </c>
      <c r="O212" s="11">
        <v>0.36431189567132949</v>
      </c>
      <c r="P212" s="11">
        <v>0.38863174220962304</v>
      </c>
    </row>
    <row r="213" spans="1:16">
      <c r="A213">
        <v>15</v>
      </c>
      <c r="B213">
        <v>5.5</v>
      </c>
      <c r="C213" t="s">
        <v>16</v>
      </c>
      <c r="D213" s="3">
        <v>0.25</v>
      </c>
      <c r="E213" s="3">
        <v>0.75</v>
      </c>
      <c r="F213" t="s">
        <v>19</v>
      </c>
      <c r="G213" t="s">
        <v>20</v>
      </c>
      <c r="H213" t="s">
        <v>18</v>
      </c>
      <c r="I213" s="16">
        <v>11725876.026752209</v>
      </c>
      <c r="J213" s="16">
        <v>1621462</v>
      </c>
      <c r="K213" s="16">
        <v>13347338.026752209</v>
      </c>
      <c r="L213" s="17">
        <v>123.00580554756796</v>
      </c>
      <c r="M213" s="17">
        <v>37.899408412668635</v>
      </c>
      <c r="N213" s="15">
        <v>21.209846894149472</v>
      </c>
      <c r="O213" s="11">
        <v>0.43036629591081832</v>
      </c>
      <c r="P213" s="11">
        <v>0.45403491487828274</v>
      </c>
    </row>
    <row r="214" spans="1:16">
      <c r="A214">
        <v>15</v>
      </c>
      <c r="B214">
        <v>5.5</v>
      </c>
      <c r="C214" t="s">
        <v>19</v>
      </c>
      <c r="D214" s="3" t="s">
        <v>16</v>
      </c>
      <c r="E214" s="3" t="s">
        <v>17</v>
      </c>
      <c r="F214" t="s">
        <v>19</v>
      </c>
      <c r="G214" t="s">
        <v>20</v>
      </c>
      <c r="H214" t="s">
        <v>18</v>
      </c>
      <c r="I214" s="16">
        <v>13013877.919848043</v>
      </c>
      <c r="J214" s="16">
        <v>2180593.9</v>
      </c>
      <c r="K214" s="16">
        <v>15194471.819848044</v>
      </c>
      <c r="L214" s="17">
        <v>140.02853919816496</v>
      </c>
      <c r="M214" s="17">
        <v>65.251863377438568</v>
      </c>
      <c r="N214" s="15">
        <v>24.206768073842646</v>
      </c>
      <c r="O214" s="11">
        <v>0.35153487181707277</v>
      </c>
      <c r="P214" s="11">
        <v>0.3768908253834361</v>
      </c>
    </row>
    <row r="215" spans="1:16">
      <c r="A215">
        <v>15</v>
      </c>
      <c r="B215">
        <v>5.5</v>
      </c>
      <c r="C215" t="s">
        <v>19</v>
      </c>
      <c r="D215" s="3" t="s">
        <v>16</v>
      </c>
      <c r="E215" s="3">
        <v>0.75</v>
      </c>
      <c r="F215" t="s">
        <v>19</v>
      </c>
      <c r="G215" t="s">
        <v>20</v>
      </c>
      <c r="H215" t="s">
        <v>18</v>
      </c>
      <c r="I215" s="16">
        <v>12083482.997070828</v>
      </c>
      <c r="J215" s="16">
        <v>1557675.9000000001</v>
      </c>
      <c r="K215" s="16">
        <v>13641158.897070829</v>
      </c>
      <c r="L215" s="17">
        <v>125.71358688702233</v>
      </c>
      <c r="M215" s="17">
        <v>33.624306999941304</v>
      </c>
      <c r="N215" s="15">
        <v>21.658412979654621</v>
      </c>
      <c r="O215" s="11">
        <v>0.41782669660173954</v>
      </c>
      <c r="P215" s="11">
        <v>0.44248832417078032</v>
      </c>
    </row>
    <row r="216" spans="1:16">
      <c r="A216">
        <v>15</v>
      </c>
      <c r="B216">
        <v>5.5</v>
      </c>
      <c r="C216" t="s">
        <v>19</v>
      </c>
      <c r="D216" s="3">
        <v>0.25</v>
      </c>
      <c r="E216" s="3" t="s">
        <v>17</v>
      </c>
      <c r="F216" t="s">
        <v>19</v>
      </c>
      <c r="G216" t="s">
        <v>20</v>
      </c>
      <c r="H216" t="s">
        <v>18</v>
      </c>
      <c r="I216" s="16">
        <v>12570956.956610488</v>
      </c>
      <c r="J216" s="16">
        <v>2219445.6999999997</v>
      </c>
      <c r="K216" s="16">
        <v>14790402.656610487</v>
      </c>
      <c r="L216" s="17">
        <v>136.3047365326936</v>
      </c>
      <c r="M216" s="17">
        <v>67.465122751202884</v>
      </c>
      <c r="N216" s="15">
        <v>23.580882594603182</v>
      </c>
      <c r="O216" s="11">
        <v>0.36877961482889199</v>
      </c>
      <c r="P216" s="11">
        <v>0.39300181480522578</v>
      </c>
    </row>
    <row r="217" spans="1:16">
      <c r="A217">
        <v>15</v>
      </c>
      <c r="B217">
        <v>5.5</v>
      </c>
      <c r="C217" t="s">
        <v>19</v>
      </c>
      <c r="D217" s="3">
        <v>0.25</v>
      </c>
      <c r="E217" s="3">
        <v>0.75</v>
      </c>
      <c r="F217" t="s">
        <v>19</v>
      </c>
      <c r="G217" t="s">
        <v>20</v>
      </c>
      <c r="H217" t="s">
        <v>18</v>
      </c>
      <c r="I217" s="16">
        <v>11649227.033114078</v>
      </c>
      <c r="J217" s="16">
        <v>1593128.9000000001</v>
      </c>
      <c r="K217" s="16">
        <v>13242355.933114078</v>
      </c>
      <c r="L217" s="17">
        <v>122.03831622721464</v>
      </c>
      <c r="M217" s="17">
        <v>35.895739835809863</v>
      </c>
      <c r="N217" s="15">
        <v>21.040151491173368</v>
      </c>
      <c r="O217" s="11">
        <v>0.43484669033420564</v>
      </c>
      <c r="P217" s="11">
        <v>0.45840306357794014</v>
      </c>
    </row>
    <row r="218" spans="1:16">
      <c r="A218">
        <v>5</v>
      </c>
      <c r="B218">
        <v>2.8</v>
      </c>
      <c r="C218" t="s">
        <v>16</v>
      </c>
      <c r="D218" s="3" t="s">
        <v>16</v>
      </c>
      <c r="E218" s="3" t="s">
        <v>17</v>
      </c>
      <c r="F218" t="s">
        <v>16</v>
      </c>
      <c r="G218" t="s">
        <v>16</v>
      </c>
      <c r="H218" t="s">
        <v>21</v>
      </c>
      <c r="I218" s="16">
        <v>11627263.018337088</v>
      </c>
      <c r="J218" s="16">
        <v>11604177.1</v>
      </c>
      <c r="K218" s="16">
        <v>23231440.118337087</v>
      </c>
      <c r="L218" s="17">
        <v>214.0952750322663</v>
      </c>
      <c r="M218" s="17">
        <v>100.94387728636197</v>
      </c>
      <c r="N218" s="15">
        <v>38.535021963989358</v>
      </c>
      <c r="O218" s="11">
        <v>8.5355402395212998E-3</v>
      </c>
      <c r="P218" s="11">
        <v>8.0656097267709503E-3</v>
      </c>
    </row>
    <row r="219" spans="1:16">
      <c r="A219">
        <v>5</v>
      </c>
      <c r="B219">
        <v>2.8</v>
      </c>
      <c r="C219" t="s">
        <v>16</v>
      </c>
      <c r="D219" s="3" t="s">
        <v>16</v>
      </c>
      <c r="E219" s="3">
        <v>0.75</v>
      </c>
      <c r="F219" t="s">
        <v>16</v>
      </c>
      <c r="G219" t="s">
        <v>16</v>
      </c>
      <c r="H219" t="s">
        <v>21</v>
      </c>
      <c r="I219" s="16">
        <v>11988437.988359561</v>
      </c>
      <c r="J219" s="16">
        <v>7677596.1999999993</v>
      </c>
      <c r="K219" s="16">
        <v>19666034.188359559</v>
      </c>
      <c r="L219" s="17">
        <v>181.23736526464523</v>
      </c>
      <c r="M219" s="17">
        <v>65.586922429549105</v>
      </c>
      <c r="N219" s="15">
        <v>32.225449102883104</v>
      </c>
      <c r="O219" s="11">
        <v>0.1606988691672766</v>
      </c>
      <c r="P219" s="11">
        <v>0.1704810435291606</v>
      </c>
    </row>
    <row r="220" spans="1:16">
      <c r="A220">
        <v>5</v>
      </c>
      <c r="B220">
        <v>2.8</v>
      </c>
      <c r="C220" t="s">
        <v>16</v>
      </c>
      <c r="D220" s="3">
        <v>0.25</v>
      </c>
      <c r="E220" s="3" t="s">
        <v>17</v>
      </c>
      <c r="F220" t="s">
        <v>16</v>
      </c>
      <c r="G220" t="s">
        <v>16</v>
      </c>
      <c r="H220" t="s">
        <v>21</v>
      </c>
      <c r="I220" s="16">
        <v>11103698.061792981</v>
      </c>
      <c r="J220" s="16">
        <v>11891141.299999999</v>
      </c>
      <c r="K220" s="16">
        <v>22994839.361792982</v>
      </c>
      <c r="L220" s="17">
        <v>211.91482027840155</v>
      </c>
      <c r="M220" s="17">
        <v>103.68770758083693</v>
      </c>
      <c r="N220" s="15">
        <v>38.217236494659787</v>
      </c>
      <c r="O220" s="11">
        <v>1.8633116630438318E-2</v>
      </c>
      <c r="P220" s="11">
        <v>1.6245761694809069E-2</v>
      </c>
    </row>
    <row r="221" spans="1:16">
      <c r="A221">
        <v>5</v>
      </c>
      <c r="B221">
        <v>2.8</v>
      </c>
      <c r="C221" t="s">
        <v>16</v>
      </c>
      <c r="D221" s="3">
        <v>0.25</v>
      </c>
      <c r="E221" s="3">
        <v>0.75</v>
      </c>
      <c r="F221" t="s">
        <v>16</v>
      </c>
      <c r="G221" t="s">
        <v>16</v>
      </c>
      <c r="H221" t="s">
        <v>21</v>
      </c>
      <c r="I221" s="16">
        <v>11466316.031695688</v>
      </c>
      <c r="J221" s="16">
        <v>7972383.5</v>
      </c>
      <c r="K221" s="16">
        <v>19438699.531695686</v>
      </c>
      <c r="L221" s="17">
        <v>179.1423046229074</v>
      </c>
      <c r="M221" s="17">
        <v>68.326645694880881</v>
      </c>
      <c r="N221" s="15">
        <v>31.923622548172276</v>
      </c>
      <c r="O221" s="11">
        <v>0.17040098971623774</v>
      </c>
      <c r="P221" s="11">
        <v>0.17825039525796293</v>
      </c>
    </row>
    <row r="222" spans="1:16">
      <c r="A222">
        <v>5</v>
      </c>
      <c r="B222">
        <v>2.8</v>
      </c>
      <c r="C222" t="s">
        <v>19</v>
      </c>
      <c r="D222" s="3" t="s">
        <v>16</v>
      </c>
      <c r="E222" s="3" t="s">
        <v>17</v>
      </c>
      <c r="F222" t="s">
        <v>16</v>
      </c>
      <c r="G222" t="s">
        <v>16</v>
      </c>
      <c r="H222" t="s">
        <v>21</v>
      </c>
      <c r="I222" s="16">
        <v>11628447.018238815</v>
      </c>
      <c r="J222" s="16">
        <v>11403970.200000001</v>
      </c>
      <c r="K222" s="16">
        <v>23032417.218238816</v>
      </c>
      <c r="L222" s="17">
        <v>212.26112862045494</v>
      </c>
      <c r="M222" s="17">
        <v>98.976326804058843</v>
      </c>
      <c r="N222" s="15">
        <v>38.186315916670026</v>
      </c>
      <c r="O222" s="11">
        <v>1.702938010139643E-2</v>
      </c>
      <c r="P222" s="11">
        <v>1.704169181530657E-2</v>
      </c>
    </row>
    <row r="223" spans="1:16">
      <c r="A223">
        <v>5</v>
      </c>
      <c r="B223">
        <v>2.8</v>
      </c>
      <c r="C223" t="s">
        <v>19</v>
      </c>
      <c r="D223" s="3" t="s">
        <v>16</v>
      </c>
      <c r="E223" s="3">
        <v>0.75</v>
      </c>
      <c r="F223" t="s">
        <v>16</v>
      </c>
      <c r="G223" t="s">
        <v>16</v>
      </c>
      <c r="H223" t="s">
        <v>21</v>
      </c>
      <c r="I223" s="16">
        <v>11989692.988255396</v>
      </c>
      <c r="J223" s="16">
        <v>7470796.7999999998</v>
      </c>
      <c r="K223" s="16">
        <v>19460489.788255397</v>
      </c>
      <c r="L223" s="17">
        <v>179.34311830244732</v>
      </c>
      <c r="M223" s="17">
        <v>63.620184712382127</v>
      </c>
      <c r="N223" s="15">
        <v>31.865310864618412</v>
      </c>
      <c r="O223" s="11">
        <v>0.16947103165776334</v>
      </c>
      <c r="P223" s="11">
        <v>0.17975140294717251</v>
      </c>
    </row>
    <row r="224" spans="1:16">
      <c r="A224">
        <v>5</v>
      </c>
      <c r="B224">
        <v>2.8</v>
      </c>
      <c r="C224" t="s">
        <v>19</v>
      </c>
      <c r="D224" s="3">
        <v>0.25</v>
      </c>
      <c r="E224" s="3" t="s">
        <v>17</v>
      </c>
      <c r="F224" t="s">
        <v>16</v>
      </c>
      <c r="G224" t="s">
        <v>16</v>
      </c>
      <c r="H224" t="s">
        <v>21</v>
      </c>
      <c r="I224" s="16">
        <v>11103910.061775386</v>
      </c>
      <c r="J224" s="16">
        <v>11684224.700000001</v>
      </c>
      <c r="K224" s="16">
        <v>22788134.761775389</v>
      </c>
      <c r="L224" s="17">
        <v>210.00988119732108</v>
      </c>
      <c r="M224" s="17">
        <v>101.69297672025948</v>
      </c>
      <c r="N224" s="15">
        <v>37.85525899445387</v>
      </c>
      <c r="O224" s="11">
        <v>2.7454793786159892E-2</v>
      </c>
      <c r="P224" s="11">
        <v>2.5563465763978166E-2</v>
      </c>
    </row>
    <row r="225" spans="1:16">
      <c r="A225">
        <v>5</v>
      </c>
      <c r="B225">
        <v>2.8</v>
      </c>
      <c r="C225" t="s">
        <v>19</v>
      </c>
      <c r="D225" s="3">
        <v>0.25</v>
      </c>
      <c r="E225" s="3">
        <v>0.75</v>
      </c>
      <c r="F225" t="s">
        <v>16</v>
      </c>
      <c r="G225" t="s">
        <v>16</v>
      </c>
      <c r="H225" t="s">
        <v>21</v>
      </c>
      <c r="I225" s="16">
        <v>11466718.031662323</v>
      </c>
      <c r="J225" s="16">
        <v>7766375.1999999993</v>
      </c>
      <c r="K225" s="16">
        <v>19233093.231662322</v>
      </c>
      <c r="L225" s="17">
        <v>177.24748720608852</v>
      </c>
      <c r="M225" s="17">
        <v>66.332676295328014</v>
      </c>
      <c r="N225" s="15">
        <v>31.563533144307581</v>
      </c>
      <c r="O225" s="11">
        <v>0.17917579395340721</v>
      </c>
      <c r="P225" s="11">
        <v>0.18751949762412123</v>
      </c>
    </row>
    <row r="226" spans="1:16">
      <c r="A226">
        <v>5</v>
      </c>
      <c r="B226">
        <v>4</v>
      </c>
      <c r="C226" t="s">
        <v>16</v>
      </c>
      <c r="D226" s="3" t="s">
        <v>16</v>
      </c>
      <c r="E226" s="3" t="s">
        <v>17</v>
      </c>
      <c r="F226" t="s">
        <v>16</v>
      </c>
      <c r="G226" t="s">
        <v>16</v>
      </c>
      <c r="H226" t="s">
        <v>21</v>
      </c>
      <c r="I226" s="16">
        <v>11640697.017222067</v>
      </c>
      <c r="J226" s="16">
        <v>10787908.4</v>
      </c>
      <c r="K226" s="16">
        <v>22428605.417222068</v>
      </c>
      <c r="L226" s="17">
        <v>206.69654661658811</v>
      </c>
      <c r="M226" s="17">
        <v>92.911346447878998</v>
      </c>
      <c r="N226" s="15">
        <v>37.126787475993709</v>
      </c>
      <c r="O226" s="11">
        <v>4.2798679724777799E-2</v>
      </c>
      <c r="P226" s="11">
        <v>4.4315134107918763E-2</v>
      </c>
    </row>
    <row r="227" spans="1:16">
      <c r="A227">
        <v>5</v>
      </c>
      <c r="B227">
        <v>4</v>
      </c>
      <c r="C227" t="s">
        <v>16</v>
      </c>
      <c r="D227" s="3" t="s">
        <v>16</v>
      </c>
      <c r="E227" s="3">
        <v>0.75</v>
      </c>
      <c r="F227" t="s">
        <v>16</v>
      </c>
      <c r="G227" t="s">
        <v>16</v>
      </c>
      <c r="H227" t="s">
        <v>21</v>
      </c>
      <c r="I227" s="16">
        <v>12001176.987302227</v>
      </c>
      <c r="J227" s="16">
        <v>6831881</v>
      </c>
      <c r="K227" s="16">
        <v>18833057.987302229</v>
      </c>
      <c r="L227" s="17">
        <v>173.56086015121767</v>
      </c>
      <c r="M227" s="17">
        <v>57.560607489217084</v>
      </c>
      <c r="N227" s="15">
        <v>30.764565141307671</v>
      </c>
      <c r="O227" s="11">
        <v>0.19624837858071864</v>
      </c>
      <c r="P227" s="11">
        <v>0.20808582400753795</v>
      </c>
    </row>
    <row r="228" spans="1:16">
      <c r="A228">
        <v>5</v>
      </c>
      <c r="B228">
        <v>4</v>
      </c>
      <c r="C228" t="s">
        <v>16</v>
      </c>
      <c r="D228" s="3">
        <v>0.25</v>
      </c>
      <c r="E228" s="3" t="s">
        <v>17</v>
      </c>
      <c r="F228" t="s">
        <v>16</v>
      </c>
      <c r="G228" t="s">
        <v>16</v>
      </c>
      <c r="H228" t="s">
        <v>21</v>
      </c>
      <c r="I228" s="16">
        <v>11113475.060981493</v>
      </c>
      <c r="J228" s="16">
        <v>11053923.1</v>
      </c>
      <c r="K228" s="16">
        <v>22167398.160981491</v>
      </c>
      <c r="L228" s="17">
        <v>204.28932437464417</v>
      </c>
      <c r="M228" s="17">
        <v>95.517665522008542</v>
      </c>
      <c r="N228" s="15">
        <v>36.766590224239827</v>
      </c>
      <c r="O228" s="11">
        <v>5.3946404957259775E-2</v>
      </c>
      <c r="P228" s="11">
        <v>5.3587012598878658E-2</v>
      </c>
    </row>
    <row r="229" spans="1:16">
      <c r="A229">
        <v>5</v>
      </c>
      <c r="B229">
        <v>4</v>
      </c>
      <c r="C229" t="s">
        <v>16</v>
      </c>
      <c r="D229" s="3">
        <v>0.25</v>
      </c>
      <c r="E229" s="3">
        <v>0.75</v>
      </c>
      <c r="F229" t="s">
        <v>16</v>
      </c>
      <c r="G229" t="s">
        <v>16</v>
      </c>
      <c r="H229" t="s">
        <v>21</v>
      </c>
      <c r="I229" s="16">
        <v>11476213.030874237</v>
      </c>
      <c r="J229" s="16">
        <v>7115885.8999999994</v>
      </c>
      <c r="K229" s="16">
        <v>18592098.930874236</v>
      </c>
      <c r="L229" s="17">
        <v>171.34024037066661</v>
      </c>
      <c r="M229" s="17">
        <v>60.161418121892275</v>
      </c>
      <c r="N229" s="15">
        <v>30.439406173728795</v>
      </c>
      <c r="O229" s="11">
        <v>0.20653195719180983</v>
      </c>
      <c r="P229" s="11">
        <v>0.21645577803399807</v>
      </c>
    </row>
    <row r="230" spans="1:16">
      <c r="A230">
        <v>5</v>
      </c>
      <c r="B230">
        <v>4</v>
      </c>
      <c r="C230" t="s">
        <v>19</v>
      </c>
      <c r="D230" s="3" t="s">
        <v>16</v>
      </c>
      <c r="E230" s="3" t="s">
        <v>17</v>
      </c>
      <c r="F230" t="s">
        <v>16</v>
      </c>
      <c r="G230" t="s">
        <v>16</v>
      </c>
      <c r="H230" t="s">
        <v>21</v>
      </c>
      <c r="I230" s="16">
        <v>11643899.0169563</v>
      </c>
      <c r="J230" s="16">
        <v>10587906.6</v>
      </c>
      <c r="K230" s="16">
        <v>22231805.616956301</v>
      </c>
      <c r="L230" s="17">
        <v>204.88288774957118</v>
      </c>
      <c r="M230" s="17">
        <v>90.940715018664378</v>
      </c>
      <c r="N230" s="15">
        <v>36.781602114319021</v>
      </c>
      <c r="O230" s="11">
        <v>5.1197642796268927E-2</v>
      </c>
      <c r="P230" s="11">
        <v>5.3200589826200018E-2</v>
      </c>
    </row>
    <row r="231" spans="1:16">
      <c r="A231">
        <v>5</v>
      </c>
      <c r="B231">
        <v>4</v>
      </c>
      <c r="C231" t="s">
        <v>19</v>
      </c>
      <c r="D231" s="3" t="s">
        <v>16</v>
      </c>
      <c r="E231" s="3">
        <v>0.75</v>
      </c>
      <c r="F231" t="s">
        <v>16</v>
      </c>
      <c r="G231" t="s">
        <v>16</v>
      </c>
      <c r="H231" t="s">
        <v>21</v>
      </c>
      <c r="I231" s="16">
        <v>12004442.987031147</v>
      </c>
      <c r="J231" s="16">
        <v>6622093</v>
      </c>
      <c r="K231" s="16">
        <v>18626535.987031147</v>
      </c>
      <c r="L231" s="17">
        <v>171.65760386477888</v>
      </c>
      <c r="M231" s="17">
        <v>55.592830188736414</v>
      </c>
      <c r="N231" s="15">
        <v>30.402344473776601</v>
      </c>
      <c r="O231" s="11">
        <v>0.20506226279901996</v>
      </c>
      <c r="P231" s="11">
        <v>0.21740978747452533</v>
      </c>
    </row>
    <row r="232" spans="1:16">
      <c r="A232">
        <v>5</v>
      </c>
      <c r="B232">
        <v>4</v>
      </c>
      <c r="C232" t="s">
        <v>19</v>
      </c>
      <c r="D232" s="3">
        <v>0.25</v>
      </c>
      <c r="E232" s="3" t="s">
        <v>17</v>
      </c>
      <c r="F232" t="s">
        <v>16</v>
      </c>
      <c r="G232" t="s">
        <v>16</v>
      </c>
      <c r="H232" t="s">
        <v>21</v>
      </c>
      <c r="I232" s="16">
        <v>11115829.060786109</v>
      </c>
      <c r="J232" s="16">
        <v>10850551.799999999</v>
      </c>
      <c r="K232" s="16">
        <v>21966380.86078611</v>
      </c>
      <c r="L232" s="17">
        <v>202.43679805891207</v>
      </c>
      <c r="M232" s="17">
        <v>93.513092372656047</v>
      </c>
      <c r="N232" s="15">
        <v>36.414176346511738</v>
      </c>
      <c r="O232" s="11">
        <v>6.2525361230547749E-2</v>
      </c>
      <c r="P232" s="11">
        <v>6.2658538372360906E-2</v>
      </c>
    </row>
    <row r="233" spans="1:16">
      <c r="A233">
        <v>5</v>
      </c>
      <c r="B233">
        <v>4</v>
      </c>
      <c r="C233" t="s">
        <v>19</v>
      </c>
      <c r="D233" s="3">
        <v>0.25</v>
      </c>
      <c r="E233" s="3">
        <v>0.75</v>
      </c>
      <c r="F233" t="s">
        <v>16</v>
      </c>
      <c r="G233" t="s">
        <v>16</v>
      </c>
      <c r="H233" t="s">
        <v>21</v>
      </c>
      <c r="I233" s="16">
        <v>11478725.03066574</v>
      </c>
      <c r="J233" s="16">
        <v>6907445.6999999993</v>
      </c>
      <c r="K233" s="16">
        <v>18386170.73066574</v>
      </c>
      <c r="L233" s="17">
        <v>169.44245640049689</v>
      </c>
      <c r="M233" s="17">
        <v>58.158732423802803</v>
      </c>
      <c r="N233" s="15">
        <v>30.078364219872192</v>
      </c>
      <c r="O233" s="11">
        <v>0.21532049938846898</v>
      </c>
      <c r="P233" s="11">
        <v>0.22574940009801236</v>
      </c>
    </row>
    <row r="234" spans="1:16">
      <c r="A234">
        <v>5</v>
      </c>
      <c r="B234">
        <v>5.5</v>
      </c>
      <c r="C234" t="s">
        <v>16</v>
      </c>
      <c r="D234" s="3" t="s">
        <v>16</v>
      </c>
      <c r="E234" s="3" t="s">
        <v>17</v>
      </c>
      <c r="F234" t="s">
        <v>16</v>
      </c>
      <c r="G234" t="s">
        <v>16</v>
      </c>
      <c r="H234" t="s">
        <v>21</v>
      </c>
      <c r="I234" s="16">
        <v>11650580.016401777</v>
      </c>
      <c r="J234" s="16">
        <v>10383832.1</v>
      </c>
      <c r="K234" s="16">
        <v>22034412.116401777</v>
      </c>
      <c r="L234" s="17">
        <v>203.06375748577642</v>
      </c>
      <c r="M234" s="17">
        <v>88.925816241801357</v>
      </c>
      <c r="N234" s="15">
        <v>36.434735955033126</v>
      </c>
      <c r="O234" s="11">
        <v>5.962194363128448E-2</v>
      </c>
      <c r="P234" s="11">
        <v>6.2129311147267385E-2</v>
      </c>
    </row>
    <row r="235" spans="1:16">
      <c r="A235">
        <v>5</v>
      </c>
      <c r="B235">
        <v>5.5</v>
      </c>
      <c r="C235" t="s">
        <v>16</v>
      </c>
      <c r="D235" s="3" t="s">
        <v>16</v>
      </c>
      <c r="E235" s="3">
        <v>0.75</v>
      </c>
      <c r="F235" t="s">
        <v>16</v>
      </c>
      <c r="G235" t="s">
        <v>16</v>
      </c>
      <c r="H235" t="s">
        <v>21</v>
      </c>
      <c r="I235" s="16">
        <v>12010641.986516632</v>
      </c>
      <c r="J235" s="16">
        <v>6406679.3999999994</v>
      </c>
      <c r="K235" s="16">
        <v>18417321.386516631</v>
      </c>
      <c r="L235" s="17">
        <v>169.72953323249095</v>
      </c>
      <c r="M235" s="17">
        <v>53.580172591484725</v>
      </c>
      <c r="N235" s="15">
        <v>30.034868484353897</v>
      </c>
      <c r="O235" s="11">
        <v>0.21399106100595522</v>
      </c>
      <c r="P235" s="11">
        <v>0.22686902878101001</v>
      </c>
    </row>
    <row r="236" spans="1:16">
      <c r="A236">
        <v>5</v>
      </c>
      <c r="B236">
        <v>5.5</v>
      </c>
      <c r="C236" t="s">
        <v>16</v>
      </c>
      <c r="D236" s="3">
        <v>0.25</v>
      </c>
      <c r="E236" s="3" t="s">
        <v>17</v>
      </c>
      <c r="F236" t="s">
        <v>16</v>
      </c>
      <c r="G236" t="s">
        <v>16</v>
      </c>
      <c r="H236" t="s">
        <v>21</v>
      </c>
      <c r="I236" s="16">
        <v>11121347.060328115</v>
      </c>
      <c r="J236" s="16">
        <v>10642932</v>
      </c>
      <c r="K236" s="16">
        <v>21764279.060328115</v>
      </c>
      <c r="L236" s="17">
        <v>200.57427725378051</v>
      </c>
      <c r="M236" s="17">
        <v>91.447637444150885</v>
      </c>
      <c r="N236" s="15">
        <v>36.059280342829979</v>
      </c>
      <c r="O236" s="11">
        <v>7.1150601481992481E-2</v>
      </c>
      <c r="P236" s="11">
        <v>7.1793956832779671E-2</v>
      </c>
    </row>
    <row r="237" spans="1:16">
      <c r="A237">
        <v>5</v>
      </c>
      <c r="B237">
        <v>5.5</v>
      </c>
      <c r="C237" t="s">
        <v>16</v>
      </c>
      <c r="D237" s="3">
        <v>0.25</v>
      </c>
      <c r="E237" s="3">
        <v>0.75</v>
      </c>
      <c r="F237" t="s">
        <v>16</v>
      </c>
      <c r="G237" t="s">
        <v>16</v>
      </c>
      <c r="H237" t="s">
        <v>21</v>
      </c>
      <c r="I237" s="16">
        <v>11483878.030238044</v>
      </c>
      <c r="J237" s="16">
        <v>6689688.1000000006</v>
      </c>
      <c r="K237" s="16">
        <v>18173566.130238045</v>
      </c>
      <c r="L237" s="17">
        <v>167.48314435742799</v>
      </c>
      <c r="M237" s="17">
        <v>56.095567278804168</v>
      </c>
      <c r="N237" s="15">
        <v>29.705145155992835</v>
      </c>
      <c r="O237" s="11">
        <v>0.22439397499875857</v>
      </c>
      <c r="P237" s="11">
        <v>0.23535647453833508</v>
      </c>
    </row>
    <row r="238" spans="1:16">
      <c r="A238">
        <v>5</v>
      </c>
      <c r="B238">
        <v>5.5</v>
      </c>
      <c r="C238" t="s">
        <v>19</v>
      </c>
      <c r="D238" s="3" t="s">
        <v>16</v>
      </c>
      <c r="E238" s="3" t="s">
        <v>17</v>
      </c>
      <c r="F238" t="s">
        <v>16</v>
      </c>
      <c r="G238" t="s">
        <v>16</v>
      </c>
      <c r="H238" t="s">
        <v>21</v>
      </c>
      <c r="I238" s="16">
        <v>11655250.016014166</v>
      </c>
      <c r="J238" s="16">
        <v>10181164</v>
      </c>
      <c r="K238" s="16">
        <v>21836414.016014166</v>
      </c>
      <c r="L238" s="17">
        <v>201.23905537766683</v>
      </c>
      <c r="M238" s="17">
        <v>86.961187393642135</v>
      </c>
      <c r="N238" s="15">
        <v>36.087181802988027</v>
      </c>
      <c r="O238" s="11">
        <v>6.8072047397320534E-2</v>
      </c>
      <c r="P238" s="11">
        <v>7.1075742168325351E-2</v>
      </c>
    </row>
    <row r="239" spans="1:16">
      <c r="A239">
        <v>5</v>
      </c>
      <c r="B239">
        <v>5.5</v>
      </c>
      <c r="C239" t="s">
        <v>19</v>
      </c>
      <c r="D239" s="3" t="s">
        <v>16</v>
      </c>
      <c r="E239" s="3">
        <v>0.75</v>
      </c>
      <c r="F239" t="s">
        <v>16</v>
      </c>
      <c r="G239" t="s">
        <v>16</v>
      </c>
      <c r="H239" t="s">
        <v>21</v>
      </c>
      <c r="I239" s="16">
        <v>12015403.986121384</v>
      </c>
      <c r="J239" s="16">
        <v>6196276.1000000006</v>
      </c>
      <c r="K239" s="16">
        <v>18211680.086121384</v>
      </c>
      <c r="L239" s="17">
        <v>167.83439326089007</v>
      </c>
      <c r="M239" s="17">
        <v>51.618735399109362</v>
      </c>
      <c r="N239" s="15">
        <v>29.673914181256499</v>
      </c>
      <c r="O239" s="11">
        <v>0.22276735897811073</v>
      </c>
      <c r="P239" s="11">
        <v>0.23616039461684635</v>
      </c>
    </row>
    <row r="240" spans="1:16">
      <c r="A240">
        <v>5</v>
      </c>
      <c r="B240">
        <v>5.5</v>
      </c>
      <c r="C240" t="s">
        <v>19</v>
      </c>
      <c r="D240" s="3">
        <v>0.25</v>
      </c>
      <c r="E240" s="3" t="s">
        <v>17</v>
      </c>
      <c r="F240" t="s">
        <v>16</v>
      </c>
      <c r="G240" t="s">
        <v>16</v>
      </c>
      <c r="H240" t="s">
        <v>21</v>
      </c>
      <c r="I240" s="16">
        <v>11124809.060040768</v>
      </c>
      <c r="J240" s="16">
        <v>10440293.200000001</v>
      </c>
      <c r="K240" s="16">
        <v>21565102.260040767</v>
      </c>
      <c r="L240" s="17">
        <v>198.73871253543541</v>
      </c>
      <c r="M240" s="17">
        <v>89.443971567508498</v>
      </c>
      <c r="N240" s="15">
        <v>35.709884947477654</v>
      </c>
      <c r="O240" s="11">
        <v>7.9651009450151133E-2</v>
      </c>
      <c r="P240" s="11">
        <v>8.0787783507562883E-2</v>
      </c>
    </row>
    <row r="241" spans="1:16">
      <c r="A241">
        <v>5</v>
      </c>
      <c r="B241">
        <v>5.5</v>
      </c>
      <c r="C241" t="s">
        <v>19</v>
      </c>
      <c r="D241" s="3">
        <v>0.25</v>
      </c>
      <c r="E241" s="3">
        <v>0.75</v>
      </c>
      <c r="F241" t="s">
        <v>16</v>
      </c>
      <c r="G241" t="s">
        <v>16</v>
      </c>
      <c r="H241" t="s">
        <v>21</v>
      </c>
      <c r="I241" s="16">
        <v>11487454.029941235</v>
      </c>
      <c r="J241" s="16">
        <v>6475446.5</v>
      </c>
      <c r="K241" s="16">
        <v>17962900.529941235</v>
      </c>
      <c r="L241" s="17">
        <v>165.54170166572922</v>
      </c>
      <c r="M241" s="17">
        <v>54.094331596921066</v>
      </c>
      <c r="N241" s="15">
        <v>29.335611933782218</v>
      </c>
      <c r="O241" s="11">
        <v>0.23338469854084021</v>
      </c>
      <c r="P241" s="11">
        <v>0.24486867130837275</v>
      </c>
    </row>
    <row r="242" spans="1:16">
      <c r="A242">
        <v>10</v>
      </c>
      <c r="B242">
        <v>2.8</v>
      </c>
      <c r="C242" t="s">
        <v>16</v>
      </c>
      <c r="D242" s="3" t="s">
        <v>16</v>
      </c>
      <c r="E242" s="3" t="s">
        <v>17</v>
      </c>
      <c r="F242" t="s">
        <v>16</v>
      </c>
      <c r="G242" t="s">
        <v>16</v>
      </c>
      <c r="H242" t="s">
        <v>21</v>
      </c>
      <c r="I242" s="16">
        <v>11627896.01828455</v>
      </c>
      <c r="J242" s="16">
        <v>11032446.200000001</v>
      </c>
      <c r="K242" s="16">
        <v>22660342.218284551</v>
      </c>
      <c r="L242" s="17">
        <v>208.83217634534557</v>
      </c>
      <c r="M242" s="17">
        <v>95.304170212189788</v>
      </c>
      <c r="N242" s="15">
        <v>37.534916542017847</v>
      </c>
      <c r="O242" s="11">
        <v>3.2908685772544022E-2</v>
      </c>
      <c r="P242" s="11">
        <v>3.3809437325450276E-2</v>
      </c>
    </row>
    <row r="243" spans="1:16">
      <c r="A243">
        <v>10</v>
      </c>
      <c r="B243">
        <v>2.8</v>
      </c>
      <c r="C243" t="s">
        <v>16</v>
      </c>
      <c r="D243" s="3" t="s">
        <v>16</v>
      </c>
      <c r="E243" s="3">
        <v>0.75</v>
      </c>
      <c r="F243" t="s">
        <v>16</v>
      </c>
      <c r="G243" t="s">
        <v>16</v>
      </c>
      <c r="H243" t="s">
        <v>21</v>
      </c>
      <c r="I243" s="16">
        <v>11988284.988372263</v>
      </c>
      <c r="J243" s="16">
        <v>7085120.8999999994</v>
      </c>
      <c r="K243" s="16">
        <v>19073405.888372261</v>
      </c>
      <c r="L243" s="17">
        <v>175.7758476733386</v>
      </c>
      <c r="M243" s="17">
        <v>59.949351226548686</v>
      </c>
      <c r="N243" s="15">
        <v>31.187788960744719</v>
      </c>
      <c r="O243" s="11">
        <v>0.18599088267538</v>
      </c>
      <c r="P243" s="11">
        <v>0.19719157145787791</v>
      </c>
    </row>
    <row r="244" spans="1:16">
      <c r="A244">
        <v>10</v>
      </c>
      <c r="B244">
        <v>2.8</v>
      </c>
      <c r="C244" t="s">
        <v>16</v>
      </c>
      <c r="D244" s="3">
        <v>0.25</v>
      </c>
      <c r="E244" s="3" t="s">
        <v>17</v>
      </c>
      <c r="F244" t="s">
        <v>16</v>
      </c>
      <c r="G244" t="s">
        <v>16</v>
      </c>
      <c r="H244" t="s">
        <v>21</v>
      </c>
      <c r="I244" s="16">
        <v>11102694.061876312</v>
      </c>
      <c r="J244" s="16">
        <v>11305375.700000001</v>
      </c>
      <c r="K244" s="16">
        <v>22408069.761876315</v>
      </c>
      <c r="L244" s="17">
        <v>206.50729503524741</v>
      </c>
      <c r="M244" s="17">
        <v>97.984639928857618</v>
      </c>
      <c r="N244" s="15">
        <v>37.189991750818166</v>
      </c>
      <c r="O244" s="11">
        <v>4.3675094287520921E-2</v>
      </c>
      <c r="P244" s="11">
        <v>4.2688185669450318E-2</v>
      </c>
    </row>
    <row r="245" spans="1:16">
      <c r="A245">
        <v>10</v>
      </c>
      <c r="B245">
        <v>2.8</v>
      </c>
      <c r="C245" t="s">
        <v>16</v>
      </c>
      <c r="D245" s="3">
        <v>0.25</v>
      </c>
      <c r="E245" s="3">
        <v>0.75</v>
      </c>
      <c r="F245" t="s">
        <v>16</v>
      </c>
      <c r="G245" t="s">
        <v>16</v>
      </c>
      <c r="H245" t="s">
        <v>21</v>
      </c>
      <c r="I245" s="16">
        <v>11465153.031792218</v>
      </c>
      <c r="J245" s="16">
        <v>7377417.6999999993</v>
      </c>
      <c r="K245" s="16">
        <v>18842570.731792219</v>
      </c>
      <c r="L245" s="17">
        <v>173.64852727979522</v>
      </c>
      <c r="M245" s="17">
        <v>62.625549200872996</v>
      </c>
      <c r="N245" s="15">
        <v>30.88001921143908</v>
      </c>
      <c r="O245" s="11">
        <v>0.19584239651380575</v>
      </c>
      <c r="P245" s="11">
        <v>0.20511390763579218</v>
      </c>
    </row>
    <row r="246" spans="1:16">
      <c r="A246">
        <v>10</v>
      </c>
      <c r="B246">
        <v>2.8</v>
      </c>
      <c r="C246" t="s">
        <v>19</v>
      </c>
      <c r="D246" s="3" t="s">
        <v>16</v>
      </c>
      <c r="E246" s="3" t="s">
        <v>17</v>
      </c>
      <c r="F246" t="s">
        <v>16</v>
      </c>
      <c r="G246" t="s">
        <v>16</v>
      </c>
      <c r="H246" t="s">
        <v>21</v>
      </c>
      <c r="I246" s="16">
        <v>11629221.018174574</v>
      </c>
      <c r="J246" s="16">
        <v>10831125.9</v>
      </c>
      <c r="K246" s="16">
        <v>22460346.918174572</v>
      </c>
      <c r="L246" s="17">
        <v>206.98906853265302</v>
      </c>
      <c r="M246" s="17">
        <v>93.322686613266796</v>
      </c>
      <c r="N246" s="15">
        <v>37.184481840102379</v>
      </c>
      <c r="O246" s="11">
        <v>4.1444025431563225E-2</v>
      </c>
      <c r="P246" s="11">
        <v>4.2830016908872781E-2</v>
      </c>
    </row>
    <row r="247" spans="1:16">
      <c r="A247">
        <v>10</v>
      </c>
      <c r="B247">
        <v>2.8</v>
      </c>
      <c r="C247" t="s">
        <v>19</v>
      </c>
      <c r="D247" s="3" t="s">
        <v>16</v>
      </c>
      <c r="E247" s="3">
        <v>0.75</v>
      </c>
      <c r="F247" t="s">
        <v>16</v>
      </c>
      <c r="G247" t="s">
        <v>16</v>
      </c>
      <c r="H247" t="s">
        <v>21</v>
      </c>
      <c r="I247" s="16">
        <v>11989950.988233984</v>
      </c>
      <c r="J247" s="16">
        <v>6877618.2999999998</v>
      </c>
      <c r="K247" s="16">
        <v>18867569.288233984</v>
      </c>
      <c r="L247" s="17">
        <v>173.87890786703159</v>
      </c>
      <c r="M247" s="17">
        <v>57.969933293171081</v>
      </c>
      <c r="N247" s="15">
        <v>30.827063328594324</v>
      </c>
      <c r="O247" s="11">
        <v>0.19477551559161266</v>
      </c>
      <c r="P247" s="11">
        <v>0.20647705104881742</v>
      </c>
    </row>
    <row r="248" spans="1:16">
      <c r="A248">
        <v>10</v>
      </c>
      <c r="B248">
        <v>2.8</v>
      </c>
      <c r="C248" t="s">
        <v>19</v>
      </c>
      <c r="D248" s="3">
        <v>0.25</v>
      </c>
      <c r="E248" s="3" t="s">
        <v>17</v>
      </c>
      <c r="F248" t="s">
        <v>16</v>
      </c>
      <c r="G248" t="s">
        <v>16</v>
      </c>
      <c r="H248" t="s">
        <v>21</v>
      </c>
      <c r="I248" s="16">
        <v>11103518.061807923</v>
      </c>
      <c r="J248" s="16">
        <v>11102033.700000001</v>
      </c>
      <c r="K248" s="16">
        <v>22205551.761807926</v>
      </c>
      <c r="L248" s="17">
        <v>204.64093863621372</v>
      </c>
      <c r="M248" s="17">
        <v>95.971976931173131</v>
      </c>
      <c r="N248" s="15">
        <v>36.83523215936161</v>
      </c>
      <c r="O248" s="11">
        <v>5.2318096981576523E-2</v>
      </c>
      <c r="P248" s="11">
        <v>5.1820092727240086E-2</v>
      </c>
    </row>
    <row r="249" spans="1:16">
      <c r="A249">
        <v>10</v>
      </c>
      <c r="B249">
        <v>2.8</v>
      </c>
      <c r="C249" t="s">
        <v>19</v>
      </c>
      <c r="D249" s="3">
        <v>0.25</v>
      </c>
      <c r="E249" s="3">
        <v>0.75</v>
      </c>
      <c r="F249" t="s">
        <v>16</v>
      </c>
      <c r="G249" t="s">
        <v>16</v>
      </c>
      <c r="H249" t="s">
        <v>21</v>
      </c>
      <c r="I249" s="16">
        <v>11466149.031709548</v>
      </c>
      <c r="J249" s="16">
        <v>7165871.6999999993</v>
      </c>
      <c r="K249" s="16">
        <v>18632020.731709547</v>
      </c>
      <c r="L249" s="17">
        <v>171.70814993142056</v>
      </c>
      <c r="M249" s="17">
        <v>60.613860981308605</v>
      </c>
      <c r="N249" s="15">
        <v>30.51116393741102</v>
      </c>
      <c r="O249" s="11">
        <v>0.20482818650449008</v>
      </c>
      <c r="P249" s="11">
        <v>0.21460865326443102</v>
      </c>
    </row>
    <row r="250" spans="1:16">
      <c r="A250">
        <v>10</v>
      </c>
      <c r="B250">
        <v>4</v>
      </c>
      <c r="C250" t="s">
        <v>16</v>
      </c>
      <c r="D250" s="3" t="s">
        <v>16</v>
      </c>
      <c r="E250" s="3" t="s">
        <v>17</v>
      </c>
      <c r="F250" t="s">
        <v>16</v>
      </c>
      <c r="G250" t="s">
        <v>16</v>
      </c>
      <c r="H250" t="s">
        <v>21</v>
      </c>
      <c r="I250" s="16">
        <v>11643882.016957711</v>
      </c>
      <c r="J250" s="16">
        <v>10219195.4</v>
      </c>
      <c r="K250" s="16">
        <v>21863077.416957714</v>
      </c>
      <c r="L250" s="17">
        <v>201.48477876499135</v>
      </c>
      <c r="M250" s="17">
        <v>87.295401278019739</v>
      </c>
      <c r="N250" s="15">
        <v>36.135964540605507</v>
      </c>
      <c r="O250" s="11">
        <v>6.6934114738939843E-2</v>
      </c>
      <c r="P250" s="11">
        <v>6.9820020161998952E-2</v>
      </c>
    </row>
    <row r="251" spans="1:16">
      <c r="A251">
        <v>10</v>
      </c>
      <c r="B251">
        <v>4</v>
      </c>
      <c r="C251" t="s">
        <v>16</v>
      </c>
      <c r="D251" s="3" t="s">
        <v>16</v>
      </c>
      <c r="E251" s="3">
        <v>0.75</v>
      </c>
      <c r="F251" t="s">
        <v>16</v>
      </c>
      <c r="G251" t="s">
        <v>16</v>
      </c>
      <c r="H251" t="s">
        <v>21</v>
      </c>
      <c r="I251" s="16">
        <v>12003733.987089993</v>
      </c>
      <c r="J251" s="16">
        <v>6233692.1999999993</v>
      </c>
      <c r="K251" s="16">
        <v>18237426.187089995</v>
      </c>
      <c r="L251" s="17">
        <v>168.0716630358074</v>
      </c>
      <c r="M251" s="17">
        <v>51.95064599889843</v>
      </c>
      <c r="N251" s="15">
        <v>29.721146395675987</v>
      </c>
      <c r="O251" s="11">
        <v>0.22166857457396882</v>
      </c>
      <c r="P251" s="11">
        <v>0.23494458480479452</v>
      </c>
    </row>
    <row r="252" spans="1:16">
      <c r="A252">
        <v>10</v>
      </c>
      <c r="B252">
        <v>4</v>
      </c>
      <c r="C252" t="s">
        <v>16</v>
      </c>
      <c r="D252" s="3">
        <v>0.25</v>
      </c>
      <c r="E252" s="3" t="s">
        <v>17</v>
      </c>
      <c r="F252" t="s">
        <v>16</v>
      </c>
      <c r="G252" t="s">
        <v>16</v>
      </c>
      <c r="H252" t="s">
        <v>21</v>
      </c>
      <c r="I252" s="16">
        <v>11115082.060848113</v>
      </c>
      <c r="J252" s="16">
        <v>10480434.200000001</v>
      </c>
      <c r="K252" s="16">
        <v>21595516.260848112</v>
      </c>
      <c r="L252" s="17">
        <v>199.01900053456555</v>
      </c>
      <c r="M252" s="17">
        <v>89.808849109315346</v>
      </c>
      <c r="N252" s="15">
        <v>35.764932500263569</v>
      </c>
      <c r="O252" s="11">
        <v>7.835300981147153E-2</v>
      </c>
      <c r="P252" s="11">
        <v>7.9370798180299906E-2</v>
      </c>
    </row>
    <row r="253" spans="1:16">
      <c r="A253">
        <v>10</v>
      </c>
      <c r="B253">
        <v>4</v>
      </c>
      <c r="C253" t="s">
        <v>16</v>
      </c>
      <c r="D253" s="3">
        <v>0.25</v>
      </c>
      <c r="E253" s="3">
        <v>0.75</v>
      </c>
      <c r="F253" t="s">
        <v>16</v>
      </c>
      <c r="G253" t="s">
        <v>16</v>
      </c>
      <c r="H253" t="s">
        <v>21</v>
      </c>
      <c r="I253" s="16">
        <v>11477331.030781444</v>
      </c>
      <c r="J253" s="16">
        <v>6514386.1999999993</v>
      </c>
      <c r="K253" s="16">
        <v>17991717.230781443</v>
      </c>
      <c r="L253" s="17">
        <v>165.80726933869656</v>
      </c>
      <c r="M253" s="17">
        <v>54.456530524059914</v>
      </c>
      <c r="N253" s="15">
        <v>29.387935613375728</v>
      </c>
      <c r="O253" s="11">
        <v>0.23215486799288099</v>
      </c>
      <c r="P253" s="11">
        <v>0.24352180151125824</v>
      </c>
    </row>
    <row r="254" spans="1:16">
      <c r="A254">
        <v>10</v>
      </c>
      <c r="B254">
        <v>4</v>
      </c>
      <c r="C254" t="s">
        <v>19</v>
      </c>
      <c r="D254" s="3" t="s">
        <v>16</v>
      </c>
      <c r="E254" s="3" t="s">
        <v>17</v>
      </c>
      <c r="F254" t="s">
        <v>16</v>
      </c>
      <c r="G254" t="s">
        <v>16</v>
      </c>
      <c r="H254" t="s">
        <v>21</v>
      </c>
      <c r="I254" s="16">
        <v>11647414.016664553</v>
      </c>
      <c r="J254" s="16">
        <v>10014945.1</v>
      </c>
      <c r="K254" s="16">
        <v>21662359.116664551</v>
      </c>
      <c r="L254" s="17">
        <v>199.63500795929107</v>
      </c>
      <c r="M254" s="17">
        <v>85.323400839090709</v>
      </c>
      <c r="N254" s="15">
        <v>35.783857086598886</v>
      </c>
      <c r="O254" s="11">
        <v>7.5500310383742941E-2</v>
      </c>
      <c r="P254" s="11">
        <v>7.8883658247559274E-2</v>
      </c>
    </row>
    <row r="255" spans="1:16">
      <c r="A255">
        <v>10</v>
      </c>
      <c r="B255">
        <v>4</v>
      </c>
      <c r="C255" t="s">
        <v>19</v>
      </c>
      <c r="D255" s="3" t="s">
        <v>16</v>
      </c>
      <c r="E255" s="3">
        <v>0.75</v>
      </c>
      <c r="F255" t="s">
        <v>16</v>
      </c>
      <c r="G255" t="s">
        <v>16</v>
      </c>
      <c r="H255" t="s">
        <v>21</v>
      </c>
      <c r="I255" s="16">
        <v>12007715.986759489</v>
      </c>
      <c r="J255" s="16">
        <v>6019479.8999999994</v>
      </c>
      <c r="K255" s="16">
        <v>18027195.88675949</v>
      </c>
      <c r="L255" s="17">
        <v>166.13423196222325</v>
      </c>
      <c r="M255" s="17">
        <v>49.9820559332816</v>
      </c>
      <c r="N255" s="15">
        <v>29.352300548977652</v>
      </c>
      <c r="O255" s="11">
        <v>0.23064072051415729</v>
      </c>
      <c r="P255" s="11">
        <v>0.24443908776346501</v>
      </c>
    </row>
    <row r="256" spans="1:16">
      <c r="A256">
        <v>10</v>
      </c>
      <c r="B256">
        <v>4</v>
      </c>
      <c r="C256" t="s">
        <v>19</v>
      </c>
      <c r="D256" s="3">
        <v>0.25</v>
      </c>
      <c r="E256" s="3" t="s">
        <v>17</v>
      </c>
      <c r="F256" t="s">
        <v>16</v>
      </c>
      <c r="G256" t="s">
        <v>16</v>
      </c>
      <c r="H256" t="s">
        <v>21</v>
      </c>
      <c r="I256" s="16">
        <v>11118717.060546404</v>
      </c>
      <c r="J256" s="16">
        <v>10273957.1</v>
      </c>
      <c r="K256" s="16">
        <v>21392674.160546403</v>
      </c>
      <c r="L256" s="17">
        <v>197.14965730698239</v>
      </c>
      <c r="M256" s="17">
        <v>87.791101604151166</v>
      </c>
      <c r="N256" s="15">
        <v>35.409087301644171</v>
      </c>
      <c r="O256" s="11">
        <v>8.7009844358442834E-2</v>
      </c>
      <c r="P256" s="11">
        <v>8.853064997574045E-2</v>
      </c>
    </row>
    <row r="257" spans="1:16">
      <c r="A257">
        <v>10</v>
      </c>
      <c r="B257">
        <v>4</v>
      </c>
      <c r="C257" t="s">
        <v>19</v>
      </c>
      <c r="D257" s="3">
        <v>0.25</v>
      </c>
      <c r="E257" s="3">
        <v>0.75</v>
      </c>
      <c r="F257" t="s">
        <v>16</v>
      </c>
      <c r="G257" t="s">
        <v>16</v>
      </c>
      <c r="H257" t="s">
        <v>21</v>
      </c>
      <c r="I257" s="16">
        <v>11480923.030483307</v>
      </c>
      <c r="J257" s="16">
        <v>6299207</v>
      </c>
      <c r="K257" s="16">
        <v>17780130.030483305</v>
      </c>
      <c r="L257" s="17">
        <v>163.85733340659817</v>
      </c>
      <c r="M257" s="17">
        <v>52.441672250442871</v>
      </c>
      <c r="N257" s="15">
        <v>29.016785726447626</v>
      </c>
      <c r="O257" s="11">
        <v>0.24118492330444319</v>
      </c>
      <c r="P257" s="11">
        <v>0.25307561303195858</v>
      </c>
    </row>
    <row r="258" spans="1:16">
      <c r="A258">
        <v>10</v>
      </c>
      <c r="B258">
        <v>5.5</v>
      </c>
      <c r="C258" t="s">
        <v>16</v>
      </c>
      <c r="D258" s="3" t="s">
        <v>16</v>
      </c>
      <c r="E258" s="3" t="s">
        <v>17</v>
      </c>
      <c r="F258" t="s">
        <v>16</v>
      </c>
      <c r="G258" t="s">
        <v>16</v>
      </c>
      <c r="H258" t="s">
        <v>21</v>
      </c>
      <c r="I258" s="16">
        <v>11654763.016054589</v>
      </c>
      <c r="J258" s="16">
        <v>9816437.5999999996</v>
      </c>
      <c r="K258" s="16">
        <v>21471200.616054587</v>
      </c>
      <c r="L258" s="17">
        <v>197.87333793133004</v>
      </c>
      <c r="M258" s="17">
        <v>83.350179902349268</v>
      </c>
      <c r="N258" s="15">
        <v>35.447785249636418</v>
      </c>
      <c r="O258" s="11">
        <v>8.3658515754157503E-2</v>
      </c>
      <c r="P258" s="11">
        <v>8.7534521688013345E-2</v>
      </c>
    </row>
    <row r="259" spans="1:16">
      <c r="A259">
        <v>10</v>
      </c>
      <c r="B259">
        <v>5.5</v>
      </c>
      <c r="C259" t="s">
        <v>16</v>
      </c>
      <c r="D259" s="3" t="s">
        <v>16</v>
      </c>
      <c r="E259" s="3">
        <v>0.75</v>
      </c>
      <c r="F259" t="s">
        <v>16</v>
      </c>
      <c r="G259" t="s">
        <v>16</v>
      </c>
      <c r="H259" t="s">
        <v>21</v>
      </c>
      <c r="I259" s="16">
        <v>12014169.986223808</v>
      </c>
      <c r="J259" s="16">
        <v>5805121.1000000006</v>
      </c>
      <c r="K259" s="16">
        <v>17819291.086223807</v>
      </c>
      <c r="L259" s="17">
        <v>164.21823212646268</v>
      </c>
      <c r="M259" s="17">
        <v>48.013328156628418</v>
      </c>
      <c r="N259" s="15">
        <v>28.987071010545339</v>
      </c>
      <c r="O259" s="11">
        <v>0.23951361946896721</v>
      </c>
      <c r="P259" s="11">
        <v>0.25384050291909099</v>
      </c>
    </row>
    <row r="260" spans="1:16">
      <c r="A260">
        <v>10</v>
      </c>
      <c r="B260">
        <v>5.5</v>
      </c>
      <c r="C260" t="s">
        <v>16</v>
      </c>
      <c r="D260" s="3">
        <v>0.25</v>
      </c>
      <c r="E260" s="3" t="s">
        <v>17</v>
      </c>
      <c r="F260" t="s">
        <v>16</v>
      </c>
      <c r="G260" t="s">
        <v>16</v>
      </c>
      <c r="H260" t="s">
        <v>21</v>
      </c>
      <c r="I260" s="16">
        <v>11125075.060018692</v>
      </c>
      <c r="J260" s="16">
        <v>10065604.799999999</v>
      </c>
      <c r="K260" s="16">
        <v>21190679.860018693</v>
      </c>
      <c r="L260" s="17">
        <v>195.28812719493843</v>
      </c>
      <c r="M260" s="17">
        <v>85.7532185852982</v>
      </c>
      <c r="N260" s="15">
        <v>35.054224704967346</v>
      </c>
      <c r="O260" s="11">
        <v>9.5630496759984029E-2</v>
      </c>
      <c r="P260" s="11">
        <v>9.7665208502639489E-2</v>
      </c>
    </row>
    <row r="261" spans="1:16">
      <c r="A261">
        <v>10</v>
      </c>
      <c r="B261">
        <v>5.5</v>
      </c>
      <c r="C261" t="s">
        <v>16</v>
      </c>
      <c r="D261" s="3">
        <v>0.25</v>
      </c>
      <c r="E261" s="3">
        <v>0.75</v>
      </c>
      <c r="F261" t="s">
        <v>16</v>
      </c>
      <c r="G261" t="s">
        <v>16</v>
      </c>
      <c r="H261" t="s">
        <v>21</v>
      </c>
      <c r="I261" s="16">
        <v>11486581.030013693</v>
      </c>
      <c r="J261" s="16">
        <v>6076292.6000000006</v>
      </c>
      <c r="K261" s="16">
        <v>17562873.630013693</v>
      </c>
      <c r="L261" s="17">
        <v>161.8551515111096</v>
      </c>
      <c r="M261" s="17">
        <v>50.40728061139405</v>
      </c>
      <c r="N261" s="15">
        <v>28.635328311484411</v>
      </c>
      <c r="O261" s="11">
        <v>0.25045692704695277</v>
      </c>
      <c r="P261" s="11">
        <v>0.26289475180604138</v>
      </c>
    </row>
    <row r="262" spans="1:16">
      <c r="A262">
        <v>10</v>
      </c>
      <c r="B262">
        <v>5.5</v>
      </c>
      <c r="C262" t="s">
        <v>19</v>
      </c>
      <c r="D262" s="3" t="s">
        <v>16</v>
      </c>
      <c r="E262" s="3" t="s">
        <v>17</v>
      </c>
      <c r="F262" t="s">
        <v>16</v>
      </c>
      <c r="G262" t="s">
        <v>16</v>
      </c>
      <c r="H262" t="s">
        <v>21</v>
      </c>
      <c r="I262" s="16">
        <v>11659379.01567146</v>
      </c>
      <c r="J262" s="16">
        <v>9619951.7999999989</v>
      </c>
      <c r="K262" s="16">
        <v>21279330.815671459</v>
      </c>
      <c r="L262" s="17">
        <v>196.10511273848081</v>
      </c>
      <c r="M262" s="17">
        <v>81.400170025775282</v>
      </c>
      <c r="N262" s="15">
        <v>35.110971664506032</v>
      </c>
      <c r="O262" s="11">
        <v>9.1847077763753004E-2</v>
      </c>
      <c r="P262" s="11">
        <v>9.6204478552557537E-2</v>
      </c>
    </row>
    <row r="263" spans="1:16">
      <c r="A263">
        <v>10</v>
      </c>
      <c r="B263">
        <v>5.5</v>
      </c>
      <c r="C263" t="s">
        <v>19</v>
      </c>
      <c r="D263" s="3" t="s">
        <v>16</v>
      </c>
      <c r="E263" s="3">
        <v>0.75</v>
      </c>
      <c r="F263" t="s">
        <v>16</v>
      </c>
      <c r="G263" t="s">
        <v>16</v>
      </c>
      <c r="H263" t="s">
        <v>21</v>
      </c>
      <c r="I263" s="16">
        <v>12018871.985833541</v>
      </c>
      <c r="J263" s="16">
        <v>5593868.1000000006</v>
      </c>
      <c r="K263" s="16">
        <v>17612740.085833542</v>
      </c>
      <c r="L263" s="17">
        <v>162.31470858201232</v>
      </c>
      <c r="M263" s="17">
        <v>46.067905947716682</v>
      </c>
      <c r="N263" s="15">
        <v>28.624534887512372</v>
      </c>
      <c r="O263" s="11">
        <v>0.24832874134568961</v>
      </c>
      <c r="P263" s="11">
        <v>0.26317258656208931</v>
      </c>
    </row>
    <row r="264" spans="1:16">
      <c r="A264">
        <v>10</v>
      </c>
      <c r="B264">
        <v>5.5</v>
      </c>
      <c r="C264" t="s">
        <v>19</v>
      </c>
      <c r="D264" s="3">
        <v>0.25</v>
      </c>
      <c r="E264" s="3" t="s">
        <v>17</v>
      </c>
      <c r="F264" t="s">
        <v>16</v>
      </c>
      <c r="G264" t="s">
        <v>16</v>
      </c>
      <c r="H264" t="s">
        <v>21</v>
      </c>
      <c r="I264" s="16">
        <v>11129175.059678391</v>
      </c>
      <c r="J264" s="16">
        <v>9861032.2000000011</v>
      </c>
      <c r="K264" s="16">
        <v>20990207.259678394</v>
      </c>
      <c r="L264" s="17">
        <v>193.44062069996173</v>
      </c>
      <c r="M264" s="17">
        <v>83.743488022623239</v>
      </c>
      <c r="N264" s="15">
        <v>34.702442779022945</v>
      </c>
      <c r="O264" s="11">
        <v>0.1041862064956145</v>
      </c>
      <c r="P264" s="11">
        <v>0.10672046713326611</v>
      </c>
    </row>
    <row r="265" spans="1:16">
      <c r="A265">
        <v>10</v>
      </c>
      <c r="B265">
        <v>5.5</v>
      </c>
      <c r="C265" t="s">
        <v>19</v>
      </c>
      <c r="D265" s="3">
        <v>0.25</v>
      </c>
      <c r="E265" s="3">
        <v>0.75</v>
      </c>
      <c r="F265" t="s">
        <v>16</v>
      </c>
      <c r="G265" t="s">
        <v>16</v>
      </c>
      <c r="H265" t="s">
        <v>21</v>
      </c>
      <c r="I265" s="16">
        <v>11490789.029664429</v>
      </c>
      <c r="J265" s="16">
        <v>5857275.1000000006</v>
      </c>
      <c r="K265" s="16">
        <v>17348064.129664429</v>
      </c>
      <c r="L265" s="17">
        <v>159.87551964917785</v>
      </c>
      <c r="M265" s="17">
        <v>48.400725503204548</v>
      </c>
      <c r="N265" s="15">
        <v>28.258422659788049</v>
      </c>
      <c r="O265" s="11">
        <v>0.25962450271726578</v>
      </c>
      <c r="P265" s="11">
        <v>0.2725967231233366</v>
      </c>
    </row>
    <row r="266" spans="1:16">
      <c r="A266">
        <v>15</v>
      </c>
      <c r="B266">
        <v>2.8</v>
      </c>
      <c r="C266" t="s">
        <v>16</v>
      </c>
      <c r="D266" s="3" t="s">
        <v>16</v>
      </c>
      <c r="E266" s="3" t="s">
        <v>17</v>
      </c>
      <c r="F266" t="s">
        <v>16</v>
      </c>
      <c r="G266" t="s">
        <v>16</v>
      </c>
      <c r="H266" t="s">
        <v>21</v>
      </c>
      <c r="I266" s="16">
        <v>11627622.018307291</v>
      </c>
      <c r="J266" s="16">
        <v>10836487.799999999</v>
      </c>
      <c r="K266" s="16">
        <v>22464109.818307288</v>
      </c>
      <c r="L266" s="17">
        <v>207.02374650073116</v>
      </c>
      <c r="M266" s="17">
        <v>93.362533706669709</v>
      </c>
      <c r="N266" s="15">
        <v>37.191365373877758</v>
      </c>
      <c r="O266" s="11">
        <v>4.1283433504062717E-2</v>
      </c>
      <c r="P266" s="11">
        <v>4.2652827081790634E-2</v>
      </c>
    </row>
    <row r="267" spans="1:16">
      <c r="A267">
        <v>15</v>
      </c>
      <c r="B267">
        <v>2.8</v>
      </c>
      <c r="C267" t="s">
        <v>16</v>
      </c>
      <c r="D267" s="3" t="s">
        <v>16</v>
      </c>
      <c r="E267" s="3">
        <v>0.75</v>
      </c>
      <c r="F267" t="s">
        <v>16</v>
      </c>
      <c r="G267" t="s">
        <v>16</v>
      </c>
      <c r="H267" t="s">
        <v>21</v>
      </c>
      <c r="I267" s="16">
        <v>11987754.988416253</v>
      </c>
      <c r="J267" s="16">
        <v>6880929.1999999993</v>
      </c>
      <c r="K267" s="16">
        <v>18868684.18841625</v>
      </c>
      <c r="L267" s="17">
        <v>173.88918251466171</v>
      </c>
      <c r="M267" s="17">
        <v>58.009197139831777</v>
      </c>
      <c r="N267" s="15">
        <v>30.829420267597669</v>
      </c>
      <c r="O267" s="11">
        <v>0.19472793421476864</v>
      </c>
      <c r="P267" s="11">
        <v>0.2064163808134305</v>
      </c>
    </row>
    <row r="268" spans="1:16">
      <c r="A268">
        <v>15</v>
      </c>
      <c r="B268">
        <v>2.8</v>
      </c>
      <c r="C268" t="s">
        <v>16</v>
      </c>
      <c r="D268" s="3">
        <v>0.25</v>
      </c>
      <c r="E268" s="3" t="s">
        <v>17</v>
      </c>
      <c r="F268" t="s">
        <v>16</v>
      </c>
      <c r="G268" t="s">
        <v>16</v>
      </c>
      <c r="H268" t="s">
        <v>21</v>
      </c>
      <c r="I268" s="16">
        <v>11102525.061890341</v>
      </c>
      <c r="J268" s="16">
        <v>11108567.6</v>
      </c>
      <c r="K268" s="16">
        <v>22211092.661890343</v>
      </c>
      <c r="L268" s="17">
        <v>204.69200221733607</v>
      </c>
      <c r="M268" s="17">
        <v>96.017510680312753</v>
      </c>
      <c r="N268" s="15">
        <v>36.845117264666449</v>
      </c>
      <c r="O268" s="11">
        <v>5.2081624103493263E-2</v>
      </c>
      <c r="P268" s="11">
        <v>5.1565639105479955E-2</v>
      </c>
    </row>
    <row r="269" spans="1:16">
      <c r="A269">
        <v>15</v>
      </c>
      <c r="B269">
        <v>2.8</v>
      </c>
      <c r="C269" t="s">
        <v>16</v>
      </c>
      <c r="D269" s="3">
        <v>0.25</v>
      </c>
      <c r="E269" s="3">
        <v>0.75</v>
      </c>
      <c r="F269" t="s">
        <v>16</v>
      </c>
      <c r="G269" t="s">
        <v>16</v>
      </c>
      <c r="H269" t="s">
        <v>21</v>
      </c>
      <c r="I269" s="16">
        <v>11464716.031828489</v>
      </c>
      <c r="J269" s="16">
        <v>7172317.6999999993</v>
      </c>
      <c r="K269" s="16">
        <v>18637033.731828488</v>
      </c>
      <c r="L269" s="17">
        <v>171.75434851548314</v>
      </c>
      <c r="M269" s="17">
        <v>60.659205715300295</v>
      </c>
      <c r="N269" s="15">
        <v>30.520205791917299</v>
      </c>
      <c r="O269" s="11">
        <v>0.20461424318331023</v>
      </c>
      <c r="P269" s="11">
        <v>0.21437590585753952</v>
      </c>
    </row>
    <row r="270" spans="1:16">
      <c r="A270">
        <v>15</v>
      </c>
      <c r="B270">
        <v>2.8</v>
      </c>
      <c r="C270" t="s">
        <v>19</v>
      </c>
      <c r="D270" s="3" t="s">
        <v>16</v>
      </c>
      <c r="E270" s="3" t="s">
        <v>17</v>
      </c>
      <c r="F270" t="s">
        <v>16</v>
      </c>
      <c r="G270" t="s">
        <v>16</v>
      </c>
      <c r="H270" t="s">
        <v>21</v>
      </c>
      <c r="I270" s="16">
        <v>11629752.0181305</v>
      </c>
      <c r="J270" s="16">
        <v>10637130.6</v>
      </c>
      <c r="K270" s="16">
        <v>22266882.618130498</v>
      </c>
      <c r="L270" s="17">
        <v>205.20614882057853</v>
      </c>
      <c r="M270" s="17">
        <v>91.376716260426036</v>
      </c>
      <c r="N270" s="15">
        <v>36.845629223491571</v>
      </c>
      <c r="O270" s="11">
        <v>4.9700637021248384E-2</v>
      </c>
      <c r="P270" s="11">
        <v>5.1552460715040382E-2</v>
      </c>
    </row>
    <row r="271" spans="1:16">
      <c r="A271">
        <v>15</v>
      </c>
      <c r="B271">
        <v>2.8</v>
      </c>
      <c r="C271" t="s">
        <v>19</v>
      </c>
      <c r="D271" s="3" t="s">
        <v>16</v>
      </c>
      <c r="E271" s="3">
        <v>0.75</v>
      </c>
      <c r="F271" t="s">
        <v>16</v>
      </c>
      <c r="G271" t="s">
        <v>16</v>
      </c>
      <c r="H271" t="s">
        <v>21</v>
      </c>
      <c r="I271" s="16">
        <v>11990153.988217138</v>
      </c>
      <c r="J271" s="16">
        <v>6669266</v>
      </c>
      <c r="K271" s="16">
        <v>18659419.988217138</v>
      </c>
      <c r="L271" s="17">
        <v>171.96065478380129</v>
      </c>
      <c r="M271" s="17">
        <v>56.025628973848612</v>
      </c>
      <c r="N271" s="15">
        <v>30.462557826815825</v>
      </c>
      <c r="O271" s="11">
        <v>0.20365884922222255</v>
      </c>
      <c r="P271" s="11">
        <v>0.21585982869445552</v>
      </c>
    </row>
    <row r="272" spans="1:16">
      <c r="A272">
        <v>15</v>
      </c>
      <c r="B272">
        <v>2.8</v>
      </c>
      <c r="C272" t="s">
        <v>19</v>
      </c>
      <c r="D272" s="3">
        <v>0.25</v>
      </c>
      <c r="E272" s="3" t="s">
        <v>17</v>
      </c>
      <c r="F272" t="s">
        <v>16</v>
      </c>
      <c r="G272" t="s">
        <v>16</v>
      </c>
      <c r="H272" t="s">
        <v>21</v>
      </c>
      <c r="I272" s="16">
        <v>11103836.061781529</v>
      </c>
      <c r="J272" s="16">
        <v>10905723.700000001</v>
      </c>
      <c r="K272" s="16">
        <v>22009559.761781529</v>
      </c>
      <c r="L272" s="17">
        <v>202.83472425879961</v>
      </c>
      <c r="M272" s="17">
        <v>93.997316779090909</v>
      </c>
      <c r="N272" s="15">
        <v>36.491992815452001</v>
      </c>
      <c r="O272" s="11">
        <v>6.0682584995824351E-2</v>
      </c>
      <c r="P272" s="11">
        <v>6.0655455780540768E-2</v>
      </c>
    </row>
    <row r="273" spans="1:16">
      <c r="A273">
        <v>15</v>
      </c>
      <c r="B273">
        <v>2.8</v>
      </c>
      <c r="C273" t="s">
        <v>19</v>
      </c>
      <c r="D273" s="3">
        <v>0.25</v>
      </c>
      <c r="E273" s="3">
        <v>0.75</v>
      </c>
      <c r="F273" t="s">
        <v>16</v>
      </c>
      <c r="G273" t="s">
        <v>16</v>
      </c>
      <c r="H273" t="s">
        <v>21</v>
      </c>
      <c r="I273" s="16">
        <v>11466154.031709133</v>
      </c>
      <c r="J273" s="16">
        <v>6960068.5</v>
      </c>
      <c r="K273" s="16">
        <v>18426222.531709135</v>
      </c>
      <c r="L273" s="17">
        <v>169.81156401140024</v>
      </c>
      <c r="M273" s="17">
        <v>58.640432127904425</v>
      </c>
      <c r="N273" s="15">
        <v>30.150811691031667</v>
      </c>
      <c r="O273" s="11">
        <v>0.21361118059111295</v>
      </c>
      <c r="P273" s="11">
        <v>0.22388452148970206</v>
      </c>
    </row>
    <row r="274" spans="1:16">
      <c r="A274">
        <v>15</v>
      </c>
      <c r="B274">
        <v>4</v>
      </c>
      <c r="C274" t="s">
        <v>16</v>
      </c>
      <c r="D274" s="3" t="s">
        <v>16</v>
      </c>
      <c r="E274" s="3" t="s">
        <v>17</v>
      </c>
      <c r="F274" t="s">
        <v>16</v>
      </c>
      <c r="G274" t="s">
        <v>16</v>
      </c>
      <c r="H274" t="s">
        <v>21</v>
      </c>
      <c r="I274" s="16">
        <v>11644499.016906502</v>
      </c>
      <c r="J274" s="16">
        <v>10020453.5</v>
      </c>
      <c r="K274" s="16">
        <v>21664952.5169065</v>
      </c>
      <c r="L274" s="17">
        <v>199.65890810216817</v>
      </c>
      <c r="M274" s="17">
        <v>85.371110962648103</v>
      </c>
      <c r="N274" s="15">
        <v>35.788935392254089</v>
      </c>
      <c r="O274" s="11">
        <v>7.538963002313126E-2</v>
      </c>
      <c r="P274" s="11">
        <v>7.8752937003169654E-2</v>
      </c>
    </row>
    <row r="275" spans="1:16">
      <c r="A275">
        <v>15</v>
      </c>
      <c r="B275">
        <v>4</v>
      </c>
      <c r="C275" t="s">
        <v>16</v>
      </c>
      <c r="D275" s="3" t="s">
        <v>16</v>
      </c>
      <c r="E275" s="3">
        <v>0.75</v>
      </c>
      <c r="F275" t="s">
        <v>16</v>
      </c>
      <c r="G275" t="s">
        <v>16</v>
      </c>
      <c r="H275" t="s">
        <v>21</v>
      </c>
      <c r="I275" s="16">
        <v>12004400.987034634</v>
      </c>
      <c r="J275" s="16">
        <v>6024285.1000000006</v>
      </c>
      <c r="K275" s="16">
        <v>18028686.087034635</v>
      </c>
      <c r="L275" s="17">
        <v>166.14796528379674</v>
      </c>
      <c r="M275" s="17">
        <v>50.029182810096756</v>
      </c>
      <c r="N275" s="15">
        <v>29.355520884624084</v>
      </c>
      <c r="O275" s="11">
        <v>0.23057712219209014</v>
      </c>
      <c r="P275" s="11">
        <v>0.24435619273673048</v>
      </c>
    </row>
    <row r="276" spans="1:16">
      <c r="A276">
        <v>15</v>
      </c>
      <c r="B276">
        <v>4</v>
      </c>
      <c r="C276" t="s">
        <v>16</v>
      </c>
      <c r="D276" s="3">
        <v>0.25</v>
      </c>
      <c r="E276" s="3" t="s">
        <v>17</v>
      </c>
      <c r="F276" t="s">
        <v>16</v>
      </c>
      <c r="G276" t="s">
        <v>16</v>
      </c>
      <c r="H276" t="s">
        <v>21</v>
      </c>
      <c r="I276" s="16">
        <v>11116126.060761459</v>
      </c>
      <c r="J276" s="16">
        <v>10280608.200000001</v>
      </c>
      <c r="K276" s="16">
        <v>21396734.260761462</v>
      </c>
      <c r="L276" s="17">
        <v>197.1870741983922</v>
      </c>
      <c r="M276" s="17">
        <v>87.843372393206778</v>
      </c>
      <c r="N276" s="15">
        <v>35.416674071429078</v>
      </c>
      <c r="O276" s="11">
        <v>8.6836568614632292E-2</v>
      </c>
      <c r="P276" s="11">
        <v>8.8335358070424586E-2</v>
      </c>
    </row>
    <row r="277" spans="1:16">
      <c r="A277">
        <v>15</v>
      </c>
      <c r="B277">
        <v>4</v>
      </c>
      <c r="C277" t="s">
        <v>16</v>
      </c>
      <c r="D277" s="3">
        <v>0.25</v>
      </c>
      <c r="E277" s="3">
        <v>0.75</v>
      </c>
      <c r="F277" t="s">
        <v>16</v>
      </c>
      <c r="G277" t="s">
        <v>16</v>
      </c>
      <c r="H277" t="s">
        <v>21</v>
      </c>
      <c r="I277" s="16">
        <v>11477995.030726332</v>
      </c>
      <c r="J277" s="16">
        <v>6304100.1000000006</v>
      </c>
      <c r="K277" s="16">
        <v>17782095.130726334</v>
      </c>
      <c r="L277" s="17">
        <v>163.87544329022373</v>
      </c>
      <c r="M277" s="17">
        <v>52.492919657483199</v>
      </c>
      <c r="N277" s="15">
        <v>29.020766278941302</v>
      </c>
      <c r="O277" s="11">
        <v>0.24110105734344778</v>
      </c>
      <c r="P277" s="11">
        <v>0.25297314917675562</v>
      </c>
    </row>
    <row r="278" spans="1:16">
      <c r="A278">
        <v>15</v>
      </c>
      <c r="B278">
        <v>4</v>
      </c>
      <c r="C278" t="s">
        <v>19</v>
      </c>
      <c r="D278" s="3" t="s">
        <v>16</v>
      </c>
      <c r="E278" s="3" t="s">
        <v>17</v>
      </c>
      <c r="F278" t="s">
        <v>16</v>
      </c>
      <c r="G278" t="s">
        <v>16</v>
      </c>
      <c r="H278" t="s">
        <v>21</v>
      </c>
      <c r="I278" s="16">
        <v>11648761.016552754</v>
      </c>
      <c r="J278" s="16">
        <v>9821067</v>
      </c>
      <c r="K278" s="16">
        <v>21469828.016552754</v>
      </c>
      <c r="L278" s="17">
        <v>197.86068838974515</v>
      </c>
      <c r="M278" s="17">
        <v>83.401251795323631</v>
      </c>
      <c r="N278" s="15">
        <v>35.446488095949128</v>
      </c>
      <c r="O278" s="11">
        <v>8.3717095145560694E-2</v>
      </c>
      <c r="P278" s="11">
        <v>8.7567911868849158E-2</v>
      </c>
    </row>
    <row r="279" spans="1:16">
      <c r="A279">
        <v>15</v>
      </c>
      <c r="B279">
        <v>4</v>
      </c>
      <c r="C279" t="s">
        <v>19</v>
      </c>
      <c r="D279" s="3" t="s">
        <v>16</v>
      </c>
      <c r="E279" s="3">
        <v>0.75</v>
      </c>
      <c r="F279" t="s">
        <v>16</v>
      </c>
      <c r="G279" t="s">
        <v>16</v>
      </c>
      <c r="H279" t="s">
        <v>21</v>
      </c>
      <c r="I279" s="16">
        <v>12008485.986695578</v>
      </c>
      <c r="J279" s="16">
        <v>5810893.1999999993</v>
      </c>
      <c r="K279" s="16">
        <v>17819379.186695576</v>
      </c>
      <c r="L279" s="17">
        <v>164.21904403888126</v>
      </c>
      <c r="M279" s="17">
        <v>48.063441472781079</v>
      </c>
      <c r="N279" s="15">
        <v>28.98827292091778</v>
      </c>
      <c r="O279" s="11">
        <v>0.23950985954335768</v>
      </c>
      <c r="P279" s="11">
        <v>0.25380956440727265</v>
      </c>
    </row>
    <row r="280" spans="1:16">
      <c r="A280">
        <v>15</v>
      </c>
      <c r="B280">
        <v>4</v>
      </c>
      <c r="C280" t="s">
        <v>19</v>
      </c>
      <c r="D280" s="3">
        <v>0.25</v>
      </c>
      <c r="E280" s="3" t="s">
        <v>17</v>
      </c>
      <c r="F280" t="s">
        <v>16</v>
      </c>
      <c r="G280" t="s">
        <v>16</v>
      </c>
      <c r="H280" t="s">
        <v>21</v>
      </c>
      <c r="I280" s="16">
        <v>11119665.060467724</v>
      </c>
      <c r="J280" s="16">
        <v>10072812.6</v>
      </c>
      <c r="K280" s="16">
        <v>21192477.660467722</v>
      </c>
      <c r="L280" s="17">
        <v>195.30469528454577</v>
      </c>
      <c r="M280" s="17">
        <v>85.823561922713623</v>
      </c>
      <c r="N280" s="15">
        <v>35.058369786669004</v>
      </c>
      <c r="O280" s="11">
        <v>9.555377076960736E-2</v>
      </c>
      <c r="P280" s="11">
        <v>9.7558509482350564E-2</v>
      </c>
    </row>
    <row r="281" spans="1:16">
      <c r="A281">
        <v>15</v>
      </c>
      <c r="B281">
        <v>4</v>
      </c>
      <c r="C281" t="s">
        <v>19</v>
      </c>
      <c r="D281" s="3">
        <v>0.25</v>
      </c>
      <c r="E281" s="3">
        <v>0.75</v>
      </c>
      <c r="F281" t="s">
        <v>16</v>
      </c>
      <c r="G281" t="s">
        <v>16</v>
      </c>
      <c r="H281" t="s">
        <v>21</v>
      </c>
      <c r="I281" s="16">
        <v>11481627.030424874</v>
      </c>
      <c r="J281" s="16">
        <v>6084438</v>
      </c>
      <c r="K281" s="16">
        <v>17566065.030424874</v>
      </c>
      <c r="L281" s="17">
        <v>161.88456267741222</v>
      </c>
      <c r="M281" s="17">
        <v>50.476522260518614</v>
      </c>
      <c r="N281" s="15">
        <v>28.641829530073814</v>
      </c>
      <c r="O281" s="11">
        <v>0.25032072541380246</v>
      </c>
      <c r="P281" s="11">
        <v>0.2627274031977147</v>
      </c>
    </row>
    <row r="282" spans="1:16">
      <c r="A282">
        <v>15</v>
      </c>
      <c r="B282">
        <v>5.5</v>
      </c>
      <c r="C282" t="s">
        <v>16</v>
      </c>
      <c r="D282" s="3" t="s">
        <v>16</v>
      </c>
      <c r="E282" s="3" t="s">
        <v>17</v>
      </c>
      <c r="F282" t="s">
        <v>16</v>
      </c>
      <c r="G282" t="s">
        <v>16</v>
      </c>
      <c r="H282" t="s">
        <v>21</v>
      </c>
      <c r="I282" s="16">
        <v>11655584.015986444</v>
      </c>
      <c r="J282" s="16">
        <v>9625284.4000000004</v>
      </c>
      <c r="K282" s="16">
        <v>21280868.415986445</v>
      </c>
      <c r="L282" s="17">
        <v>196.11928288723828</v>
      </c>
      <c r="M282" s="17">
        <v>81.450561464217074</v>
      </c>
      <c r="N282" s="15">
        <v>35.114363468564115</v>
      </c>
      <c r="O282" s="11">
        <v>9.1781456516948579E-2</v>
      </c>
      <c r="P282" s="11">
        <v>9.6117169737905073E-2</v>
      </c>
    </row>
    <row r="283" spans="1:16">
      <c r="A283">
        <v>15</v>
      </c>
      <c r="B283">
        <v>5.5</v>
      </c>
      <c r="C283" t="s">
        <v>16</v>
      </c>
      <c r="D283" s="3" t="s">
        <v>16</v>
      </c>
      <c r="E283" s="3">
        <v>0.75</v>
      </c>
      <c r="F283" t="s">
        <v>16</v>
      </c>
      <c r="G283" t="s">
        <v>16</v>
      </c>
      <c r="H283" t="s">
        <v>21</v>
      </c>
      <c r="I283" s="16">
        <v>12014936.986160148</v>
      </c>
      <c r="J283" s="16">
        <v>5598087.2999999998</v>
      </c>
      <c r="K283" s="16">
        <v>17613024.286160149</v>
      </c>
      <c r="L283" s="17">
        <v>162.31732770277191</v>
      </c>
      <c r="M283" s="17">
        <v>46.117057986831227</v>
      </c>
      <c r="N283" s="15">
        <v>28.625757800364475</v>
      </c>
      <c r="O283" s="11">
        <v>0.24831661232907043</v>
      </c>
      <c r="P283" s="11">
        <v>0.26314110742304941</v>
      </c>
    </row>
    <row r="284" spans="1:16">
      <c r="A284">
        <v>15</v>
      </c>
      <c r="B284">
        <v>5.5</v>
      </c>
      <c r="C284" t="s">
        <v>16</v>
      </c>
      <c r="D284" s="3">
        <v>0.25</v>
      </c>
      <c r="E284" s="3" t="s">
        <v>17</v>
      </c>
      <c r="F284" t="s">
        <v>16</v>
      </c>
      <c r="G284" t="s">
        <v>16</v>
      </c>
      <c r="H284" t="s">
        <v>21</v>
      </c>
      <c r="I284" s="16">
        <v>11126194.059925815</v>
      </c>
      <c r="J284" s="16">
        <v>9867361</v>
      </c>
      <c r="K284" s="16">
        <v>20993555.059925817</v>
      </c>
      <c r="L284" s="17">
        <v>193.47147320893552</v>
      </c>
      <c r="M284" s="17">
        <v>83.798078297565766</v>
      </c>
      <c r="N284" s="15">
        <v>34.708854199032942</v>
      </c>
      <c r="O284" s="11">
        <v>0.10404333007698574</v>
      </c>
      <c r="P284" s="11">
        <v>0.10655543004040169</v>
      </c>
    </row>
    <row r="285" spans="1:16">
      <c r="A285">
        <v>15</v>
      </c>
      <c r="B285">
        <v>5.5</v>
      </c>
      <c r="C285" t="s">
        <v>16</v>
      </c>
      <c r="D285" s="3">
        <v>0.25</v>
      </c>
      <c r="E285" s="3">
        <v>0.75</v>
      </c>
      <c r="F285" t="s">
        <v>16</v>
      </c>
      <c r="G285" t="s">
        <v>16</v>
      </c>
      <c r="H285" t="s">
        <v>21</v>
      </c>
      <c r="I285" s="16">
        <v>11487454.029941235</v>
      </c>
      <c r="J285" s="16">
        <v>5863047.1999999993</v>
      </c>
      <c r="K285" s="16">
        <v>17350501.229941234</v>
      </c>
      <c r="L285" s="17">
        <v>159.89797936977141</v>
      </c>
      <c r="M285" s="17">
        <v>48.454232991370993</v>
      </c>
      <c r="N285" s="15">
        <v>28.263304697550236</v>
      </c>
      <c r="O285" s="11">
        <v>0.25952049287986367</v>
      </c>
      <c r="P285" s="11">
        <v>0.27247105403313987</v>
      </c>
    </row>
    <row r="286" spans="1:16">
      <c r="A286">
        <v>15</v>
      </c>
      <c r="B286">
        <v>5.5</v>
      </c>
      <c r="C286" t="s">
        <v>19</v>
      </c>
      <c r="D286" s="3" t="s">
        <v>16</v>
      </c>
      <c r="E286" s="3" t="s">
        <v>17</v>
      </c>
      <c r="F286" t="s">
        <v>16</v>
      </c>
      <c r="G286" t="s">
        <v>16</v>
      </c>
      <c r="H286" t="s">
        <v>21</v>
      </c>
      <c r="I286" s="16">
        <v>11656234.015932495</v>
      </c>
      <c r="J286" s="16">
        <v>9400524.0999999996</v>
      </c>
      <c r="K286" s="16">
        <v>21056758.115932494</v>
      </c>
      <c r="L286" s="17">
        <v>194.05393712807711</v>
      </c>
      <c r="M286" s="17">
        <v>79.507391235782279</v>
      </c>
      <c r="N286" s="15">
        <v>34.721827969510258</v>
      </c>
      <c r="O286" s="11">
        <v>0.10134596893795711</v>
      </c>
      <c r="P286" s="11">
        <v>0.10622147073657706</v>
      </c>
    </row>
    <row r="287" spans="1:16">
      <c r="A287">
        <v>15</v>
      </c>
      <c r="B287">
        <v>5.5</v>
      </c>
      <c r="C287" t="s">
        <v>19</v>
      </c>
      <c r="D287" s="3" t="s">
        <v>16</v>
      </c>
      <c r="E287" s="3">
        <v>0.75</v>
      </c>
      <c r="F287" t="s">
        <v>16</v>
      </c>
      <c r="G287" t="s">
        <v>16</v>
      </c>
      <c r="H287" t="s">
        <v>21</v>
      </c>
      <c r="I287" s="16">
        <v>12015402.986121468</v>
      </c>
      <c r="J287" s="16">
        <v>5359995.5</v>
      </c>
      <c r="K287" s="16">
        <v>17375398.486121468</v>
      </c>
      <c r="L287" s="17">
        <v>160.12742639855242</v>
      </c>
      <c r="M287" s="17">
        <v>44.180125258278572</v>
      </c>
      <c r="N287" s="15">
        <v>28.209590661727443</v>
      </c>
      <c r="O287" s="11">
        <v>0.2584579352199633</v>
      </c>
      <c r="P287" s="11">
        <v>0.27385371314834128</v>
      </c>
    </row>
    <row r="288" spans="1:16">
      <c r="A288">
        <v>15</v>
      </c>
      <c r="B288">
        <v>5.5</v>
      </c>
      <c r="C288" t="s">
        <v>19</v>
      </c>
      <c r="D288" s="3">
        <v>0.25</v>
      </c>
      <c r="E288" s="3" t="s">
        <v>17</v>
      </c>
      <c r="F288" t="s">
        <v>16</v>
      </c>
      <c r="G288" t="s">
        <v>16</v>
      </c>
      <c r="H288" t="s">
        <v>21</v>
      </c>
      <c r="I288" s="16">
        <v>11130349.05958095</v>
      </c>
      <c r="J288" s="16">
        <v>9667447.0999999996</v>
      </c>
      <c r="K288" s="16">
        <v>20797796.15958095</v>
      </c>
      <c r="L288" s="17">
        <v>191.66740702122351</v>
      </c>
      <c r="M288" s="17">
        <v>81.791763508635782</v>
      </c>
      <c r="N288" s="15">
        <v>34.365315794138489</v>
      </c>
      <c r="O288" s="11">
        <v>0.11239786993267598</v>
      </c>
      <c r="P288" s="11">
        <v>0.11539849125658219</v>
      </c>
    </row>
    <row r="289" spans="1:16">
      <c r="A289">
        <v>15</v>
      </c>
      <c r="B289">
        <v>5.5</v>
      </c>
      <c r="C289" t="s">
        <v>19</v>
      </c>
      <c r="D289" s="3">
        <v>0.25</v>
      </c>
      <c r="E289" s="3">
        <v>0.75</v>
      </c>
      <c r="F289" t="s">
        <v>16</v>
      </c>
      <c r="G289" t="s">
        <v>16</v>
      </c>
      <c r="H289" t="s">
        <v>21</v>
      </c>
      <c r="I289" s="16">
        <v>11491584.029598445</v>
      </c>
      <c r="J289" s="16">
        <v>5645582.6000000006</v>
      </c>
      <c r="K289" s="16">
        <v>17137166.629598446</v>
      </c>
      <c r="L289" s="17">
        <v>157.93193982587604</v>
      </c>
      <c r="M289" s="17">
        <v>46.452570675296819</v>
      </c>
      <c r="N289" s="15">
        <v>27.88899596285837</v>
      </c>
      <c r="O289" s="11">
        <v>0.26862512320840404</v>
      </c>
      <c r="P289" s="11">
        <v>0.28210617781398228</v>
      </c>
    </row>
    <row r="290" spans="1:16">
      <c r="A290">
        <v>5</v>
      </c>
      <c r="B290">
        <v>2.8</v>
      </c>
      <c r="C290" t="s">
        <v>16</v>
      </c>
      <c r="D290" s="3" t="s">
        <v>16</v>
      </c>
      <c r="E290" s="3" t="s">
        <v>17</v>
      </c>
      <c r="F290" t="s">
        <v>19</v>
      </c>
      <c r="G290" t="s">
        <v>16</v>
      </c>
      <c r="H290" t="s">
        <v>21</v>
      </c>
      <c r="I290" s="16">
        <v>10460237.115200248</v>
      </c>
      <c r="J290" s="16">
        <v>9782303.0999999996</v>
      </c>
      <c r="K290" s="16">
        <v>20242540.215200245</v>
      </c>
      <c r="L290" s="17">
        <v>186.55030392645435</v>
      </c>
      <c r="M290" s="17">
        <v>86.980272523151655</v>
      </c>
      <c r="N290" s="15">
        <v>33.516577964597417</v>
      </c>
      <c r="O290" s="11">
        <v>0.13609491721515043</v>
      </c>
      <c r="P290" s="11">
        <v>0.13724594841475868</v>
      </c>
    </row>
    <row r="291" spans="1:16">
      <c r="A291">
        <v>5</v>
      </c>
      <c r="B291">
        <v>2.8</v>
      </c>
      <c r="C291" t="s">
        <v>16</v>
      </c>
      <c r="D291" s="3" t="s">
        <v>16</v>
      </c>
      <c r="E291" s="3">
        <v>0.75</v>
      </c>
      <c r="F291" t="s">
        <v>19</v>
      </c>
      <c r="G291" t="s">
        <v>16</v>
      </c>
      <c r="H291" t="s">
        <v>21</v>
      </c>
      <c r="I291" s="16">
        <v>10795001.087414835</v>
      </c>
      <c r="J291" s="16">
        <v>6274360.6000000006</v>
      </c>
      <c r="K291" s="16">
        <v>17069361.687414836</v>
      </c>
      <c r="L291" s="17">
        <v>157.307066048297</v>
      </c>
      <c r="M291" s="17">
        <v>54.991953733639924</v>
      </c>
      <c r="N291" s="15">
        <v>27.898660708523391</v>
      </c>
      <c r="O291" s="11">
        <v>0.27151888227063703</v>
      </c>
      <c r="P291" s="11">
        <v>0.28185739649481401</v>
      </c>
    </row>
    <row r="292" spans="1:16">
      <c r="A292">
        <v>5</v>
      </c>
      <c r="B292">
        <v>2.8</v>
      </c>
      <c r="C292" t="s">
        <v>16</v>
      </c>
      <c r="D292" s="3">
        <v>0.25</v>
      </c>
      <c r="E292" s="3" t="s">
        <v>17</v>
      </c>
      <c r="F292" t="s">
        <v>19</v>
      </c>
      <c r="G292" t="s">
        <v>16</v>
      </c>
      <c r="H292" t="s">
        <v>21</v>
      </c>
      <c r="I292" s="16">
        <v>9934728.1588174924</v>
      </c>
      <c r="J292" s="16">
        <v>10069355.200000001</v>
      </c>
      <c r="K292" s="16">
        <v>20004083.358817495</v>
      </c>
      <c r="L292" s="17">
        <v>184.35274381005425</v>
      </c>
      <c r="M292" s="17">
        <v>89.724035312216643</v>
      </c>
      <c r="N292" s="15">
        <v>33.195900784935226</v>
      </c>
      <c r="O292" s="11">
        <v>0.14627170768037401</v>
      </c>
      <c r="P292" s="11">
        <v>0.1455005362278915</v>
      </c>
    </row>
    <row r="293" spans="1:16">
      <c r="A293">
        <v>5</v>
      </c>
      <c r="B293">
        <v>2.8</v>
      </c>
      <c r="C293" t="s">
        <v>16</v>
      </c>
      <c r="D293" s="3">
        <v>0.25</v>
      </c>
      <c r="E293" s="3">
        <v>0.75</v>
      </c>
      <c r="F293" t="s">
        <v>19</v>
      </c>
      <c r="G293" t="s">
        <v>16</v>
      </c>
      <c r="H293" t="s">
        <v>21</v>
      </c>
      <c r="I293" s="16">
        <v>10269821.131004777</v>
      </c>
      <c r="J293" s="16">
        <v>6568122.3999999994</v>
      </c>
      <c r="K293" s="16">
        <v>16837943.531004775</v>
      </c>
      <c r="L293" s="17">
        <v>155.1743728707886</v>
      </c>
      <c r="M293" s="17">
        <v>57.731655397240509</v>
      </c>
      <c r="N293" s="15">
        <v>27.590247607583628</v>
      </c>
      <c r="O293" s="11">
        <v>0.28139527720160673</v>
      </c>
      <c r="P293" s="11">
        <v>0.28979629326043277</v>
      </c>
    </row>
    <row r="294" spans="1:16">
      <c r="A294">
        <v>5</v>
      </c>
      <c r="B294">
        <v>2.8</v>
      </c>
      <c r="C294" t="s">
        <v>19</v>
      </c>
      <c r="D294" s="3" t="s">
        <v>16</v>
      </c>
      <c r="E294" s="3" t="s">
        <v>17</v>
      </c>
      <c r="F294" t="s">
        <v>19</v>
      </c>
      <c r="G294" t="s">
        <v>16</v>
      </c>
      <c r="H294" t="s">
        <v>21</v>
      </c>
      <c r="I294" s="16">
        <v>10460853.11514912</v>
      </c>
      <c r="J294" s="16">
        <v>9582096.2000000011</v>
      </c>
      <c r="K294" s="16">
        <v>20042949.315149121</v>
      </c>
      <c r="L294" s="17">
        <v>184.71092296588037</v>
      </c>
      <c r="M294" s="17">
        <v>85.012765244310899</v>
      </c>
      <c r="N294" s="15">
        <v>33.16698204398844</v>
      </c>
      <c r="O294" s="11">
        <v>0.14461299800929373</v>
      </c>
      <c r="P294" s="11">
        <v>0.14624493683301709</v>
      </c>
    </row>
    <row r="295" spans="1:16">
      <c r="A295">
        <v>5</v>
      </c>
      <c r="B295">
        <v>2.8</v>
      </c>
      <c r="C295" t="s">
        <v>19</v>
      </c>
      <c r="D295" s="3" t="s">
        <v>16</v>
      </c>
      <c r="E295" s="3">
        <v>0.75</v>
      </c>
      <c r="F295" t="s">
        <v>19</v>
      </c>
      <c r="G295" t="s">
        <v>16</v>
      </c>
      <c r="H295" t="s">
        <v>21</v>
      </c>
      <c r="I295" s="16">
        <v>10796120.087321959</v>
      </c>
      <c r="J295" s="16">
        <v>6066887.2999999998</v>
      </c>
      <c r="K295" s="16">
        <v>16863007.38732196</v>
      </c>
      <c r="L295" s="17">
        <v>155.40535524571945</v>
      </c>
      <c r="M295" s="17">
        <v>53.025210616040141</v>
      </c>
      <c r="N295" s="15">
        <v>27.537129407439799</v>
      </c>
      <c r="O295" s="11">
        <v>0.28032560943084206</v>
      </c>
      <c r="P295" s="11">
        <v>0.29116361490154452</v>
      </c>
    </row>
    <row r="296" spans="1:16">
      <c r="A296">
        <v>5</v>
      </c>
      <c r="B296">
        <v>2.8</v>
      </c>
      <c r="C296" t="s">
        <v>19</v>
      </c>
      <c r="D296" s="3">
        <v>0.25</v>
      </c>
      <c r="E296" s="3" t="s">
        <v>17</v>
      </c>
      <c r="F296" t="s">
        <v>19</v>
      </c>
      <c r="G296" t="s">
        <v>16</v>
      </c>
      <c r="H296" t="s">
        <v>21</v>
      </c>
      <c r="I296" s="16">
        <v>9934184.1588626448</v>
      </c>
      <c r="J296" s="16">
        <v>9862907.4000000004</v>
      </c>
      <c r="K296" s="16">
        <v>19797091.558862645</v>
      </c>
      <c r="L296" s="17">
        <v>182.44515796453544</v>
      </c>
      <c r="M296" s="17">
        <v>87.729423261160775</v>
      </c>
      <c r="N296" s="15">
        <v>32.833559741699581</v>
      </c>
      <c r="O296" s="11">
        <v>0.15510564186920184</v>
      </c>
      <c r="P296" s="11">
        <v>0.15482759829960357</v>
      </c>
    </row>
    <row r="297" spans="1:16">
      <c r="A297">
        <v>5</v>
      </c>
      <c r="B297">
        <v>2.8</v>
      </c>
      <c r="C297" t="s">
        <v>19</v>
      </c>
      <c r="D297" s="3">
        <v>0.25</v>
      </c>
      <c r="E297" s="3">
        <v>0.75</v>
      </c>
      <c r="F297" t="s">
        <v>19</v>
      </c>
      <c r="G297" t="s">
        <v>16</v>
      </c>
      <c r="H297" t="s">
        <v>21</v>
      </c>
      <c r="I297" s="16">
        <v>10270035.130987013</v>
      </c>
      <c r="J297" s="16">
        <v>6362641.5</v>
      </c>
      <c r="K297" s="16">
        <v>16632676.630987013</v>
      </c>
      <c r="L297" s="17">
        <v>153.2826832815739</v>
      </c>
      <c r="M297" s="17">
        <v>55.737667096172842</v>
      </c>
      <c r="N297" s="15">
        <v>27.230787142202011</v>
      </c>
      <c r="O297" s="11">
        <v>0.29015559662632362</v>
      </c>
      <c r="P297" s="11">
        <v>0.29904920604944962</v>
      </c>
    </row>
    <row r="298" spans="1:16">
      <c r="A298">
        <v>5</v>
      </c>
      <c r="B298">
        <v>4</v>
      </c>
      <c r="C298" t="s">
        <v>16</v>
      </c>
      <c r="D298" s="3" t="s">
        <v>16</v>
      </c>
      <c r="E298" s="3" t="s">
        <v>17</v>
      </c>
      <c r="F298" t="s">
        <v>19</v>
      </c>
      <c r="G298" t="s">
        <v>16</v>
      </c>
      <c r="H298" t="s">
        <v>21</v>
      </c>
      <c r="I298" s="16">
        <v>10472324.114197027</v>
      </c>
      <c r="J298" s="16">
        <v>8965096.7999999989</v>
      </c>
      <c r="K298" s="16">
        <v>19437420.914197028</v>
      </c>
      <c r="L298" s="17">
        <v>179.13052119649723</v>
      </c>
      <c r="M298" s="17">
        <v>78.947730883803089</v>
      </c>
      <c r="N298" s="15">
        <v>32.104591429324806</v>
      </c>
      <c r="O298" s="11">
        <v>0.1704555581717917</v>
      </c>
      <c r="P298" s="11">
        <v>0.17359205467229477</v>
      </c>
    </row>
    <row r="299" spans="1:16">
      <c r="A299">
        <v>5</v>
      </c>
      <c r="B299">
        <v>4</v>
      </c>
      <c r="C299" t="s">
        <v>16</v>
      </c>
      <c r="D299" s="3" t="s">
        <v>16</v>
      </c>
      <c r="E299" s="3">
        <v>0.75</v>
      </c>
      <c r="F299" t="s">
        <v>19</v>
      </c>
      <c r="G299" t="s">
        <v>16</v>
      </c>
      <c r="H299" t="s">
        <v>21</v>
      </c>
      <c r="I299" s="16">
        <v>10808202.086319152</v>
      </c>
      <c r="J299" s="16">
        <v>5428059.3999999994</v>
      </c>
      <c r="K299" s="16">
        <v>16236261.486319151</v>
      </c>
      <c r="L299" s="17">
        <v>149.62941818081799</v>
      </c>
      <c r="M299" s="17">
        <v>46.965528084435526</v>
      </c>
      <c r="N299" s="15">
        <v>26.43747447010325</v>
      </c>
      <c r="O299" s="11">
        <v>0.30707368372066457</v>
      </c>
      <c r="P299" s="11">
        <v>0.31946995791588628</v>
      </c>
    </row>
    <row r="300" spans="1:16">
      <c r="A300">
        <v>5</v>
      </c>
      <c r="B300">
        <v>4</v>
      </c>
      <c r="C300" t="s">
        <v>16</v>
      </c>
      <c r="D300" s="3">
        <v>0.25</v>
      </c>
      <c r="E300" s="3" t="s">
        <v>17</v>
      </c>
      <c r="F300" t="s">
        <v>19</v>
      </c>
      <c r="G300" t="s">
        <v>16</v>
      </c>
      <c r="H300" t="s">
        <v>21</v>
      </c>
      <c r="I300" s="16">
        <v>9943109.1581218727</v>
      </c>
      <c r="J300" s="16">
        <v>9231375.2000000011</v>
      </c>
      <c r="K300" s="16">
        <v>19174484.358121872</v>
      </c>
      <c r="L300" s="17">
        <v>176.70736214986914</v>
      </c>
      <c r="M300" s="17">
        <v>81.554230872431376</v>
      </c>
      <c r="N300" s="15">
        <v>31.741733524669804</v>
      </c>
      <c r="O300" s="11">
        <v>0.18167708594589482</v>
      </c>
      <c r="P300" s="11">
        <v>0.18293242133268317</v>
      </c>
    </row>
    <row r="301" spans="1:16">
      <c r="A301">
        <v>5</v>
      </c>
      <c r="B301">
        <v>4</v>
      </c>
      <c r="C301" t="s">
        <v>16</v>
      </c>
      <c r="D301" s="3">
        <v>0.25</v>
      </c>
      <c r="E301" s="3">
        <v>0.75</v>
      </c>
      <c r="F301" t="s">
        <v>19</v>
      </c>
      <c r="G301" t="s">
        <v>16</v>
      </c>
      <c r="H301" t="s">
        <v>21</v>
      </c>
      <c r="I301" s="16">
        <v>10279977.130161826</v>
      </c>
      <c r="J301" s="16">
        <v>5712591.7000000002</v>
      </c>
      <c r="K301" s="16">
        <v>15992568.830161825</v>
      </c>
      <c r="L301" s="17">
        <v>147.38360621317486</v>
      </c>
      <c r="M301" s="17">
        <v>49.566460226848676</v>
      </c>
      <c r="N301" s="15">
        <v>26.108130038509085</v>
      </c>
      <c r="O301" s="11">
        <v>0.317473926084198</v>
      </c>
      <c r="P301" s="11">
        <v>0.32794765044837082</v>
      </c>
    </row>
    <row r="302" spans="1:16">
      <c r="A302">
        <v>5</v>
      </c>
      <c r="B302">
        <v>4</v>
      </c>
      <c r="C302" t="s">
        <v>19</v>
      </c>
      <c r="D302" s="3" t="s">
        <v>16</v>
      </c>
      <c r="E302" s="3" t="s">
        <v>17</v>
      </c>
      <c r="F302" t="s">
        <v>19</v>
      </c>
      <c r="G302" t="s">
        <v>16</v>
      </c>
      <c r="H302" t="s">
        <v>21</v>
      </c>
      <c r="I302" s="16">
        <v>10475007.113974337</v>
      </c>
      <c r="J302" s="16">
        <v>8765475.9000000004</v>
      </c>
      <c r="K302" s="16">
        <v>19240483.013974339</v>
      </c>
      <c r="L302" s="17">
        <v>177.315589634025</v>
      </c>
      <c r="M302" s="17">
        <v>76.977077852857278</v>
      </c>
      <c r="N302" s="15">
        <v>31.759259915049093</v>
      </c>
      <c r="O302" s="11">
        <v>0.17886041503197958</v>
      </c>
      <c r="P302" s="11">
        <v>0.18248127252132884</v>
      </c>
    </row>
    <row r="303" spans="1:16">
      <c r="A303">
        <v>5</v>
      </c>
      <c r="B303">
        <v>4</v>
      </c>
      <c r="C303" t="s">
        <v>19</v>
      </c>
      <c r="D303" s="3" t="s">
        <v>16</v>
      </c>
      <c r="E303" s="3">
        <v>0.75</v>
      </c>
      <c r="F303" t="s">
        <v>19</v>
      </c>
      <c r="G303" t="s">
        <v>16</v>
      </c>
      <c r="H303" t="s">
        <v>21</v>
      </c>
      <c r="I303" s="16">
        <v>10810967.086089658</v>
      </c>
      <c r="J303" s="16">
        <v>5218154.2</v>
      </c>
      <c r="K303" s="16">
        <v>16029121.286089659</v>
      </c>
      <c r="L303" s="17">
        <v>147.72046471463287</v>
      </c>
      <c r="M303" s="17">
        <v>44.997810188715647</v>
      </c>
      <c r="N303" s="15">
        <v>26.074263680284112</v>
      </c>
      <c r="O303" s="11">
        <v>0.31591395129207123</v>
      </c>
      <c r="P303" s="11">
        <v>0.32881940823348521</v>
      </c>
    </row>
    <row r="304" spans="1:16">
      <c r="A304">
        <v>5</v>
      </c>
      <c r="B304">
        <v>4</v>
      </c>
      <c r="C304" t="s">
        <v>19</v>
      </c>
      <c r="D304" s="3">
        <v>0.25</v>
      </c>
      <c r="E304" s="3" t="s">
        <v>17</v>
      </c>
      <c r="F304" t="s">
        <v>19</v>
      </c>
      <c r="G304" t="s">
        <v>16</v>
      </c>
      <c r="H304" t="s">
        <v>21</v>
      </c>
      <c r="I304" s="16">
        <v>9944736.1579868291</v>
      </c>
      <c r="J304" s="16">
        <v>9027652.2999999989</v>
      </c>
      <c r="K304" s="16">
        <v>18972388.457986828</v>
      </c>
      <c r="L304" s="17">
        <v>174.84489572067204</v>
      </c>
      <c r="M304" s="17">
        <v>79.549576716586898</v>
      </c>
      <c r="N304" s="15">
        <v>31.387565022459082</v>
      </c>
      <c r="O304" s="11">
        <v>0.19030207438511948</v>
      </c>
      <c r="P304" s="11">
        <v>0.19204911309485928</v>
      </c>
    </row>
    <row r="305" spans="1:16">
      <c r="A305">
        <v>5</v>
      </c>
      <c r="B305">
        <v>4</v>
      </c>
      <c r="C305" t="s">
        <v>19</v>
      </c>
      <c r="D305" s="3">
        <v>0.25</v>
      </c>
      <c r="E305" s="3">
        <v>0.75</v>
      </c>
      <c r="F305" t="s">
        <v>19</v>
      </c>
      <c r="G305" t="s">
        <v>16</v>
      </c>
      <c r="H305" t="s">
        <v>21</v>
      </c>
      <c r="I305" s="16">
        <v>10282204.129976986</v>
      </c>
      <c r="J305" s="16">
        <v>5504122.2000000002</v>
      </c>
      <c r="K305" s="16">
        <v>15786326.329976987</v>
      </c>
      <c r="L305" s="17">
        <v>145.48292573122907</v>
      </c>
      <c r="M305" s="17">
        <v>47.563680021185242</v>
      </c>
      <c r="N305" s="15">
        <v>25.746590277217756</v>
      </c>
      <c r="O305" s="11">
        <v>0.32627588188133394</v>
      </c>
      <c r="P305" s="11">
        <v>0.33725408663027245</v>
      </c>
    </row>
    <row r="306" spans="1:16">
      <c r="A306">
        <v>5</v>
      </c>
      <c r="B306">
        <v>5.5</v>
      </c>
      <c r="C306" t="s">
        <v>16</v>
      </c>
      <c r="D306" s="3" t="s">
        <v>16</v>
      </c>
      <c r="E306" s="3" t="s">
        <v>17</v>
      </c>
      <c r="F306" t="s">
        <v>19</v>
      </c>
      <c r="G306" t="s">
        <v>16</v>
      </c>
      <c r="H306" t="s">
        <v>21</v>
      </c>
      <c r="I306" s="16">
        <v>10481454.113439238</v>
      </c>
      <c r="J306" s="16">
        <v>8560581</v>
      </c>
      <c r="K306" s="16">
        <v>19042035.11343924</v>
      </c>
      <c r="L306" s="17">
        <v>175.48674227767441</v>
      </c>
      <c r="M306" s="17">
        <v>74.962146673397456</v>
      </c>
      <c r="N306" s="15">
        <v>31.410590637910346</v>
      </c>
      <c r="O306" s="11">
        <v>0.18732971523430886</v>
      </c>
      <c r="P306" s="11">
        <v>0.19145640810445708</v>
      </c>
    </row>
    <row r="307" spans="1:16">
      <c r="A307">
        <v>5</v>
      </c>
      <c r="B307">
        <v>5.5</v>
      </c>
      <c r="C307" t="s">
        <v>16</v>
      </c>
      <c r="D307" s="3" t="s">
        <v>16</v>
      </c>
      <c r="E307" s="3">
        <v>0.75</v>
      </c>
      <c r="F307" t="s">
        <v>19</v>
      </c>
      <c r="G307" t="s">
        <v>16</v>
      </c>
      <c r="H307" t="s">
        <v>21</v>
      </c>
      <c r="I307" s="16">
        <v>10817349.085559951</v>
      </c>
      <c r="J307" s="16">
        <v>5002389</v>
      </c>
      <c r="K307" s="16">
        <v>15819738.085559951</v>
      </c>
      <c r="L307" s="17">
        <v>145.79084030580594</v>
      </c>
      <c r="M307" s="17">
        <v>42.985244398821521</v>
      </c>
      <c r="N307" s="15">
        <v>25.706458743656189</v>
      </c>
      <c r="O307" s="11">
        <v>0.32484994496007669</v>
      </c>
      <c r="P307" s="11">
        <v>0.33828711700745295</v>
      </c>
    </row>
    <row r="308" spans="1:16">
      <c r="A308">
        <v>5</v>
      </c>
      <c r="B308">
        <v>5.5</v>
      </c>
      <c r="C308" t="s">
        <v>16</v>
      </c>
      <c r="D308" s="3">
        <v>0.25</v>
      </c>
      <c r="E308" s="3" t="s">
        <v>17</v>
      </c>
      <c r="F308" t="s">
        <v>19</v>
      </c>
      <c r="G308" t="s">
        <v>16</v>
      </c>
      <c r="H308" t="s">
        <v>21</v>
      </c>
      <c r="I308" s="16">
        <v>9949898.1575583834</v>
      </c>
      <c r="J308" s="16">
        <v>8819768.7999999989</v>
      </c>
      <c r="K308" s="16">
        <v>18769666.957558382</v>
      </c>
      <c r="L308" s="17">
        <v>172.97666391204973</v>
      </c>
      <c r="M308" s="17">
        <v>77.484054282671778</v>
      </c>
      <c r="N308" s="15">
        <v>31.031649544288712</v>
      </c>
      <c r="O308" s="11">
        <v>0.1989537620067352</v>
      </c>
      <c r="P308" s="11">
        <v>0.2012107739642276</v>
      </c>
    </row>
    <row r="309" spans="1:16">
      <c r="A309">
        <v>5</v>
      </c>
      <c r="B309">
        <v>5.5</v>
      </c>
      <c r="C309" t="s">
        <v>16</v>
      </c>
      <c r="D309" s="3">
        <v>0.25</v>
      </c>
      <c r="E309" s="3">
        <v>0.75</v>
      </c>
      <c r="F309" t="s">
        <v>19</v>
      </c>
      <c r="G309" t="s">
        <v>16</v>
      </c>
      <c r="H309" t="s">
        <v>21</v>
      </c>
      <c r="I309" s="16">
        <v>10287556.129532771</v>
      </c>
      <c r="J309" s="16">
        <v>5285339.1000000006</v>
      </c>
      <c r="K309" s="16">
        <v>15572895.229532771</v>
      </c>
      <c r="L309" s="17">
        <v>143.51599686598084</v>
      </c>
      <c r="M309" s="17">
        <v>45.50059858289498</v>
      </c>
      <c r="N309" s="15">
        <v>25.371887338419977</v>
      </c>
      <c r="O309" s="11">
        <v>0.33538463061236845</v>
      </c>
      <c r="P309" s="11">
        <v>0.34689935766391278</v>
      </c>
    </row>
    <row r="310" spans="1:16">
      <c r="A310">
        <v>5</v>
      </c>
      <c r="B310">
        <v>5.5</v>
      </c>
      <c r="C310" t="s">
        <v>19</v>
      </c>
      <c r="D310" s="3" t="s">
        <v>16</v>
      </c>
      <c r="E310" s="3" t="s">
        <v>17</v>
      </c>
      <c r="F310" t="s">
        <v>19</v>
      </c>
      <c r="G310" t="s">
        <v>16</v>
      </c>
      <c r="H310" t="s">
        <v>21</v>
      </c>
      <c r="I310" s="16">
        <v>10485484.113104744</v>
      </c>
      <c r="J310" s="16">
        <v>8358498.8999999994</v>
      </c>
      <c r="K310" s="16">
        <v>18843983.013104744</v>
      </c>
      <c r="L310" s="17">
        <v>173.66154251925036</v>
      </c>
      <c r="M310" s="17">
        <v>72.997450319828275</v>
      </c>
      <c r="N310" s="15">
        <v>31.063059893967761</v>
      </c>
      <c r="O310" s="11">
        <v>0.19578212359394287</v>
      </c>
      <c r="P310" s="11">
        <v>0.20040223657488154</v>
      </c>
    </row>
    <row r="311" spans="1:16">
      <c r="A311">
        <v>5</v>
      </c>
      <c r="B311">
        <v>5.5</v>
      </c>
      <c r="C311" t="s">
        <v>19</v>
      </c>
      <c r="D311" s="3" t="s">
        <v>16</v>
      </c>
      <c r="E311" s="3">
        <v>0.75</v>
      </c>
      <c r="F311" t="s">
        <v>19</v>
      </c>
      <c r="G311" t="s">
        <v>16</v>
      </c>
      <c r="H311" t="s">
        <v>21</v>
      </c>
      <c r="I311" s="16">
        <v>10821634.085204298</v>
      </c>
      <c r="J311" s="16">
        <v>4791839.2</v>
      </c>
      <c r="K311" s="16">
        <v>15613473.285204299</v>
      </c>
      <c r="L311" s="17">
        <v>143.88995431093548</v>
      </c>
      <c r="M311" s="17">
        <v>41.023766703200174</v>
      </c>
      <c r="N311" s="15">
        <v>25.344500614438974</v>
      </c>
      <c r="O311" s="11">
        <v>0.33365285247723919</v>
      </c>
      <c r="P311" s="11">
        <v>0.3476043224457952</v>
      </c>
    </row>
    <row r="312" spans="1:16">
      <c r="A312">
        <v>5</v>
      </c>
      <c r="B312">
        <v>5.5</v>
      </c>
      <c r="C312" t="s">
        <v>19</v>
      </c>
      <c r="D312" s="3">
        <v>0.25</v>
      </c>
      <c r="E312" s="3" t="s">
        <v>17</v>
      </c>
      <c r="F312" t="s">
        <v>19</v>
      </c>
      <c r="G312" t="s">
        <v>16</v>
      </c>
      <c r="H312" t="s">
        <v>21</v>
      </c>
      <c r="I312" s="16">
        <v>9952629.1573317107</v>
      </c>
      <c r="J312" s="16">
        <v>8617305.7999999989</v>
      </c>
      <c r="K312" s="16">
        <v>18569934.95733171</v>
      </c>
      <c r="L312" s="17">
        <v>171.13598260673876</v>
      </c>
      <c r="M312" s="17">
        <v>75.480393806462189</v>
      </c>
      <c r="N312" s="15">
        <v>30.681416731748975</v>
      </c>
      <c r="O312" s="11">
        <v>0.20747786463200946</v>
      </c>
      <c r="P312" s="11">
        <v>0.21022615669023026</v>
      </c>
    </row>
    <row r="313" spans="1:16">
      <c r="A313">
        <v>5</v>
      </c>
      <c r="B313">
        <v>5.5</v>
      </c>
      <c r="C313" t="s">
        <v>19</v>
      </c>
      <c r="D313" s="3">
        <v>0.25</v>
      </c>
      <c r="E313" s="3">
        <v>0.75</v>
      </c>
      <c r="F313" t="s">
        <v>19</v>
      </c>
      <c r="G313" t="s">
        <v>16</v>
      </c>
      <c r="H313" t="s">
        <v>21</v>
      </c>
      <c r="I313" s="16">
        <v>10290660.129275138</v>
      </c>
      <c r="J313" s="16">
        <v>5071390.5</v>
      </c>
      <c r="K313" s="16">
        <v>15362050.629275138</v>
      </c>
      <c r="L313" s="17">
        <v>141.57290455438559</v>
      </c>
      <c r="M313" s="17">
        <v>43.499241391273912</v>
      </c>
      <c r="N313" s="15">
        <v>25.002127685154935</v>
      </c>
      <c r="O313" s="11">
        <v>0.34438299346129253</v>
      </c>
      <c r="P313" s="11">
        <v>0.35641738302151738</v>
      </c>
    </row>
    <row r="314" spans="1:16">
      <c r="A314">
        <v>10</v>
      </c>
      <c r="B314">
        <v>2.8</v>
      </c>
      <c r="C314" t="s">
        <v>16</v>
      </c>
      <c r="D314" s="3" t="s">
        <v>16</v>
      </c>
      <c r="E314" s="3" t="s">
        <v>17</v>
      </c>
      <c r="F314" t="s">
        <v>19</v>
      </c>
      <c r="G314" t="s">
        <v>16</v>
      </c>
      <c r="H314" t="s">
        <v>21</v>
      </c>
      <c r="I314" s="16">
        <v>10460402.115186553</v>
      </c>
      <c r="J314" s="16">
        <v>9210103.4000000004</v>
      </c>
      <c r="K314" s="16">
        <v>19670505.515186556</v>
      </c>
      <c r="L314" s="17">
        <v>181.27857192001869</v>
      </c>
      <c r="M314" s="17">
        <v>81.340506044218685</v>
      </c>
      <c r="N314" s="15">
        <v>32.514918471383588</v>
      </c>
      <c r="O314" s="11">
        <v>0.16050804321699719</v>
      </c>
      <c r="P314" s="11">
        <v>0.16302977953832576</v>
      </c>
    </row>
    <row r="315" spans="1:16">
      <c r="A315">
        <v>10</v>
      </c>
      <c r="B315">
        <v>2.8</v>
      </c>
      <c r="C315" t="s">
        <v>16</v>
      </c>
      <c r="D315" s="3" t="s">
        <v>16</v>
      </c>
      <c r="E315" s="3">
        <v>0.75</v>
      </c>
      <c r="F315" t="s">
        <v>19</v>
      </c>
      <c r="G315" t="s">
        <v>16</v>
      </c>
      <c r="H315" t="s">
        <v>21</v>
      </c>
      <c r="I315" s="16">
        <v>10795727.087354578</v>
      </c>
      <c r="J315" s="16">
        <v>5681182.1000000006</v>
      </c>
      <c r="K315" s="16">
        <v>16476909.18735458</v>
      </c>
      <c r="L315" s="17">
        <v>151.84716858615749</v>
      </c>
      <c r="M315" s="17">
        <v>49.35450134016105</v>
      </c>
      <c r="N315" s="15">
        <v>26.86114637795626</v>
      </c>
      <c r="O315" s="11">
        <v>0.29680339304198367</v>
      </c>
      <c r="P315" s="11">
        <v>0.30856417107126488</v>
      </c>
    </row>
    <row r="316" spans="1:16">
      <c r="A316">
        <v>10</v>
      </c>
      <c r="B316">
        <v>2.8</v>
      </c>
      <c r="C316" t="s">
        <v>16</v>
      </c>
      <c r="D316" s="3">
        <v>0.25</v>
      </c>
      <c r="E316" s="3" t="s">
        <v>17</v>
      </c>
      <c r="F316" t="s">
        <v>19</v>
      </c>
      <c r="G316" t="s">
        <v>16</v>
      </c>
      <c r="H316" t="s">
        <v>21</v>
      </c>
      <c r="I316" s="16">
        <v>9933436.1589247305</v>
      </c>
      <c r="J316" s="16">
        <v>9483238</v>
      </c>
      <c r="K316" s="16">
        <v>19416674.158924729</v>
      </c>
      <c r="L316" s="17">
        <v>178.93932416982028</v>
      </c>
      <c r="M316" s="17">
        <v>84.02107296867689</v>
      </c>
      <c r="N316" s="15">
        <v>32.167589188396455</v>
      </c>
      <c r="O316" s="11">
        <v>0.17134098199412262</v>
      </c>
      <c r="P316" s="11">
        <v>0.17197042217934566</v>
      </c>
    </row>
    <row r="317" spans="1:16">
      <c r="A317">
        <v>10</v>
      </c>
      <c r="B317">
        <v>2.8</v>
      </c>
      <c r="C317" t="s">
        <v>16</v>
      </c>
      <c r="D317" s="3">
        <v>0.25</v>
      </c>
      <c r="E317" s="3">
        <v>0.75</v>
      </c>
      <c r="F317" t="s">
        <v>19</v>
      </c>
      <c r="G317" t="s">
        <v>16</v>
      </c>
      <c r="H317" t="s">
        <v>21</v>
      </c>
      <c r="I317" s="16">
        <v>10269293.131048599</v>
      </c>
      <c r="J317" s="16">
        <v>5974797.3999999994</v>
      </c>
      <c r="K317" s="16">
        <v>16244090.5310486</v>
      </c>
      <c r="L317" s="17">
        <v>149.70156874385037</v>
      </c>
      <c r="M317" s="17">
        <v>52.030502198688225</v>
      </c>
      <c r="N317" s="15">
        <v>26.55051214183672</v>
      </c>
      <c r="O317" s="11">
        <v>0.30673955808903852</v>
      </c>
      <c r="P317" s="11">
        <v>0.31656024233057722</v>
      </c>
    </row>
    <row r="318" spans="1:16">
      <c r="A318">
        <v>10</v>
      </c>
      <c r="B318">
        <v>2.8</v>
      </c>
      <c r="C318" t="s">
        <v>19</v>
      </c>
      <c r="D318" s="3" t="s">
        <v>16</v>
      </c>
      <c r="E318" s="3" t="s">
        <v>17</v>
      </c>
      <c r="F318" t="s">
        <v>19</v>
      </c>
      <c r="G318" t="s">
        <v>16</v>
      </c>
      <c r="H318" t="s">
        <v>21</v>
      </c>
      <c r="I318" s="16">
        <v>10460985.115138164</v>
      </c>
      <c r="J318" s="16">
        <v>9008871</v>
      </c>
      <c r="K318" s="16">
        <v>19469856.115138166</v>
      </c>
      <c r="L318" s="17">
        <v>179.42943608213702</v>
      </c>
      <c r="M318" s="17">
        <v>79.359143955033645</v>
      </c>
      <c r="N318" s="15">
        <v>32.163475206484357</v>
      </c>
      <c r="O318" s="11">
        <v>0.16907129835774137</v>
      </c>
      <c r="P318" s="11">
        <v>0.17207632065640854</v>
      </c>
    </row>
    <row r="319" spans="1:16">
      <c r="A319">
        <v>10</v>
      </c>
      <c r="B319">
        <v>2.8</v>
      </c>
      <c r="C319" t="s">
        <v>19</v>
      </c>
      <c r="D319" s="3" t="s">
        <v>16</v>
      </c>
      <c r="E319" s="3">
        <v>0.75</v>
      </c>
      <c r="F319" t="s">
        <v>19</v>
      </c>
      <c r="G319" t="s">
        <v>16</v>
      </c>
      <c r="H319" t="s">
        <v>21</v>
      </c>
      <c r="I319" s="16">
        <v>10797008.087248255</v>
      </c>
      <c r="J319" s="16">
        <v>5473708.7999999998</v>
      </c>
      <c r="K319" s="16">
        <v>16270716.887248255</v>
      </c>
      <c r="L319" s="17">
        <v>149.94695073586786</v>
      </c>
      <c r="M319" s="17">
        <v>47.374859288822321</v>
      </c>
      <c r="N319" s="15">
        <v>26.499868878761617</v>
      </c>
      <c r="O319" s="11">
        <v>0.30560320641516858</v>
      </c>
      <c r="P319" s="11">
        <v>0.31786385633465886</v>
      </c>
    </row>
    <row r="320" spans="1:16">
      <c r="A320">
        <v>10</v>
      </c>
      <c r="B320">
        <v>2.8</v>
      </c>
      <c r="C320" t="s">
        <v>19</v>
      </c>
      <c r="D320" s="3">
        <v>0.25</v>
      </c>
      <c r="E320" s="3" t="s">
        <v>17</v>
      </c>
      <c r="F320" t="s">
        <v>19</v>
      </c>
      <c r="G320" t="s">
        <v>16</v>
      </c>
      <c r="H320" t="s">
        <v>21</v>
      </c>
      <c r="I320" s="16">
        <v>9933507.1589188352</v>
      </c>
      <c r="J320" s="16">
        <v>9279866.7000000011</v>
      </c>
      <c r="K320" s="16">
        <v>19213373.858918838</v>
      </c>
      <c r="L320" s="17">
        <v>177.06575828573426</v>
      </c>
      <c r="M320" s="17">
        <v>82.008229056493661</v>
      </c>
      <c r="N320" s="15">
        <v>31.811598584048205</v>
      </c>
      <c r="O320" s="11">
        <v>0.18001737145115781</v>
      </c>
      <c r="P320" s="11">
        <v>0.18113401688021713</v>
      </c>
    </row>
    <row r="321" spans="1:16">
      <c r="A321">
        <v>10</v>
      </c>
      <c r="B321">
        <v>2.8</v>
      </c>
      <c r="C321" t="s">
        <v>19</v>
      </c>
      <c r="D321" s="3">
        <v>0.25</v>
      </c>
      <c r="E321" s="3">
        <v>0.75</v>
      </c>
      <c r="F321" t="s">
        <v>19</v>
      </c>
      <c r="G321" t="s">
        <v>16</v>
      </c>
      <c r="H321" t="s">
        <v>21</v>
      </c>
      <c r="I321" s="16">
        <v>10270059.130985022</v>
      </c>
      <c r="J321" s="16">
        <v>5762548.2000000002</v>
      </c>
      <c r="K321" s="16">
        <v>16032607.330985021</v>
      </c>
      <c r="L321" s="17">
        <v>147.75259125249903</v>
      </c>
      <c r="M321" s="17">
        <v>50.018881484533821</v>
      </c>
      <c r="N321" s="15">
        <v>26.180065233115453</v>
      </c>
      <c r="O321" s="11">
        <v>0.3157651749096656</v>
      </c>
      <c r="P321" s="11">
        <v>0.32609595840917238</v>
      </c>
    </row>
    <row r="322" spans="1:16">
      <c r="A322">
        <v>10</v>
      </c>
      <c r="B322">
        <v>4</v>
      </c>
      <c r="C322" t="s">
        <v>16</v>
      </c>
      <c r="D322" s="3" t="s">
        <v>16</v>
      </c>
      <c r="E322" s="3" t="s">
        <v>17</v>
      </c>
      <c r="F322" t="s">
        <v>19</v>
      </c>
      <c r="G322" t="s">
        <v>16</v>
      </c>
      <c r="H322" t="s">
        <v>21</v>
      </c>
      <c r="I322" s="16">
        <v>10475214.113957159</v>
      </c>
      <c r="J322" s="16">
        <v>8395651.2999999989</v>
      </c>
      <c r="K322" s="16">
        <v>18870865.413957156</v>
      </c>
      <c r="L322" s="17">
        <v>173.90928415621767</v>
      </c>
      <c r="M322" s="17">
        <v>73.331918024547377</v>
      </c>
      <c r="N322" s="15">
        <v>31.112023721040565</v>
      </c>
      <c r="O322" s="11">
        <v>0.19463484452288937</v>
      </c>
      <c r="P322" s="11">
        <v>0.19914185312425603</v>
      </c>
    </row>
    <row r="323" spans="1:16">
      <c r="A323">
        <v>10</v>
      </c>
      <c r="B323">
        <v>4</v>
      </c>
      <c r="C323" t="s">
        <v>16</v>
      </c>
      <c r="D323" s="3" t="s">
        <v>16</v>
      </c>
      <c r="E323" s="3">
        <v>0.75</v>
      </c>
      <c r="F323" t="s">
        <v>19</v>
      </c>
      <c r="G323" t="s">
        <v>16</v>
      </c>
      <c r="H323" t="s">
        <v>21</v>
      </c>
      <c r="I323" s="16">
        <v>10810966.08608974</v>
      </c>
      <c r="J323" s="16">
        <v>4829636.2</v>
      </c>
      <c r="K323" s="16">
        <v>15640602.286089741</v>
      </c>
      <c r="L323" s="17">
        <v>144.1399685535452</v>
      </c>
      <c r="M323" s="17">
        <v>41.355612497795654</v>
      </c>
      <c r="N323" s="15">
        <v>25.393969593992551</v>
      </c>
      <c r="O323" s="11">
        <v>0.33249504908366068</v>
      </c>
      <c r="P323" s="11">
        <v>0.3463309358076152</v>
      </c>
    </row>
    <row r="324" spans="1:16">
      <c r="A324">
        <v>10</v>
      </c>
      <c r="B324">
        <v>4</v>
      </c>
      <c r="C324" t="s">
        <v>16</v>
      </c>
      <c r="D324" s="3">
        <v>0.25</v>
      </c>
      <c r="E324" s="3" t="s">
        <v>17</v>
      </c>
      <c r="F324" t="s">
        <v>19</v>
      </c>
      <c r="G324" t="s">
        <v>16</v>
      </c>
      <c r="H324" t="s">
        <v>21</v>
      </c>
      <c r="I324" s="16">
        <v>9943797.1580647677</v>
      </c>
      <c r="J324" s="16">
        <v>8657974.2000000011</v>
      </c>
      <c r="K324" s="16">
        <v>18601771.358064771</v>
      </c>
      <c r="L324" s="17">
        <v>171.4293790959905</v>
      </c>
      <c r="M324" s="17">
        <v>75.845255146970629</v>
      </c>
      <c r="N324" s="15">
        <v>30.738789935645933</v>
      </c>
      <c r="O324" s="11">
        <v>0.20611916023431665</v>
      </c>
      <c r="P324" s="11">
        <v>0.20874930651278045</v>
      </c>
    </row>
    <row r="325" spans="1:16">
      <c r="A325">
        <v>10</v>
      </c>
      <c r="B325">
        <v>4</v>
      </c>
      <c r="C325" t="s">
        <v>16</v>
      </c>
      <c r="D325" s="3">
        <v>0.25</v>
      </c>
      <c r="E325" s="3">
        <v>0.75</v>
      </c>
      <c r="F325" t="s">
        <v>19</v>
      </c>
      <c r="G325" t="s">
        <v>16</v>
      </c>
      <c r="H325" t="s">
        <v>21</v>
      </c>
      <c r="I325" s="16">
        <v>10281655.130022554</v>
      </c>
      <c r="J325" s="16">
        <v>5111033.3999999994</v>
      </c>
      <c r="K325" s="16">
        <v>15392688.530022554</v>
      </c>
      <c r="L325" s="17">
        <v>141.85525596064866</v>
      </c>
      <c r="M325" s="17">
        <v>43.861556427717915</v>
      </c>
      <c r="N325" s="15">
        <v>25.057434209795886</v>
      </c>
      <c r="O325" s="11">
        <v>0.34307543828787246</v>
      </c>
      <c r="P325" s="11">
        <v>0.35499373147023183</v>
      </c>
    </row>
    <row r="326" spans="1:16">
      <c r="A326">
        <v>10</v>
      </c>
      <c r="B326">
        <v>4</v>
      </c>
      <c r="C326" t="s">
        <v>19</v>
      </c>
      <c r="D326" s="3" t="s">
        <v>16</v>
      </c>
      <c r="E326" s="3" t="s">
        <v>17</v>
      </c>
      <c r="F326" t="s">
        <v>19</v>
      </c>
      <c r="G326" t="s">
        <v>16</v>
      </c>
      <c r="H326" t="s">
        <v>21</v>
      </c>
      <c r="I326" s="16">
        <v>10477974.113728076</v>
      </c>
      <c r="J326" s="16">
        <v>8192045.6000000006</v>
      </c>
      <c r="K326" s="16">
        <v>18670019.713728078</v>
      </c>
      <c r="L326" s="17">
        <v>172.05833926384091</v>
      </c>
      <c r="M326" s="17">
        <v>71.35973667111962</v>
      </c>
      <c r="N326" s="15">
        <v>30.759835481820495</v>
      </c>
      <c r="O326" s="11">
        <v>0.20320647730408992</v>
      </c>
      <c r="P326" s="11">
        <v>0.20820757071119866</v>
      </c>
    </row>
    <row r="327" spans="1:16">
      <c r="A327">
        <v>10</v>
      </c>
      <c r="B327">
        <v>4</v>
      </c>
      <c r="C327" t="s">
        <v>19</v>
      </c>
      <c r="D327" s="3" t="s">
        <v>16</v>
      </c>
      <c r="E327" s="3">
        <v>0.75</v>
      </c>
      <c r="F327" t="s">
        <v>19</v>
      </c>
      <c r="G327" t="s">
        <v>16</v>
      </c>
      <c r="H327" t="s">
        <v>21</v>
      </c>
      <c r="I327" s="16">
        <v>10814378.085806545</v>
      </c>
      <c r="J327" s="16">
        <v>4615570.3999999994</v>
      </c>
      <c r="K327" s="16">
        <v>15429948.485806543</v>
      </c>
      <c r="L327" s="17">
        <v>142.19863460788832</v>
      </c>
      <c r="M327" s="17">
        <v>39.387114239536402</v>
      </c>
      <c r="N327" s="15">
        <v>25.024487261205845</v>
      </c>
      <c r="O327" s="11">
        <v>0.34148526902828724</v>
      </c>
      <c r="P327" s="11">
        <v>0.35584182262719466</v>
      </c>
    </row>
    <row r="328" spans="1:16">
      <c r="A328">
        <v>10</v>
      </c>
      <c r="B328">
        <v>4</v>
      </c>
      <c r="C328" t="s">
        <v>19</v>
      </c>
      <c r="D328" s="3">
        <v>0.25</v>
      </c>
      <c r="E328" s="3" t="s">
        <v>17</v>
      </c>
      <c r="F328" t="s">
        <v>19</v>
      </c>
      <c r="G328" t="s">
        <v>16</v>
      </c>
      <c r="H328" t="s">
        <v>21</v>
      </c>
      <c r="I328" s="16">
        <v>9946765.1578184236</v>
      </c>
      <c r="J328" s="16">
        <v>8450764.5999999996</v>
      </c>
      <c r="K328" s="16">
        <v>18397529.757818423</v>
      </c>
      <c r="L328" s="17">
        <v>169.54713841891527</v>
      </c>
      <c r="M328" s="17">
        <v>73.827334827956918</v>
      </c>
      <c r="N328" s="15">
        <v>30.380617159792923</v>
      </c>
      <c r="O328" s="11">
        <v>0.21483572222175118</v>
      </c>
      <c r="P328" s="11">
        <v>0.21796907273894828</v>
      </c>
    </row>
    <row r="329" spans="1:16">
      <c r="A329">
        <v>10</v>
      </c>
      <c r="B329">
        <v>4</v>
      </c>
      <c r="C329" t="s">
        <v>19</v>
      </c>
      <c r="D329" s="3">
        <v>0.25</v>
      </c>
      <c r="E329" s="3">
        <v>0.75</v>
      </c>
      <c r="F329" t="s">
        <v>19</v>
      </c>
      <c r="G329" t="s">
        <v>16</v>
      </c>
      <c r="H329" t="s">
        <v>21</v>
      </c>
      <c r="I329" s="16">
        <v>10284708.129769154</v>
      </c>
      <c r="J329" s="16">
        <v>4895180.3</v>
      </c>
      <c r="K329" s="16">
        <v>15179888.429769155</v>
      </c>
      <c r="L329" s="17">
        <v>139.8941422389606</v>
      </c>
      <c r="M329" s="17">
        <v>41.846690053451688</v>
      </c>
      <c r="N329" s="15">
        <v>24.684259888683169</v>
      </c>
      <c r="O329" s="11">
        <v>0.35215725738130776</v>
      </c>
      <c r="P329" s="11">
        <v>0.36459965418190143</v>
      </c>
    </row>
    <row r="330" spans="1:16">
      <c r="A330">
        <v>10</v>
      </c>
      <c r="B330">
        <v>5.5</v>
      </c>
      <c r="C330" t="s">
        <v>16</v>
      </c>
      <c r="D330" s="3" t="s">
        <v>16</v>
      </c>
      <c r="E330" s="3" t="s">
        <v>17</v>
      </c>
      <c r="F330" t="s">
        <v>19</v>
      </c>
      <c r="G330" t="s">
        <v>16</v>
      </c>
      <c r="H330" t="s">
        <v>21</v>
      </c>
      <c r="I330" s="16">
        <v>10484864.113156207</v>
      </c>
      <c r="J330" s="16">
        <v>7992981.3999999994</v>
      </c>
      <c r="K330" s="16">
        <v>18477845.513156205</v>
      </c>
      <c r="L330" s="17">
        <v>170.28730879323891</v>
      </c>
      <c r="M330" s="17">
        <v>69.386364522259825</v>
      </c>
      <c r="N330" s="15">
        <v>30.422069761385895</v>
      </c>
      <c r="O330" s="11">
        <v>0.21140803041398515</v>
      </c>
      <c r="P330" s="11">
        <v>0.21690203659907559</v>
      </c>
    </row>
    <row r="331" spans="1:16">
      <c r="A331">
        <v>10</v>
      </c>
      <c r="B331">
        <v>5.5</v>
      </c>
      <c r="C331" t="s">
        <v>16</v>
      </c>
      <c r="D331" s="3" t="s">
        <v>16</v>
      </c>
      <c r="E331" s="3">
        <v>0.75</v>
      </c>
      <c r="F331" t="s">
        <v>19</v>
      </c>
      <c r="G331" t="s">
        <v>16</v>
      </c>
      <c r="H331" t="s">
        <v>21</v>
      </c>
      <c r="I331" s="16">
        <v>10820808.085272856</v>
      </c>
      <c r="J331" s="16">
        <v>4399570.8</v>
      </c>
      <c r="K331" s="16">
        <v>15220378.885272857</v>
      </c>
      <c r="L331" s="17">
        <v>140.26729238217555</v>
      </c>
      <c r="M331" s="17">
        <v>37.418227150115662</v>
      </c>
      <c r="N331" s="15">
        <v>24.656347092244939</v>
      </c>
      <c r="O331" s="11">
        <v>0.35042921781996572</v>
      </c>
      <c r="P331" s="11">
        <v>0.36531816065483524</v>
      </c>
    </row>
    <row r="332" spans="1:16">
      <c r="A332">
        <v>10</v>
      </c>
      <c r="B332">
        <v>5.5</v>
      </c>
      <c r="C332" t="s">
        <v>16</v>
      </c>
      <c r="D332" s="3">
        <v>0.25</v>
      </c>
      <c r="E332" s="3" t="s">
        <v>17</v>
      </c>
      <c r="F332" t="s">
        <v>19</v>
      </c>
      <c r="G332" t="s">
        <v>16</v>
      </c>
      <c r="H332" t="s">
        <v>21</v>
      </c>
      <c r="I332" s="16">
        <v>9952323.1573571097</v>
      </c>
      <c r="J332" s="16">
        <v>8243437.7999999998</v>
      </c>
      <c r="K332" s="16">
        <v>18195760.957357109</v>
      </c>
      <c r="L332" s="17">
        <v>167.68768646037745</v>
      </c>
      <c r="M332" s="17">
        <v>71.789713730094661</v>
      </c>
      <c r="N332" s="15">
        <v>30.026296864360091</v>
      </c>
      <c r="O332" s="11">
        <v>0.22344675079883869</v>
      </c>
      <c r="P332" s="11">
        <v>0.22708967182774686</v>
      </c>
    </row>
    <row r="333" spans="1:16">
      <c r="A333">
        <v>10</v>
      </c>
      <c r="B333">
        <v>5.5</v>
      </c>
      <c r="C333" t="s">
        <v>16</v>
      </c>
      <c r="D333" s="3">
        <v>0.25</v>
      </c>
      <c r="E333" s="3">
        <v>0.75</v>
      </c>
      <c r="F333" t="s">
        <v>19</v>
      </c>
      <c r="G333" t="s">
        <v>16</v>
      </c>
      <c r="H333" t="s">
        <v>21</v>
      </c>
      <c r="I333" s="16">
        <v>10290420.129295059</v>
      </c>
      <c r="J333" s="16">
        <v>4672441.7</v>
      </c>
      <c r="K333" s="16">
        <v>14962861.829295058</v>
      </c>
      <c r="L333" s="17">
        <v>137.89407812407416</v>
      </c>
      <c r="M333" s="17">
        <v>39.812263311589682</v>
      </c>
      <c r="N333" s="15">
        <v>24.303194899019115</v>
      </c>
      <c r="O333" s="11">
        <v>0.36141945378827356</v>
      </c>
      <c r="P333" s="11">
        <v>0.37440869149165346</v>
      </c>
    </row>
    <row r="334" spans="1:16">
      <c r="A334">
        <v>10</v>
      </c>
      <c r="B334">
        <v>5.5</v>
      </c>
      <c r="C334" t="s">
        <v>19</v>
      </c>
      <c r="D334" s="3" t="s">
        <v>16</v>
      </c>
      <c r="E334" s="3" t="s">
        <v>17</v>
      </c>
      <c r="F334" t="s">
        <v>19</v>
      </c>
      <c r="G334" t="s">
        <v>16</v>
      </c>
      <c r="H334" t="s">
        <v>21</v>
      </c>
      <c r="I334" s="16">
        <v>10488462.112857571</v>
      </c>
      <c r="J334" s="16">
        <v>7796642.1000000006</v>
      </c>
      <c r="K334" s="16">
        <v>18285104.21285757</v>
      </c>
      <c r="L334" s="17">
        <v>168.51105207013796</v>
      </c>
      <c r="M334" s="17">
        <v>67.436216934649494</v>
      </c>
      <c r="N334" s="15">
        <v>30.083917818276721</v>
      </c>
      <c r="O334" s="11">
        <v>0.21963378603656858</v>
      </c>
      <c r="P334" s="11">
        <v>0.22560644428881715</v>
      </c>
    </row>
    <row r="335" spans="1:16">
      <c r="A335">
        <v>10</v>
      </c>
      <c r="B335">
        <v>5.5</v>
      </c>
      <c r="C335" t="s">
        <v>19</v>
      </c>
      <c r="D335" s="3" t="s">
        <v>16</v>
      </c>
      <c r="E335" s="3">
        <v>0.75</v>
      </c>
      <c r="F335" t="s">
        <v>19</v>
      </c>
      <c r="G335" t="s">
        <v>16</v>
      </c>
      <c r="H335" t="s">
        <v>21</v>
      </c>
      <c r="I335" s="16">
        <v>10824682.084951311</v>
      </c>
      <c r="J335" s="16">
        <v>4189138.1999999997</v>
      </c>
      <c r="K335" s="16">
        <v>15013820.284951311</v>
      </c>
      <c r="L335" s="17">
        <v>138.3636987986157</v>
      </c>
      <c r="M335" s="17">
        <v>35.472875146830312</v>
      </c>
      <c r="N335" s="15">
        <v>24.293950274681727</v>
      </c>
      <c r="O335" s="11">
        <v>0.35924466404428446</v>
      </c>
      <c r="P335" s="11">
        <v>0.374646658419867</v>
      </c>
    </row>
    <row r="336" spans="1:16">
      <c r="A336">
        <v>10</v>
      </c>
      <c r="B336">
        <v>5.5</v>
      </c>
      <c r="C336" t="s">
        <v>19</v>
      </c>
      <c r="D336" s="3">
        <v>0.25</v>
      </c>
      <c r="E336" s="3" t="s">
        <v>17</v>
      </c>
      <c r="F336" t="s">
        <v>19</v>
      </c>
      <c r="G336" t="s">
        <v>16</v>
      </c>
      <c r="H336" t="s">
        <v>21</v>
      </c>
      <c r="I336" s="16">
        <v>9955589.1570860296</v>
      </c>
      <c r="J336" s="16">
        <v>8037927.6000000006</v>
      </c>
      <c r="K336" s="16">
        <v>17993516.757086031</v>
      </c>
      <c r="L336" s="17">
        <v>165.82385333336697</v>
      </c>
      <c r="M336" s="17">
        <v>69.779804953137344</v>
      </c>
      <c r="N336" s="15">
        <v>29.671566597120393</v>
      </c>
      <c r="O336" s="11">
        <v>0.23207806834695655</v>
      </c>
      <c r="P336" s="11">
        <v>0.23622082404752998</v>
      </c>
    </row>
    <row r="337" spans="1:16">
      <c r="A337">
        <v>10</v>
      </c>
      <c r="B337">
        <v>5.5</v>
      </c>
      <c r="C337" t="s">
        <v>19</v>
      </c>
      <c r="D337" s="3">
        <v>0.25</v>
      </c>
      <c r="E337" s="3">
        <v>0.75</v>
      </c>
      <c r="F337" t="s">
        <v>19</v>
      </c>
      <c r="G337" t="s">
        <v>16</v>
      </c>
      <c r="H337" t="s">
        <v>21</v>
      </c>
      <c r="I337" s="16">
        <v>10294016.12899659</v>
      </c>
      <c r="J337" s="16">
        <v>4453307</v>
      </c>
      <c r="K337" s="16">
        <v>14747323.12899659</v>
      </c>
      <c r="L337" s="17">
        <v>135.90772613360613</v>
      </c>
      <c r="M337" s="17">
        <v>37.805627196908191</v>
      </c>
      <c r="N337" s="15">
        <v>23.925125223740384</v>
      </c>
      <c r="O337" s="11">
        <v>0.37061815003613197</v>
      </c>
      <c r="P337" s="11">
        <v>0.3841406260725877</v>
      </c>
    </row>
    <row r="338" spans="1:16">
      <c r="A338">
        <v>15</v>
      </c>
      <c r="B338">
        <v>2.8</v>
      </c>
      <c r="C338" t="s">
        <v>16</v>
      </c>
      <c r="D338" s="3" t="s">
        <v>16</v>
      </c>
      <c r="E338" s="3" t="s">
        <v>17</v>
      </c>
      <c r="F338" t="s">
        <v>19</v>
      </c>
      <c r="G338" t="s">
        <v>16</v>
      </c>
      <c r="H338" t="s">
        <v>21</v>
      </c>
      <c r="I338" s="16">
        <v>10459793.115237096</v>
      </c>
      <c r="J338" s="16">
        <v>9013881.2999999989</v>
      </c>
      <c r="K338" s="16">
        <v>19473674.415237095</v>
      </c>
      <c r="L338" s="17">
        <v>179.46462460276561</v>
      </c>
      <c r="M338" s="17">
        <v>79.398939744325006</v>
      </c>
      <c r="N338" s="15">
        <v>32.170380728999746</v>
      </c>
      <c r="O338" s="11">
        <v>0.16890834208703642</v>
      </c>
      <c r="P338" s="11">
        <v>0.17189856481466481</v>
      </c>
    </row>
    <row r="339" spans="1:16">
      <c r="A339">
        <v>15</v>
      </c>
      <c r="B339">
        <v>2.8</v>
      </c>
      <c r="C339" t="s">
        <v>16</v>
      </c>
      <c r="D339" s="3" t="s">
        <v>16</v>
      </c>
      <c r="E339" s="3">
        <v>0.75</v>
      </c>
      <c r="F339" t="s">
        <v>19</v>
      </c>
      <c r="G339" t="s">
        <v>16</v>
      </c>
      <c r="H339" t="s">
        <v>21</v>
      </c>
      <c r="I339" s="16">
        <v>10795452.087377403</v>
      </c>
      <c r="J339" s="16">
        <v>5477664.2999999998</v>
      </c>
      <c r="K339" s="16">
        <v>16273116.387377404</v>
      </c>
      <c r="L339" s="17">
        <v>149.96906394268899</v>
      </c>
      <c r="M339" s="17">
        <v>47.414144737214208</v>
      </c>
      <c r="N339" s="15">
        <v>26.504357182348993</v>
      </c>
      <c r="O339" s="11">
        <v>0.30550080126563328</v>
      </c>
      <c r="P339" s="11">
        <v>0.31774832240070994</v>
      </c>
    </row>
    <row r="340" spans="1:16">
      <c r="A340">
        <v>15</v>
      </c>
      <c r="B340">
        <v>2.8</v>
      </c>
      <c r="C340" t="s">
        <v>16</v>
      </c>
      <c r="D340" s="3">
        <v>0.25</v>
      </c>
      <c r="E340" s="3" t="s">
        <v>17</v>
      </c>
      <c r="F340" t="s">
        <v>19</v>
      </c>
      <c r="G340" t="s">
        <v>16</v>
      </c>
      <c r="H340" t="s">
        <v>21</v>
      </c>
      <c r="I340" s="16">
        <v>9932920.1589675564</v>
      </c>
      <c r="J340" s="16">
        <v>9286224.7999999989</v>
      </c>
      <c r="K340" s="16">
        <v>19219144.958967555</v>
      </c>
      <c r="L340" s="17">
        <v>177.11894333349176</v>
      </c>
      <c r="M340" s="17">
        <v>82.05377090628248</v>
      </c>
      <c r="N340" s="15">
        <v>31.821811936084227</v>
      </c>
      <c r="O340" s="11">
        <v>0.17977107416769711</v>
      </c>
      <c r="P340" s="11">
        <v>0.18087111382195586</v>
      </c>
    </row>
    <row r="341" spans="1:16">
      <c r="A341">
        <v>15</v>
      </c>
      <c r="B341">
        <v>2.8</v>
      </c>
      <c r="C341" t="s">
        <v>16</v>
      </c>
      <c r="D341" s="3">
        <v>0.25</v>
      </c>
      <c r="E341" s="3">
        <v>0.75</v>
      </c>
      <c r="F341" t="s">
        <v>19</v>
      </c>
      <c r="G341" t="s">
        <v>16</v>
      </c>
      <c r="H341" t="s">
        <v>21</v>
      </c>
      <c r="I341" s="16">
        <v>10269094.131065113</v>
      </c>
      <c r="J341" s="16">
        <v>5769170</v>
      </c>
      <c r="K341" s="16">
        <v>16038264.131065113</v>
      </c>
      <c r="L341" s="17">
        <v>147.8047229396773</v>
      </c>
      <c r="M341" s="17">
        <v>50.064220818092707</v>
      </c>
      <c r="N341" s="15">
        <v>26.190148117748194</v>
      </c>
      <c r="O341" s="11">
        <v>0.31552375568611279</v>
      </c>
      <c r="P341" s="11">
        <v>0.32583641372720185</v>
      </c>
    </row>
    <row r="342" spans="1:16">
      <c r="A342">
        <v>15</v>
      </c>
      <c r="B342">
        <v>2.8</v>
      </c>
      <c r="C342" t="s">
        <v>19</v>
      </c>
      <c r="D342" s="3" t="s">
        <v>16</v>
      </c>
      <c r="E342" s="3" t="s">
        <v>17</v>
      </c>
      <c r="F342" t="s">
        <v>19</v>
      </c>
      <c r="G342" t="s">
        <v>16</v>
      </c>
      <c r="H342" t="s">
        <v>21</v>
      </c>
      <c r="I342" s="16">
        <v>10461362.115106871</v>
      </c>
      <c r="J342" s="16">
        <v>8813586.5</v>
      </c>
      <c r="K342" s="16">
        <v>19274948.615106873</v>
      </c>
      <c r="L342" s="17">
        <v>177.63321619165706</v>
      </c>
      <c r="M342" s="17">
        <v>77.413089895484518</v>
      </c>
      <c r="N342" s="15">
        <v>31.822123940501495</v>
      </c>
      <c r="O342" s="11">
        <v>0.17738950240524931</v>
      </c>
      <c r="P342" s="11">
        <v>0.18086308248070748</v>
      </c>
    </row>
    <row r="343" spans="1:16">
      <c r="A343">
        <v>15</v>
      </c>
      <c r="B343">
        <v>2.8</v>
      </c>
      <c r="C343" t="s">
        <v>19</v>
      </c>
      <c r="D343" s="3" t="s">
        <v>16</v>
      </c>
      <c r="E343" s="3">
        <v>0.75</v>
      </c>
      <c r="F343" t="s">
        <v>19</v>
      </c>
      <c r="G343" t="s">
        <v>16</v>
      </c>
      <c r="H343" t="s">
        <v>21</v>
      </c>
      <c r="I343" s="16">
        <v>10797347.087220117</v>
      </c>
      <c r="J343" s="16">
        <v>5265122.1000000006</v>
      </c>
      <c r="K343" s="16">
        <v>16062469.187220119</v>
      </c>
      <c r="L343" s="17">
        <v>148.02779082217964</v>
      </c>
      <c r="M343" s="17">
        <v>45.430638676208225</v>
      </c>
      <c r="N343" s="15">
        <v>26.135166012342882</v>
      </c>
      <c r="O343" s="11">
        <v>0.31449073953205819</v>
      </c>
      <c r="P343" s="11">
        <v>0.32725171436598499</v>
      </c>
    </row>
    <row r="344" spans="1:16">
      <c r="A344">
        <v>15</v>
      </c>
      <c r="B344">
        <v>2.8</v>
      </c>
      <c r="C344" t="s">
        <v>19</v>
      </c>
      <c r="D344" s="3">
        <v>0.25</v>
      </c>
      <c r="E344" s="3" t="s">
        <v>17</v>
      </c>
      <c r="F344" t="s">
        <v>19</v>
      </c>
      <c r="G344" t="s">
        <v>16</v>
      </c>
      <c r="H344" t="s">
        <v>21</v>
      </c>
      <c r="I344" s="16">
        <v>9933481.1589209959</v>
      </c>
      <c r="J344" s="16">
        <v>9082414</v>
      </c>
      <c r="K344" s="16">
        <v>19015895.158920996</v>
      </c>
      <c r="L344" s="17">
        <v>175.2458428446902</v>
      </c>
      <c r="M344" s="17">
        <v>80.033690414149405</v>
      </c>
      <c r="N344" s="15">
        <v>31.465819442442363</v>
      </c>
      <c r="O344" s="11">
        <v>0.18844530840255747</v>
      </c>
      <c r="P344" s="11">
        <v>0.19003475715534945</v>
      </c>
    </row>
    <row r="345" spans="1:16">
      <c r="A345">
        <v>15</v>
      </c>
      <c r="B345">
        <v>2.8</v>
      </c>
      <c r="C345" t="s">
        <v>19</v>
      </c>
      <c r="D345" s="3">
        <v>0.25</v>
      </c>
      <c r="E345" s="3">
        <v>0.75</v>
      </c>
      <c r="F345" t="s">
        <v>19</v>
      </c>
      <c r="G345" t="s">
        <v>16</v>
      </c>
      <c r="H345" t="s">
        <v>21</v>
      </c>
      <c r="I345" s="16">
        <v>10270291.130965766</v>
      </c>
      <c r="J345" s="16">
        <v>5556715.7000000002</v>
      </c>
      <c r="K345" s="16">
        <v>15827006.830965765</v>
      </c>
      <c r="L345" s="17">
        <v>145.8578272871928</v>
      </c>
      <c r="M345" s="17">
        <v>48.045503935241229</v>
      </c>
      <c r="N345" s="15">
        <v>25.820017318604705</v>
      </c>
      <c r="O345" s="11">
        <v>0.32453973161556593</v>
      </c>
      <c r="P345" s="11">
        <v>0.33536399279314433</v>
      </c>
    </row>
    <row r="346" spans="1:16">
      <c r="A346">
        <v>15</v>
      </c>
      <c r="B346">
        <v>4</v>
      </c>
      <c r="C346" t="s">
        <v>16</v>
      </c>
      <c r="D346" s="3" t="s">
        <v>16</v>
      </c>
      <c r="E346" s="3" t="s">
        <v>17</v>
      </c>
      <c r="F346" t="s">
        <v>19</v>
      </c>
      <c r="G346" t="s">
        <v>16</v>
      </c>
      <c r="H346" t="s">
        <v>21</v>
      </c>
      <c r="I346" s="16">
        <v>10475472.113935743</v>
      </c>
      <c r="J346" s="16">
        <v>8196938.7000000002</v>
      </c>
      <c r="K346" s="16">
        <v>18672410.813935742</v>
      </c>
      <c r="L346" s="17">
        <v>172.08037505903835</v>
      </c>
      <c r="M346" s="17">
        <v>71.407608807660949</v>
      </c>
      <c r="N346" s="15">
        <v>30.764483439281396</v>
      </c>
      <c r="O346" s="11">
        <v>0.20310443064389383</v>
      </c>
      <c r="P346" s="11">
        <v>0.20808792710870372</v>
      </c>
    </row>
    <row r="347" spans="1:16">
      <c r="A347">
        <v>15</v>
      </c>
      <c r="B347">
        <v>4</v>
      </c>
      <c r="C347" t="s">
        <v>16</v>
      </c>
      <c r="D347" s="3" t="s">
        <v>16</v>
      </c>
      <c r="E347" s="3">
        <v>0.75</v>
      </c>
      <c r="F347" t="s">
        <v>19</v>
      </c>
      <c r="G347" t="s">
        <v>16</v>
      </c>
      <c r="H347" t="s">
        <v>21</v>
      </c>
      <c r="I347" s="16">
        <v>10811607.086036537</v>
      </c>
      <c r="J347" s="16">
        <v>4619467.3</v>
      </c>
      <c r="K347" s="16">
        <v>15431074.386036538</v>
      </c>
      <c r="L347" s="17">
        <v>142.20901062927018</v>
      </c>
      <c r="M347" s="17">
        <v>39.434162810075982</v>
      </c>
      <c r="N347" s="15">
        <v>25.026969442402947</v>
      </c>
      <c r="O347" s="11">
        <v>0.3414372181946933</v>
      </c>
      <c r="P347" s="11">
        <v>0.35577792851823065</v>
      </c>
    </row>
    <row r="348" spans="1:16">
      <c r="A348">
        <v>15</v>
      </c>
      <c r="B348">
        <v>4</v>
      </c>
      <c r="C348" t="s">
        <v>16</v>
      </c>
      <c r="D348" s="3">
        <v>0.25</v>
      </c>
      <c r="E348" s="3" t="s">
        <v>17</v>
      </c>
      <c r="F348" t="s">
        <v>19</v>
      </c>
      <c r="G348" t="s">
        <v>16</v>
      </c>
      <c r="H348" t="s">
        <v>21</v>
      </c>
      <c r="I348" s="16">
        <v>9944369.1580172889</v>
      </c>
      <c r="J348" s="16">
        <v>8457679.4000000004</v>
      </c>
      <c r="K348" s="16">
        <v>18402048.558017291</v>
      </c>
      <c r="L348" s="17">
        <v>169.58878257728273</v>
      </c>
      <c r="M348" s="17">
        <v>73.879835135406466</v>
      </c>
      <c r="N348" s="15">
        <v>30.388971168855814</v>
      </c>
      <c r="O348" s="11">
        <v>0.21464287021709227</v>
      </c>
      <c r="P348" s="11">
        <v>0.21775403123997417</v>
      </c>
    </row>
    <row r="349" spans="1:16">
      <c r="A349">
        <v>15</v>
      </c>
      <c r="B349">
        <v>4</v>
      </c>
      <c r="C349" t="s">
        <v>16</v>
      </c>
      <c r="D349" s="3">
        <v>0.25</v>
      </c>
      <c r="E349" s="3">
        <v>0.75</v>
      </c>
      <c r="F349" t="s">
        <v>19</v>
      </c>
      <c r="G349" t="s">
        <v>16</v>
      </c>
      <c r="H349" t="s">
        <v>21</v>
      </c>
      <c r="I349" s="16">
        <v>10282420.129959056</v>
      </c>
      <c r="J349" s="16">
        <v>4900454.3</v>
      </c>
      <c r="K349" s="16">
        <v>15182874.429959055</v>
      </c>
      <c r="L349" s="17">
        <v>139.92166048701785</v>
      </c>
      <c r="M349" s="17">
        <v>41.897986064387197</v>
      </c>
      <c r="N349" s="15">
        <v>24.689910068756614</v>
      </c>
      <c r="O349" s="11">
        <v>0.35202982175742714</v>
      </c>
      <c r="P349" s="11">
        <v>0.36445421225296404</v>
      </c>
    </row>
    <row r="350" spans="1:16">
      <c r="A350">
        <v>15</v>
      </c>
      <c r="B350">
        <v>4</v>
      </c>
      <c r="C350" t="s">
        <v>19</v>
      </c>
      <c r="D350" s="3" t="s">
        <v>16</v>
      </c>
      <c r="E350" s="3" t="s">
        <v>17</v>
      </c>
      <c r="F350" t="s">
        <v>19</v>
      </c>
      <c r="G350" t="s">
        <v>16</v>
      </c>
      <c r="H350" t="s">
        <v>21</v>
      </c>
      <c r="I350" s="16">
        <v>10478756.11366317</v>
      </c>
      <c r="J350" s="16">
        <v>7997991.7000000002</v>
      </c>
      <c r="K350" s="16">
        <v>18476747.81366317</v>
      </c>
      <c r="L350" s="17">
        <v>170.27719266295739</v>
      </c>
      <c r="M350" s="17">
        <v>69.437547124106558</v>
      </c>
      <c r="N350" s="15">
        <v>30.421273493246559</v>
      </c>
      <c r="O350" s="11">
        <v>0.21145487770495375</v>
      </c>
      <c r="P350" s="11">
        <v>0.21692253342796086</v>
      </c>
    </row>
    <row r="351" spans="1:16">
      <c r="A351">
        <v>15</v>
      </c>
      <c r="B351">
        <v>4</v>
      </c>
      <c r="C351" t="s">
        <v>19</v>
      </c>
      <c r="D351" s="3" t="s">
        <v>16</v>
      </c>
      <c r="E351" s="3">
        <v>0.75</v>
      </c>
      <c r="F351" t="s">
        <v>19</v>
      </c>
      <c r="G351" t="s">
        <v>16</v>
      </c>
      <c r="H351" t="s">
        <v>21</v>
      </c>
      <c r="I351" s="16">
        <v>10815084.085747944</v>
      </c>
      <c r="J351" s="16">
        <v>4406192.6000000006</v>
      </c>
      <c r="K351" s="16">
        <v>15221276.685747944</v>
      </c>
      <c r="L351" s="17">
        <v>140.27556629195723</v>
      </c>
      <c r="M351" s="17">
        <v>37.468434973842299</v>
      </c>
      <c r="N351" s="15">
        <v>24.658974154720266</v>
      </c>
      <c r="O351" s="11">
        <v>0.3503909017595549</v>
      </c>
      <c r="P351" s="11">
        <v>0.36525053714038369</v>
      </c>
    </row>
    <row r="352" spans="1:16">
      <c r="A352">
        <v>15</v>
      </c>
      <c r="B352">
        <v>4</v>
      </c>
      <c r="C352" t="s">
        <v>19</v>
      </c>
      <c r="D352" s="3">
        <v>0.25</v>
      </c>
      <c r="E352" s="3" t="s">
        <v>17</v>
      </c>
      <c r="F352" t="s">
        <v>19</v>
      </c>
      <c r="G352" t="s">
        <v>16</v>
      </c>
      <c r="H352" t="s">
        <v>21</v>
      </c>
      <c r="I352" s="16">
        <v>9947061.1577938534</v>
      </c>
      <c r="J352" s="16">
        <v>8250557.7000000002</v>
      </c>
      <c r="K352" s="16">
        <v>18197618.857793853</v>
      </c>
      <c r="L352" s="17">
        <v>167.70480841678486</v>
      </c>
      <c r="M352" s="17">
        <v>71.859768144355385</v>
      </c>
      <c r="N352" s="15">
        <v>30.030519902119359</v>
      </c>
      <c r="O352" s="11">
        <v>0.22336745987914441</v>
      </c>
      <c r="P352" s="11">
        <v>0.22698096613169838</v>
      </c>
    </row>
    <row r="353" spans="1:16">
      <c r="A353">
        <v>15</v>
      </c>
      <c r="B353">
        <v>4</v>
      </c>
      <c r="C353" t="s">
        <v>19</v>
      </c>
      <c r="D353" s="3">
        <v>0.25</v>
      </c>
      <c r="E353" s="3">
        <v>0.75</v>
      </c>
      <c r="F353" t="s">
        <v>19</v>
      </c>
      <c r="G353" t="s">
        <v>16</v>
      </c>
      <c r="H353" t="s">
        <v>21</v>
      </c>
      <c r="I353" s="16">
        <v>10285427.129709477</v>
      </c>
      <c r="J353" s="16">
        <v>4680440.6000000006</v>
      </c>
      <c r="K353" s="16">
        <v>14965867.729709476</v>
      </c>
      <c r="L353" s="17">
        <v>137.92177976773749</v>
      </c>
      <c r="M353" s="17">
        <v>39.881507660930644</v>
      </c>
      <c r="N353" s="15">
        <v>24.309378496595841</v>
      </c>
      <c r="O353" s="11">
        <v>0.36129116886855728</v>
      </c>
      <c r="P353" s="11">
        <v>0.37424951880199742</v>
      </c>
    </row>
    <row r="354" spans="1:16">
      <c r="A354">
        <v>15</v>
      </c>
      <c r="B354">
        <v>5.5</v>
      </c>
      <c r="C354" t="s">
        <v>16</v>
      </c>
      <c r="D354" s="3" t="s">
        <v>16</v>
      </c>
      <c r="E354" s="3" t="s">
        <v>17</v>
      </c>
      <c r="F354" t="s">
        <v>19</v>
      </c>
      <c r="G354" t="s">
        <v>16</v>
      </c>
      <c r="H354" t="s">
        <v>21</v>
      </c>
      <c r="I354" s="16">
        <v>10485236.11312533</v>
      </c>
      <c r="J354" s="16">
        <v>7801623.1000000006</v>
      </c>
      <c r="K354" s="16">
        <v>18286859.213125329</v>
      </c>
      <c r="L354" s="17">
        <v>168.52722572373386</v>
      </c>
      <c r="M354" s="17">
        <v>67.486651576553655</v>
      </c>
      <c r="N354" s="15">
        <v>30.087585412963751</v>
      </c>
      <c r="O354" s="11">
        <v>0.21955888665953938</v>
      </c>
      <c r="P354" s="11">
        <v>0.22551203631616701</v>
      </c>
    </row>
    <row r="355" spans="1:16">
      <c r="A355">
        <v>15</v>
      </c>
      <c r="B355">
        <v>5.5</v>
      </c>
      <c r="C355" t="s">
        <v>16</v>
      </c>
      <c r="D355" s="3" t="s">
        <v>16</v>
      </c>
      <c r="E355" s="3">
        <v>0.75</v>
      </c>
      <c r="F355" t="s">
        <v>19</v>
      </c>
      <c r="G355" t="s">
        <v>16</v>
      </c>
      <c r="H355" t="s">
        <v>21</v>
      </c>
      <c r="I355" s="16">
        <v>10821309.085231271</v>
      </c>
      <c r="J355" s="16">
        <v>4193474.6</v>
      </c>
      <c r="K355" s="16">
        <v>15014783.68523127</v>
      </c>
      <c r="L355" s="17">
        <v>138.37257726016838</v>
      </c>
      <c r="M355" s="17">
        <v>35.522067689190848</v>
      </c>
      <c r="N355" s="15">
        <v>24.296258877199847</v>
      </c>
      <c r="O355" s="11">
        <v>0.35920354833500268</v>
      </c>
      <c r="P355" s="11">
        <v>0.3745872324194528</v>
      </c>
    </row>
    <row r="356" spans="1:16">
      <c r="A356">
        <v>15</v>
      </c>
      <c r="B356">
        <v>5.5</v>
      </c>
      <c r="C356" t="s">
        <v>16</v>
      </c>
      <c r="D356" s="3">
        <v>0.25</v>
      </c>
      <c r="E356" s="3" t="s">
        <v>17</v>
      </c>
      <c r="F356" t="s">
        <v>19</v>
      </c>
      <c r="G356" t="s">
        <v>16</v>
      </c>
      <c r="H356" t="s">
        <v>21</v>
      </c>
      <c r="I356" s="16">
        <v>9953044.1572972666</v>
      </c>
      <c r="J356" s="16">
        <v>8044490.7999999998</v>
      </c>
      <c r="K356" s="16">
        <v>17997534.957297266</v>
      </c>
      <c r="L356" s="17">
        <v>165.8608840845807</v>
      </c>
      <c r="M356" s="17">
        <v>69.834341223751892</v>
      </c>
      <c r="N356" s="15">
        <v>29.679071521773572</v>
      </c>
      <c r="O356" s="11">
        <v>0.2319065807989894</v>
      </c>
      <c r="P356" s="11">
        <v>0.23602763892707368</v>
      </c>
    </row>
    <row r="357" spans="1:16">
      <c r="A357">
        <v>15</v>
      </c>
      <c r="B357">
        <v>5.5</v>
      </c>
      <c r="C357" t="s">
        <v>16</v>
      </c>
      <c r="D357" s="3">
        <v>0.25</v>
      </c>
      <c r="E357" s="3">
        <v>0.75</v>
      </c>
      <c r="F357" t="s">
        <v>19</v>
      </c>
      <c r="G357" t="s">
        <v>16</v>
      </c>
      <c r="H357" t="s">
        <v>21</v>
      </c>
      <c r="I357" s="16">
        <v>10291290.129222848</v>
      </c>
      <c r="J357" s="16">
        <v>4459489.3</v>
      </c>
      <c r="K357" s="16">
        <v>14750779.429222848</v>
      </c>
      <c r="L357" s="17">
        <v>135.93957855187057</v>
      </c>
      <c r="M357" s="17">
        <v>37.859226492432221</v>
      </c>
      <c r="N357" s="15">
        <v>23.931679626165803</v>
      </c>
      <c r="O357" s="11">
        <v>0.37047064308782651</v>
      </c>
      <c r="P357" s="11">
        <v>0.38397190845307938</v>
      </c>
    </row>
    <row r="358" spans="1:16">
      <c r="A358">
        <v>15</v>
      </c>
      <c r="B358">
        <v>5.5</v>
      </c>
      <c r="C358" t="s">
        <v>19</v>
      </c>
      <c r="D358" s="3" t="s">
        <v>16</v>
      </c>
      <c r="E358" s="3" t="s">
        <v>17</v>
      </c>
      <c r="F358" t="s">
        <v>19</v>
      </c>
      <c r="G358" t="s">
        <v>16</v>
      </c>
      <c r="H358" t="s">
        <v>21</v>
      </c>
      <c r="I358" s="16">
        <v>10483991.113228664</v>
      </c>
      <c r="J358" s="16">
        <v>7595175.2999999998</v>
      </c>
      <c r="K358" s="16">
        <v>18079166.413228665</v>
      </c>
      <c r="L358" s="17">
        <v>166.61317963405557</v>
      </c>
      <c r="M358" s="17">
        <v>65.545860238766551</v>
      </c>
      <c r="N358" s="15">
        <v>29.724146128220983</v>
      </c>
      <c r="O358" s="11">
        <v>0.22842273791442358</v>
      </c>
      <c r="P358" s="11">
        <v>0.23486736834762523</v>
      </c>
    </row>
    <row r="359" spans="1:16">
      <c r="A359">
        <v>15</v>
      </c>
      <c r="B359">
        <v>5.5</v>
      </c>
      <c r="C359" t="s">
        <v>19</v>
      </c>
      <c r="D359" s="3" t="s">
        <v>16</v>
      </c>
      <c r="E359" s="3">
        <v>0.75</v>
      </c>
      <c r="F359" t="s">
        <v>19</v>
      </c>
      <c r="G359" t="s">
        <v>16</v>
      </c>
      <c r="H359" t="s">
        <v>21</v>
      </c>
      <c r="I359" s="16">
        <v>10820493.085298998</v>
      </c>
      <c r="J359" s="16">
        <v>3973197.1999999997</v>
      </c>
      <c r="K359" s="16">
        <v>14793690.285298998</v>
      </c>
      <c r="L359" s="17">
        <v>136.33503451528463</v>
      </c>
      <c r="M359" s="17">
        <v>33.587443645659498</v>
      </c>
      <c r="N359" s="15">
        <v>23.909276156791311</v>
      </c>
      <c r="O359" s="11">
        <v>0.36863930639407516</v>
      </c>
      <c r="P359" s="11">
        <v>0.38454859871044467</v>
      </c>
    </row>
    <row r="360" spans="1:16">
      <c r="A360">
        <v>15</v>
      </c>
      <c r="B360">
        <v>5.5</v>
      </c>
      <c r="C360" t="s">
        <v>19</v>
      </c>
      <c r="D360" s="3">
        <v>0.25</v>
      </c>
      <c r="E360" s="3" t="s">
        <v>17</v>
      </c>
      <c r="F360" t="s">
        <v>19</v>
      </c>
      <c r="G360" t="s">
        <v>16</v>
      </c>
      <c r="H360" t="s">
        <v>21</v>
      </c>
      <c r="I360" s="16">
        <v>9956071.1570460256</v>
      </c>
      <c r="J360" s="16">
        <v>7843932.2999999998</v>
      </c>
      <c r="K360" s="16">
        <v>17800003.457046025</v>
      </c>
      <c r="L360" s="17">
        <v>164.04048204930416</v>
      </c>
      <c r="M360" s="17">
        <v>67.828031835254706</v>
      </c>
      <c r="N360" s="15">
        <v>29.332637213271578</v>
      </c>
      <c r="O360" s="11">
        <v>0.2403367711438269</v>
      </c>
      <c r="P360" s="11">
        <v>0.24494524392791639</v>
      </c>
    </row>
    <row r="361" spans="1:16">
      <c r="A361">
        <v>15</v>
      </c>
      <c r="B361">
        <v>5.5</v>
      </c>
      <c r="C361" t="s">
        <v>19</v>
      </c>
      <c r="D361" s="3">
        <v>0.25</v>
      </c>
      <c r="E361" s="3">
        <v>0.75</v>
      </c>
      <c r="F361" t="s">
        <v>19</v>
      </c>
      <c r="G361" t="s">
        <v>16</v>
      </c>
      <c r="H361" t="s">
        <v>21</v>
      </c>
      <c r="I361" s="16">
        <v>10294565.128951022</v>
      </c>
      <c r="J361" s="16">
        <v>4241995.3999999994</v>
      </c>
      <c r="K361" s="16">
        <v>14536560.528951023</v>
      </c>
      <c r="L361" s="17">
        <v>133.96538951592677</v>
      </c>
      <c r="M361" s="17">
        <v>35.857577677440048</v>
      </c>
      <c r="N361" s="15">
        <v>23.555980077392903</v>
      </c>
      <c r="O361" s="11">
        <v>0.37961301330450736</v>
      </c>
      <c r="P361" s="11">
        <v>0.39364283333762284</v>
      </c>
    </row>
    <row r="362" spans="1:16">
      <c r="A362">
        <v>5</v>
      </c>
      <c r="B362">
        <v>2.8</v>
      </c>
      <c r="C362" t="s">
        <v>16</v>
      </c>
      <c r="D362" s="3" t="s">
        <v>16</v>
      </c>
      <c r="E362" s="3" t="s">
        <v>17</v>
      </c>
      <c r="F362" t="s">
        <v>19</v>
      </c>
      <c r="G362" t="s">
        <v>20</v>
      </c>
      <c r="H362" t="s">
        <v>21</v>
      </c>
      <c r="I362" s="16">
        <v>13544396.859214965</v>
      </c>
      <c r="J362" s="16">
        <v>2526392.5</v>
      </c>
      <c r="K362" s="16">
        <v>16070789.359214965</v>
      </c>
      <c r="L362" s="17">
        <v>148.10446749407251</v>
      </c>
      <c r="M362" s="17">
        <v>84.825046200238859</v>
      </c>
      <c r="N362" s="15">
        <v>25.643411792033532</v>
      </c>
      <c r="O362" s="11">
        <v>0.31413565371774943</v>
      </c>
      <c r="P362" s="11">
        <v>0.33991001577146163</v>
      </c>
    </row>
    <row r="363" spans="1:16">
      <c r="A363">
        <v>5</v>
      </c>
      <c r="B363">
        <v>2.8</v>
      </c>
      <c r="C363" t="s">
        <v>16</v>
      </c>
      <c r="D363" s="3" t="s">
        <v>16</v>
      </c>
      <c r="E363" s="3">
        <v>0.75</v>
      </c>
      <c r="F363" t="s">
        <v>19</v>
      </c>
      <c r="G363" t="s">
        <v>20</v>
      </c>
      <c r="H363" t="s">
        <v>21</v>
      </c>
      <c r="I363" s="16">
        <v>12709240.928532917</v>
      </c>
      <c r="J363" s="16">
        <v>1888326.4000000001</v>
      </c>
      <c r="K363" s="16">
        <v>14597567.328532917</v>
      </c>
      <c r="L363" s="17">
        <v>134.52761327255968</v>
      </c>
      <c r="M363" s="17">
        <v>55.018464458247216</v>
      </c>
      <c r="N363" s="15">
        <v>23.217741349325806</v>
      </c>
      <c r="O363" s="11">
        <v>0.37700938334092904</v>
      </c>
      <c r="P363" s="11">
        <v>0.40234947496885276</v>
      </c>
    </row>
    <row r="364" spans="1:16">
      <c r="A364">
        <v>5</v>
      </c>
      <c r="B364">
        <v>2.8</v>
      </c>
      <c r="C364" t="s">
        <v>16</v>
      </c>
      <c r="D364" s="3">
        <v>0.25</v>
      </c>
      <c r="E364" s="3" t="s">
        <v>17</v>
      </c>
      <c r="F364" t="s">
        <v>19</v>
      </c>
      <c r="G364" t="s">
        <v>20</v>
      </c>
      <c r="H364" t="s">
        <v>21</v>
      </c>
      <c r="I364" s="16">
        <v>13118036.894602846</v>
      </c>
      <c r="J364" s="16">
        <v>2560790.6999999997</v>
      </c>
      <c r="K364" s="16">
        <v>15678827.594602846</v>
      </c>
      <c r="L364" s="17">
        <v>144.49224365563182</v>
      </c>
      <c r="M364" s="17">
        <v>87.487254353398939</v>
      </c>
      <c r="N364" s="15">
        <v>25.035673847603928</v>
      </c>
      <c r="O364" s="11">
        <v>0.33086368078875206</v>
      </c>
      <c r="P364" s="11">
        <v>0.35555386743234907</v>
      </c>
    </row>
    <row r="365" spans="1:16">
      <c r="A365">
        <v>5</v>
      </c>
      <c r="B365">
        <v>2.8</v>
      </c>
      <c r="C365" t="s">
        <v>16</v>
      </c>
      <c r="D365" s="3">
        <v>0.25</v>
      </c>
      <c r="E365" s="3">
        <v>0.75</v>
      </c>
      <c r="F365" t="s">
        <v>19</v>
      </c>
      <c r="G365" t="s">
        <v>20</v>
      </c>
      <c r="H365" t="s">
        <v>21</v>
      </c>
      <c r="I365" s="16">
        <v>12296479.96279208</v>
      </c>
      <c r="J365" s="16">
        <v>1909158.7</v>
      </c>
      <c r="K365" s="16">
        <v>14205638.662792079</v>
      </c>
      <c r="L365" s="17">
        <v>130.91569446522834</v>
      </c>
      <c r="M365" s="17">
        <v>57.751958324346049</v>
      </c>
      <c r="N365" s="15">
        <v>22.607554859799134</v>
      </c>
      <c r="O365" s="11">
        <v>0.39373599782819302</v>
      </c>
      <c r="P365" s="11">
        <v>0.41805635490802129</v>
      </c>
    </row>
    <row r="366" spans="1:16">
      <c r="A366">
        <v>5</v>
      </c>
      <c r="B366">
        <v>2.8</v>
      </c>
      <c r="C366" t="s">
        <v>19</v>
      </c>
      <c r="D366" s="3" t="s">
        <v>16</v>
      </c>
      <c r="E366" s="3" t="s">
        <v>17</v>
      </c>
      <c r="F366" t="s">
        <v>19</v>
      </c>
      <c r="G366" t="s">
        <v>20</v>
      </c>
      <c r="H366" t="s">
        <v>21</v>
      </c>
      <c r="I366" s="16">
        <v>13479403.864609385</v>
      </c>
      <c r="J366" s="16">
        <v>2481915.1</v>
      </c>
      <c r="K366" s="16">
        <v>15961318.964609385</v>
      </c>
      <c r="L366" s="17">
        <v>147.09561508881532</v>
      </c>
      <c r="M366" s="17">
        <v>83.017969578539876</v>
      </c>
      <c r="N366" s="15">
        <v>25.463709026151857</v>
      </c>
      <c r="O366" s="11">
        <v>0.31880759850871043</v>
      </c>
      <c r="P366" s="11">
        <v>0.34453576513970718</v>
      </c>
    </row>
    <row r="367" spans="1:16">
      <c r="A367">
        <v>5</v>
      </c>
      <c r="B367">
        <v>2.8</v>
      </c>
      <c r="C367" t="s">
        <v>19</v>
      </c>
      <c r="D367" s="3" t="s">
        <v>16</v>
      </c>
      <c r="E367" s="3">
        <v>0.75</v>
      </c>
      <c r="F367" t="s">
        <v>19</v>
      </c>
      <c r="G367" t="s">
        <v>20</v>
      </c>
      <c r="H367" t="s">
        <v>21</v>
      </c>
      <c r="I367" s="16">
        <v>12630658.93505522</v>
      </c>
      <c r="J367" s="16">
        <v>1863743.7</v>
      </c>
      <c r="K367" s="16">
        <v>14494402.63505522</v>
      </c>
      <c r="L367" s="17">
        <v>133.57687266796441</v>
      </c>
      <c r="M367" s="17">
        <v>53.049280345022567</v>
      </c>
      <c r="N367" s="15">
        <v>23.051584483426758</v>
      </c>
      <c r="O367" s="11">
        <v>0.38141221530331282</v>
      </c>
      <c r="P367" s="11">
        <v>0.40662653778250057</v>
      </c>
    </row>
    <row r="368" spans="1:16">
      <c r="A368">
        <v>5</v>
      </c>
      <c r="B368">
        <v>2.8</v>
      </c>
      <c r="C368" t="s">
        <v>19</v>
      </c>
      <c r="D368" s="3">
        <v>0.25</v>
      </c>
      <c r="E368" s="3" t="s">
        <v>17</v>
      </c>
      <c r="F368" t="s">
        <v>19</v>
      </c>
      <c r="G368" t="s">
        <v>20</v>
      </c>
      <c r="H368" t="s">
        <v>21</v>
      </c>
      <c r="I368" s="16">
        <v>13044351.900718702</v>
      </c>
      <c r="J368" s="16">
        <v>2523726.1999999997</v>
      </c>
      <c r="K368" s="16">
        <v>15568078.100718701</v>
      </c>
      <c r="L368" s="17">
        <v>143.47160338399863</v>
      </c>
      <c r="M368" s="17">
        <v>85.589212841643899</v>
      </c>
      <c r="N368" s="15">
        <v>24.855333453936321</v>
      </c>
      <c r="O368" s="11">
        <v>0.33559021459652572</v>
      </c>
      <c r="P368" s="11">
        <v>0.36019603005007061</v>
      </c>
    </row>
    <row r="369" spans="1:16">
      <c r="A369">
        <v>5</v>
      </c>
      <c r="B369">
        <v>2.8</v>
      </c>
      <c r="C369" t="s">
        <v>19</v>
      </c>
      <c r="D369" s="3">
        <v>0.25</v>
      </c>
      <c r="E369" s="3">
        <v>0.75</v>
      </c>
      <c r="F369" t="s">
        <v>19</v>
      </c>
      <c r="G369" t="s">
        <v>20</v>
      </c>
      <c r="H369" t="s">
        <v>21</v>
      </c>
      <c r="I369" s="16">
        <v>12218092.969298197</v>
      </c>
      <c r="J369" s="16">
        <v>1883433.3</v>
      </c>
      <c r="K369" s="16">
        <v>14101526.269298198</v>
      </c>
      <c r="L369" s="17">
        <v>129.95622008887463</v>
      </c>
      <c r="M369" s="17">
        <v>55.754211322050715</v>
      </c>
      <c r="N369" s="15">
        <v>22.439702635822016</v>
      </c>
      <c r="O369" s="11">
        <v>0.39817927544869258</v>
      </c>
      <c r="P369" s="11">
        <v>0.42237705812709136</v>
      </c>
    </row>
    <row r="370" spans="1:16">
      <c r="A370">
        <v>5</v>
      </c>
      <c r="B370">
        <v>4</v>
      </c>
      <c r="C370" t="s">
        <v>16</v>
      </c>
      <c r="D370" s="3" t="s">
        <v>16</v>
      </c>
      <c r="E370" s="3" t="s">
        <v>17</v>
      </c>
      <c r="F370" t="s">
        <v>19</v>
      </c>
      <c r="G370" t="s">
        <v>20</v>
      </c>
      <c r="H370" t="s">
        <v>21</v>
      </c>
      <c r="I370" s="16">
        <v>13286254.880640753</v>
      </c>
      <c r="J370" s="16">
        <v>2403332.5</v>
      </c>
      <c r="K370" s="16">
        <v>15689587.380640753</v>
      </c>
      <c r="L370" s="17">
        <v>144.59140321437377</v>
      </c>
      <c r="M370" s="17">
        <v>77.765862367173781</v>
      </c>
      <c r="N370" s="15">
        <v>25.023509046731505</v>
      </c>
      <c r="O370" s="11">
        <v>0.33040447785527605</v>
      </c>
      <c r="P370" s="11">
        <v>0.35586700295741658</v>
      </c>
    </row>
    <row r="371" spans="1:16">
      <c r="A371">
        <v>5</v>
      </c>
      <c r="B371">
        <v>4</v>
      </c>
      <c r="C371" t="s">
        <v>16</v>
      </c>
      <c r="D371" s="3" t="s">
        <v>16</v>
      </c>
      <c r="E371" s="3">
        <v>0.75</v>
      </c>
      <c r="F371" t="s">
        <v>19</v>
      </c>
      <c r="G371" t="s">
        <v>20</v>
      </c>
      <c r="H371" t="s">
        <v>21</v>
      </c>
      <c r="I371" s="16">
        <v>12403050.953946685</v>
      </c>
      <c r="J371" s="16">
        <v>1768753.0999999999</v>
      </c>
      <c r="K371" s="16">
        <v>14171804.053946685</v>
      </c>
      <c r="L371" s="17">
        <v>130.60388297831813</v>
      </c>
      <c r="M371" s="17">
        <v>47.012509149565126</v>
      </c>
      <c r="N371" s="15">
        <v>22.528668033054515</v>
      </c>
      <c r="O371" s="11">
        <v>0.39517998115463482</v>
      </c>
      <c r="P371" s="11">
        <v>0.42008698970201819</v>
      </c>
    </row>
    <row r="372" spans="1:16">
      <c r="A372">
        <v>5</v>
      </c>
      <c r="B372">
        <v>4</v>
      </c>
      <c r="C372" t="s">
        <v>16</v>
      </c>
      <c r="D372" s="3">
        <v>0.25</v>
      </c>
      <c r="E372" s="3" t="s">
        <v>17</v>
      </c>
      <c r="F372" t="s">
        <v>19</v>
      </c>
      <c r="G372" t="s">
        <v>20</v>
      </c>
      <c r="H372" t="s">
        <v>21</v>
      </c>
      <c r="I372" s="16">
        <v>12851810.916699603</v>
      </c>
      <c r="J372" s="16">
        <v>2429556</v>
      </c>
      <c r="K372" s="16">
        <v>15281366.916699603</v>
      </c>
      <c r="L372" s="17">
        <v>140.82934317607703</v>
      </c>
      <c r="M372" s="17">
        <v>80.241682682946603</v>
      </c>
      <c r="N372" s="15">
        <v>24.388792227575621</v>
      </c>
      <c r="O372" s="11">
        <v>0.34782638883810468</v>
      </c>
      <c r="P372" s="11">
        <v>0.3722053209060584</v>
      </c>
    </row>
    <row r="373" spans="1:16">
      <c r="A373">
        <v>5</v>
      </c>
      <c r="B373">
        <v>4</v>
      </c>
      <c r="C373" t="s">
        <v>16</v>
      </c>
      <c r="D373" s="3">
        <v>0.25</v>
      </c>
      <c r="E373" s="3">
        <v>0.75</v>
      </c>
      <c r="F373" t="s">
        <v>19</v>
      </c>
      <c r="G373" t="s">
        <v>20</v>
      </c>
      <c r="H373" t="s">
        <v>21</v>
      </c>
      <c r="I373" s="16">
        <v>11980356.989030287</v>
      </c>
      <c r="J373" s="16">
        <v>1795972.8</v>
      </c>
      <c r="K373" s="16">
        <v>13776329.789030287</v>
      </c>
      <c r="L373" s="17">
        <v>126.95928879542768</v>
      </c>
      <c r="M373" s="17">
        <v>49.607970653553501</v>
      </c>
      <c r="N373" s="15">
        <v>21.914104024032838</v>
      </c>
      <c r="O373" s="11">
        <v>0.41205791366407973</v>
      </c>
      <c r="P373" s="11">
        <v>0.43590655186919336</v>
      </c>
    </row>
    <row r="374" spans="1:16">
      <c r="A374">
        <v>5</v>
      </c>
      <c r="B374">
        <v>4</v>
      </c>
      <c r="C374" t="s">
        <v>19</v>
      </c>
      <c r="D374" s="3" t="s">
        <v>16</v>
      </c>
      <c r="E374" s="3" t="s">
        <v>17</v>
      </c>
      <c r="F374" t="s">
        <v>19</v>
      </c>
      <c r="G374" t="s">
        <v>20</v>
      </c>
      <c r="H374" t="s">
        <v>21</v>
      </c>
      <c r="I374" s="16">
        <v>13216056.886467187</v>
      </c>
      <c r="J374" s="16">
        <v>2369930.5</v>
      </c>
      <c r="K374" s="16">
        <v>15585987.386467187</v>
      </c>
      <c r="L374" s="17">
        <v>143.63665098494036</v>
      </c>
      <c r="M374" s="17">
        <v>75.83941727911558</v>
      </c>
      <c r="N374" s="15">
        <v>24.855044674337663</v>
      </c>
      <c r="O374" s="11">
        <v>0.33482588745068931</v>
      </c>
      <c r="P374" s="11">
        <v>0.36020346355861732</v>
      </c>
    </row>
    <row r="375" spans="1:16">
      <c r="A375">
        <v>5</v>
      </c>
      <c r="B375">
        <v>4</v>
      </c>
      <c r="C375" t="s">
        <v>19</v>
      </c>
      <c r="D375" s="3" t="s">
        <v>16</v>
      </c>
      <c r="E375" s="3">
        <v>0.75</v>
      </c>
      <c r="F375" t="s">
        <v>19</v>
      </c>
      <c r="G375" t="s">
        <v>20</v>
      </c>
      <c r="H375" t="s">
        <v>21</v>
      </c>
      <c r="I375" s="16">
        <v>12328921.960099394</v>
      </c>
      <c r="J375" s="16">
        <v>1736904</v>
      </c>
      <c r="K375" s="16">
        <v>14065825.960099394</v>
      </c>
      <c r="L375" s="17">
        <v>129.62721476343111</v>
      </c>
      <c r="M375" s="17">
        <v>45.040433104576941</v>
      </c>
      <c r="N375" s="15">
        <v>22.356764166071869</v>
      </c>
      <c r="O375" s="11">
        <v>0.39970288257734132</v>
      </c>
      <c r="P375" s="11">
        <v>0.42451198672525559</v>
      </c>
    </row>
    <row r="376" spans="1:16">
      <c r="A376">
        <v>5</v>
      </c>
      <c r="B376">
        <v>4</v>
      </c>
      <c r="C376" t="s">
        <v>19</v>
      </c>
      <c r="D376" s="3">
        <v>0.25</v>
      </c>
      <c r="E376" s="3" t="s">
        <v>17</v>
      </c>
      <c r="F376" t="s">
        <v>19</v>
      </c>
      <c r="G376" t="s">
        <v>20</v>
      </c>
      <c r="H376" t="s">
        <v>21</v>
      </c>
      <c r="I376" s="16">
        <v>12783109.922401786</v>
      </c>
      <c r="J376" s="16">
        <v>2398498</v>
      </c>
      <c r="K376" s="16">
        <v>15181607.922401786</v>
      </c>
      <c r="L376" s="17">
        <v>139.90998866286822</v>
      </c>
      <c r="M376" s="17">
        <v>78.304760755259537</v>
      </c>
      <c r="N376" s="15">
        <v>24.226777501563831</v>
      </c>
      <c r="O376" s="11">
        <v>0.35208387338852076</v>
      </c>
      <c r="P376" s="11">
        <v>0.37637576042499699</v>
      </c>
    </row>
    <row r="377" spans="1:16">
      <c r="A377">
        <v>5</v>
      </c>
      <c r="B377">
        <v>4</v>
      </c>
      <c r="C377" t="s">
        <v>19</v>
      </c>
      <c r="D377" s="3">
        <v>0.25</v>
      </c>
      <c r="E377" s="3">
        <v>0.75</v>
      </c>
      <c r="F377" t="s">
        <v>19</v>
      </c>
      <c r="G377" t="s">
        <v>20</v>
      </c>
      <c r="H377" t="s">
        <v>21</v>
      </c>
      <c r="I377" s="16">
        <v>11903869.995378708</v>
      </c>
      <c r="J377" s="16">
        <v>1765207.8</v>
      </c>
      <c r="K377" s="16">
        <v>13669077.795378709</v>
      </c>
      <c r="L377" s="17">
        <v>125.97088063124895</v>
      </c>
      <c r="M377" s="17">
        <v>47.601545155751154</v>
      </c>
      <c r="N377" s="15">
        <v>21.740404181684145</v>
      </c>
      <c r="O377" s="11">
        <v>0.41663518220198947</v>
      </c>
      <c r="P377" s="11">
        <v>0.44037777929892508</v>
      </c>
    </row>
    <row r="378" spans="1:16">
      <c r="A378">
        <v>5</v>
      </c>
      <c r="B378">
        <v>5.5</v>
      </c>
      <c r="C378" t="s">
        <v>16</v>
      </c>
      <c r="D378" s="3" t="s">
        <v>16</v>
      </c>
      <c r="E378" s="3" t="s">
        <v>17</v>
      </c>
      <c r="F378" t="s">
        <v>19</v>
      </c>
      <c r="G378" t="s">
        <v>20</v>
      </c>
      <c r="H378" t="s">
        <v>21</v>
      </c>
      <c r="I378" s="16">
        <v>13156272.891429259</v>
      </c>
      <c r="J378" s="16">
        <v>2339341.3000000003</v>
      </c>
      <c r="K378" s="16">
        <v>15495614.191429259</v>
      </c>
      <c r="L378" s="17">
        <v>142.80379370409028</v>
      </c>
      <c r="M378" s="17">
        <v>74.117294865768088</v>
      </c>
      <c r="N378" s="15">
        <v>24.70782088475163</v>
      </c>
      <c r="O378" s="11">
        <v>0.33868280766479097</v>
      </c>
      <c r="P378" s="11">
        <v>0.36399316789804148</v>
      </c>
    </row>
    <row r="379" spans="1:16">
      <c r="A379">
        <v>5</v>
      </c>
      <c r="B379">
        <v>5.5</v>
      </c>
      <c r="C379" t="s">
        <v>16</v>
      </c>
      <c r="D379" s="3" t="s">
        <v>16</v>
      </c>
      <c r="E379" s="3">
        <v>0.75</v>
      </c>
      <c r="F379" t="s">
        <v>19</v>
      </c>
      <c r="G379" t="s">
        <v>20</v>
      </c>
      <c r="H379" t="s">
        <v>21</v>
      </c>
      <c r="I379" s="16">
        <v>12256566.966104856</v>
      </c>
      <c r="J379" s="16">
        <v>1708922.5</v>
      </c>
      <c r="K379" s="16">
        <v>13965489.466104856</v>
      </c>
      <c r="L379" s="17">
        <v>128.70253815414171</v>
      </c>
      <c r="M379" s="17">
        <v>43.032849213939329</v>
      </c>
      <c r="N379" s="15">
        <v>22.194411729170206</v>
      </c>
      <c r="O379" s="11">
        <v>0.40398501348725557</v>
      </c>
      <c r="P379" s="11">
        <v>0.42869111929868242</v>
      </c>
    </row>
    <row r="380" spans="1:16">
      <c r="A380">
        <v>5</v>
      </c>
      <c r="B380">
        <v>5.5</v>
      </c>
      <c r="C380" t="s">
        <v>16</v>
      </c>
      <c r="D380" s="3">
        <v>0.25</v>
      </c>
      <c r="E380" s="3" t="s">
        <v>17</v>
      </c>
      <c r="F380" t="s">
        <v>19</v>
      </c>
      <c r="G380" t="s">
        <v>20</v>
      </c>
      <c r="H380" t="s">
        <v>21</v>
      </c>
      <c r="I380" s="16">
        <v>12719089.927715447</v>
      </c>
      <c r="J380" s="16">
        <v>2365154.6</v>
      </c>
      <c r="K380" s="16">
        <v>15084244.527715446</v>
      </c>
      <c r="L380" s="17">
        <v>139.01271141026288</v>
      </c>
      <c r="M380" s="17">
        <v>76.486688852383054</v>
      </c>
      <c r="N380" s="15">
        <v>24.068094676096351</v>
      </c>
      <c r="O380" s="11">
        <v>0.35623911925452889</v>
      </c>
      <c r="P380" s="11">
        <v>0.38046043311245548</v>
      </c>
    </row>
    <row r="381" spans="1:16">
      <c r="A381">
        <v>5</v>
      </c>
      <c r="B381">
        <v>5.5</v>
      </c>
      <c r="C381" t="s">
        <v>16</v>
      </c>
      <c r="D381" s="3">
        <v>0.25</v>
      </c>
      <c r="E381" s="3">
        <v>0.75</v>
      </c>
      <c r="F381" t="s">
        <v>19</v>
      </c>
      <c r="G381" t="s">
        <v>20</v>
      </c>
      <c r="H381" t="s">
        <v>21</v>
      </c>
      <c r="I381" s="16">
        <v>11826932.001764564</v>
      </c>
      <c r="J381" s="16">
        <v>1732655.5</v>
      </c>
      <c r="K381" s="16">
        <v>13559587.501764564</v>
      </c>
      <c r="L381" s="17">
        <v>124.96184484159159</v>
      </c>
      <c r="M381" s="17">
        <v>45.547720059277331</v>
      </c>
      <c r="N381" s="15">
        <v>21.562868216603384</v>
      </c>
      <c r="O381" s="11">
        <v>0.4213079762368922</v>
      </c>
      <c r="P381" s="11">
        <v>0.44494775280091303</v>
      </c>
    </row>
    <row r="382" spans="1:16">
      <c r="A382">
        <v>5</v>
      </c>
      <c r="B382">
        <v>5.5</v>
      </c>
      <c r="C382" t="s">
        <v>19</v>
      </c>
      <c r="D382" s="3" t="s">
        <v>16</v>
      </c>
      <c r="E382" s="3" t="s">
        <v>17</v>
      </c>
      <c r="F382" t="s">
        <v>19</v>
      </c>
      <c r="G382" t="s">
        <v>20</v>
      </c>
      <c r="H382" t="s">
        <v>21</v>
      </c>
      <c r="I382" s="16">
        <v>13074972.89817716</v>
      </c>
      <c r="J382" s="16">
        <v>2312561.1</v>
      </c>
      <c r="K382" s="16">
        <v>15387533.99817716</v>
      </c>
      <c r="L382" s="17">
        <v>141.80775305478141</v>
      </c>
      <c r="M382" s="17">
        <v>72.056497810551548</v>
      </c>
      <c r="N382" s="15">
        <v>24.533557978791396</v>
      </c>
      <c r="O382" s="11">
        <v>0.34329542185778361</v>
      </c>
      <c r="P382" s="11">
        <v>0.36847888921234206</v>
      </c>
    </row>
    <row r="383" spans="1:16">
      <c r="A383">
        <v>5</v>
      </c>
      <c r="B383">
        <v>5.5</v>
      </c>
      <c r="C383" t="s">
        <v>19</v>
      </c>
      <c r="D383" s="3" t="s">
        <v>16</v>
      </c>
      <c r="E383" s="3">
        <v>0.75</v>
      </c>
      <c r="F383" t="s">
        <v>19</v>
      </c>
      <c r="G383" t="s">
        <v>20</v>
      </c>
      <c r="H383" t="s">
        <v>21</v>
      </c>
      <c r="I383" s="16">
        <v>12182235.97227433</v>
      </c>
      <c r="J383" s="16">
        <v>1679476</v>
      </c>
      <c r="K383" s="16">
        <v>13861711.97227433</v>
      </c>
      <c r="L383" s="17">
        <v>127.74615013124559</v>
      </c>
      <c r="M383" s="17">
        <v>41.065800971886439</v>
      </c>
      <c r="N383" s="15">
        <v>22.026398330315484</v>
      </c>
      <c r="O383" s="11">
        <v>0.40841399835999126</v>
      </c>
      <c r="P383" s="11">
        <v>0.4330159713386379</v>
      </c>
    </row>
    <row r="384" spans="1:16">
      <c r="A384">
        <v>5</v>
      </c>
      <c r="B384">
        <v>5.5</v>
      </c>
      <c r="C384" t="s">
        <v>19</v>
      </c>
      <c r="D384" s="3">
        <v>0.25</v>
      </c>
      <c r="E384" s="3" t="s">
        <v>17</v>
      </c>
      <c r="F384" t="s">
        <v>19</v>
      </c>
      <c r="G384" t="s">
        <v>20</v>
      </c>
      <c r="H384" t="s">
        <v>21</v>
      </c>
      <c r="I384" s="16">
        <v>12648473.933576576</v>
      </c>
      <c r="J384" s="16">
        <v>2335356.5</v>
      </c>
      <c r="K384" s="16">
        <v>14983830.433576576</v>
      </c>
      <c r="L384" s="17">
        <v>138.08731965700653</v>
      </c>
      <c r="M384" s="17">
        <v>74.593815554816047</v>
      </c>
      <c r="N384" s="15">
        <v>23.905285837886812</v>
      </c>
      <c r="O384" s="11">
        <v>0.36052456196021609</v>
      </c>
      <c r="P384" s="11">
        <v>0.38465131396394137</v>
      </c>
    </row>
    <row r="385" spans="1:16">
      <c r="A385">
        <v>5</v>
      </c>
      <c r="B385">
        <v>5.5</v>
      </c>
      <c r="C385" t="s">
        <v>19</v>
      </c>
      <c r="D385" s="3">
        <v>0.25</v>
      </c>
      <c r="E385" s="3">
        <v>0.75</v>
      </c>
      <c r="F385" t="s">
        <v>19</v>
      </c>
      <c r="G385" t="s">
        <v>20</v>
      </c>
      <c r="H385" t="s">
        <v>21</v>
      </c>
      <c r="I385" s="16">
        <v>11750833.008080779</v>
      </c>
      <c r="J385" s="16">
        <v>1703384.8</v>
      </c>
      <c r="K385" s="16">
        <v>13454217.808080779</v>
      </c>
      <c r="L385" s="17">
        <v>123.99078349393587</v>
      </c>
      <c r="M385" s="17">
        <v>43.541488977055721</v>
      </c>
      <c r="N385" s="15">
        <v>21.392392755136317</v>
      </c>
      <c r="O385" s="11">
        <v>0.42580491253921204</v>
      </c>
      <c r="P385" s="11">
        <v>0.44933598107505035</v>
      </c>
    </row>
    <row r="386" spans="1:16">
      <c r="A386">
        <v>10</v>
      </c>
      <c r="B386">
        <v>2.8</v>
      </c>
      <c r="C386" t="s">
        <v>16</v>
      </c>
      <c r="D386" s="3" t="s">
        <v>16</v>
      </c>
      <c r="E386" s="3" t="s">
        <v>17</v>
      </c>
      <c r="F386" t="s">
        <v>19</v>
      </c>
      <c r="G386" t="s">
        <v>20</v>
      </c>
      <c r="H386" t="s">
        <v>21</v>
      </c>
      <c r="I386" s="16">
        <v>13353195.87508465</v>
      </c>
      <c r="J386" s="16">
        <v>2442067.1</v>
      </c>
      <c r="K386" s="16">
        <v>15795262.975084649</v>
      </c>
      <c r="L386" s="17">
        <v>145.5652836686813</v>
      </c>
      <c r="M386" s="17">
        <v>79.853105341804024</v>
      </c>
      <c r="N386" s="15">
        <v>25.196208096123257</v>
      </c>
      <c r="O386" s="11">
        <v>0.32589448641172003</v>
      </c>
      <c r="P386" s="11">
        <v>0.35142153705319934</v>
      </c>
    </row>
    <row r="387" spans="1:16">
      <c r="A387">
        <v>10</v>
      </c>
      <c r="B387">
        <v>2.8</v>
      </c>
      <c r="C387" t="s">
        <v>16</v>
      </c>
      <c r="D387" s="3" t="s">
        <v>16</v>
      </c>
      <c r="E387" s="3">
        <v>0.75</v>
      </c>
      <c r="F387" t="s">
        <v>19</v>
      </c>
      <c r="G387" t="s">
        <v>20</v>
      </c>
      <c r="H387" t="s">
        <v>21</v>
      </c>
      <c r="I387" s="16">
        <v>12484200.947211236</v>
      </c>
      <c r="J387" s="16">
        <v>1807546.3</v>
      </c>
      <c r="K387" s="16">
        <v>14291747.247211237</v>
      </c>
      <c r="L387" s="17">
        <v>131.70925013676447</v>
      </c>
      <c r="M387" s="17">
        <v>49.395463622936845</v>
      </c>
      <c r="N387" s="15">
        <v>22.723730623015456</v>
      </c>
      <c r="O387" s="11">
        <v>0.3900610813918034</v>
      </c>
      <c r="P387" s="11">
        <v>0.41506586135236168</v>
      </c>
    </row>
    <row r="388" spans="1:16">
      <c r="A388">
        <v>10</v>
      </c>
      <c r="B388">
        <v>2.8</v>
      </c>
      <c r="C388" t="s">
        <v>16</v>
      </c>
      <c r="D388" s="3">
        <v>0.25</v>
      </c>
      <c r="E388" s="3" t="s">
        <v>17</v>
      </c>
      <c r="F388" t="s">
        <v>19</v>
      </c>
      <c r="G388" t="s">
        <v>20</v>
      </c>
      <c r="H388" t="s">
        <v>21</v>
      </c>
      <c r="I388" s="16">
        <v>12920488.910999332</v>
      </c>
      <c r="J388" s="16">
        <v>2467616.6999999997</v>
      </c>
      <c r="K388" s="16">
        <v>15388105.610999331</v>
      </c>
      <c r="L388" s="17">
        <v>141.81302089886475</v>
      </c>
      <c r="M388" s="17">
        <v>82.356627177616204</v>
      </c>
      <c r="N388" s="15">
        <v>24.563032602654641</v>
      </c>
      <c r="O388" s="11">
        <v>0.34327102673655829</v>
      </c>
      <c r="P388" s="11">
        <v>0.36772017956173797</v>
      </c>
    </row>
    <row r="389" spans="1:16">
      <c r="A389">
        <v>10</v>
      </c>
      <c r="B389">
        <v>2.8</v>
      </c>
      <c r="C389" t="s">
        <v>16</v>
      </c>
      <c r="D389" s="3">
        <v>0.25</v>
      </c>
      <c r="E389" s="3">
        <v>0.75</v>
      </c>
      <c r="F389" t="s">
        <v>19</v>
      </c>
      <c r="G389" t="s">
        <v>20</v>
      </c>
      <c r="H389" t="s">
        <v>21</v>
      </c>
      <c r="I389" s="16">
        <v>12067189.981823148</v>
      </c>
      <c r="J389" s="16">
        <v>1831337.9000000001</v>
      </c>
      <c r="K389" s="16">
        <v>13898527.881823149</v>
      </c>
      <c r="L389" s="17">
        <v>128.08543655689408</v>
      </c>
      <c r="M389" s="17">
        <v>52.066415076797526</v>
      </c>
      <c r="N389" s="15">
        <v>22.112067465869782</v>
      </c>
      <c r="O389" s="11">
        <v>0.4068427799729486</v>
      </c>
      <c r="P389" s="11">
        <v>0.43081075236093247</v>
      </c>
    </row>
    <row r="390" spans="1:16">
      <c r="A390">
        <v>10</v>
      </c>
      <c r="B390">
        <v>2.8</v>
      </c>
      <c r="C390" t="s">
        <v>19</v>
      </c>
      <c r="D390" s="3" t="s">
        <v>16</v>
      </c>
      <c r="E390" s="3" t="s">
        <v>17</v>
      </c>
      <c r="F390" t="s">
        <v>19</v>
      </c>
      <c r="G390" t="s">
        <v>20</v>
      </c>
      <c r="H390" t="s">
        <v>21</v>
      </c>
      <c r="I390" s="16">
        <v>13280577.881111944</v>
      </c>
      <c r="J390" s="16">
        <v>2410921.1999999997</v>
      </c>
      <c r="K390" s="16">
        <v>15691499.081111943</v>
      </c>
      <c r="L390" s="17">
        <v>144.60902097875143</v>
      </c>
      <c r="M390" s="17">
        <v>77.980688883677331</v>
      </c>
      <c r="N390" s="15">
        <v>25.027902778770493</v>
      </c>
      <c r="O390" s="11">
        <v>0.3303228908737873</v>
      </c>
      <c r="P390" s="11">
        <v>0.35575390340046831</v>
      </c>
    </row>
    <row r="391" spans="1:16">
      <c r="A391">
        <v>10</v>
      </c>
      <c r="B391">
        <v>2.8</v>
      </c>
      <c r="C391" t="s">
        <v>19</v>
      </c>
      <c r="D391" s="3" t="s">
        <v>16</v>
      </c>
      <c r="E391" s="3">
        <v>0.75</v>
      </c>
      <c r="F391" t="s">
        <v>19</v>
      </c>
      <c r="G391" t="s">
        <v>20</v>
      </c>
      <c r="H391" t="s">
        <v>21</v>
      </c>
      <c r="I391" s="16">
        <v>12406875.953629211</v>
      </c>
      <c r="J391" s="16">
        <v>1775902.3</v>
      </c>
      <c r="K391" s="16">
        <v>14182778.253629211</v>
      </c>
      <c r="L391" s="17">
        <v>130.70501852081233</v>
      </c>
      <c r="M391" s="17">
        <v>47.414079932020634</v>
      </c>
      <c r="N391" s="15">
        <v>22.547178780881328</v>
      </c>
      <c r="O391" s="11">
        <v>0.39471162753970102</v>
      </c>
      <c r="P391" s="11">
        <v>0.41961050243346931</v>
      </c>
    </row>
    <row r="392" spans="1:16">
      <c r="A392">
        <v>10</v>
      </c>
      <c r="B392">
        <v>2.8</v>
      </c>
      <c r="C392" t="s">
        <v>19</v>
      </c>
      <c r="D392" s="3">
        <v>0.25</v>
      </c>
      <c r="E392" s="3" t="s">
        <v>17</v>
      </c>
      <c r="F392" t="s">
        <v>19</v>
      </c>
      <c r="G392" t="s">
        <v>20</v>
      </c>
      <c r="H392" t="s">
        <v>21</v>
      </c>
      <c r="I392" s="16">
        <v>12854619.916466456</v>
      </c>
      <c r="J392" s="16">
        <v>2432632.5</v>
      </c>
      <c r="K392" s="16">
        <v>15287252.416466456</v>
      </c>
      <c r="L392" s="17">
        <v>140.88358250368083</v>
      </c>
      <c r="M392" s="17">
        <v>80.562063358711114</v>
      </c>
      <c r="N392" s="15">
        <v>24.398579958712094</v>
      </c>
      <c r="O392" s="11">
        <v>0.3475752092376565</v>
      </c>
      <c r="P392" s="11">
        <v>0.37195337380385907</v>
      </c>
    </row>
    <row r="393" spans="1:16">
      <c r="A393">
        <v>10</v>
      </c>
      <c r="B393">
        <v>2.8</v>
      </c>
      <c r="C393" t="s">
        <v>19</v>
      </c>
      <c r="D393" s="3">
        <v>0.25</v>
      </c>
      <c r="E393" s="3">
        <v>0.75</v>
      </c>
      <c r="F393" t="s">
        <v>19</v>
      </c>
      <c r="G393" t="s">
        <v>20</v>
      </c>
      <c r="H393" t="s">
        <v>21</v>
      </c>
      <c r="I393" s="16">
        <v>11987580.988430694</v>
      </c>
      <c r="J393" s="16">
        <v>1802272.3</v>
      </c>
      <c r="K393" s="16">
        <v>13789853.288430694</v>
      </c>
      <c r="L393" s="17">
        <v>127.08391806114605</v>
      </c>
      <c r="M393" s="17">
        <v>50.051154470937007</v>
      </c>
      <c r="N393" s="15">
        <v>21.936452092256619</v>
      </c>
      <c r="O393" s="11">
        <v>0.41148076179752324</v>
      </c>
      <c r="P393" s="11">
        <v>0.43533128769915974</v>
      </c>
    </row>
    <row r="394" spans="1:16">
      <c r="A394">
        <v>10</v>
      </c>
      <c r="B394">
        <v>4</v>
      </c>
      <c r="C394" t="s">
        <v>16</v>
      </c>
      <c r="D394" s="3" t="s">
        <v>16</v>
      </c>
      <c r="E394" s="3" t="s">
        <v>17</v>
      </c>
      <c r="F394" t="s">
        <v>19</v>
      </c>
      <c r="G394" t="s">
        <v>20</v>
      </c>
      <c r="H394" t="s">
        <v>21</v>
      </c>
      <c r="I394" s="16">
        <v>13089598.896963203</v>
      </c>
      <c r="J394" s="16">
        <v>2317190.5</v>
      </c>
      <c r="K394" s="16">
        <v>15406789.396963203</v>
      </c>
      <c r="L394" s="17">
        <v>141.98520610452584</v>
      </c>
      <c r="M394" s="17">
        <v>72.638426847174884</v>
      </c>
      <c r="N394" s="15">
        <v>24.56457826563009</v>
      </c>
      <c r="O394" s="11">
        <v>0.34247364570195216</v>
      </c>
      <c r="P394" s="11">
        <v>0.36768039247500539</v>
      </c>
    </row>
    <row r="395" spans="1:16">
      <c r="A395">
        <v>10</v>
      </c>
      <c r="B395">
        <v>4</v>
      </c>
      <c r="C395" t="s">
        <v>16</v>
      </c>
      <c r="D395" s="3" t="s">
        <v>16</v>
      </c>
      <c r="E395" s="3">
        <v>0.75</v>
      </c>
      <c r="F395" t="s">
        <v>19</v>
      </c>
      <c r="G395" t="s">
        <v>20</v>
      </c>
      <c r="H395" t="s">
        <v>21</v>
      </c>
      <c r="I395" s="16">
        <v>12184312.972101938</v>
      </c>
      <c r="J395" s="16">
        <v>1684603.5</v>
      </c>
      <c r="K395" s="16">
        <v>13868916.472101938</v>
      </c>
      <c r="L395" s="17">
        <v>127.8125450410835</v>
      </c>
      <c r="M395" s="17">
        <v>41.400735814042612</v>
      </c>
      <c r="N395" s="15">
        <v>22.038630540727645</v>
      </c>
      <c r="O395" s="11">
        <v>0.40810652686907045</v>
      </c>
      <c r="P395" s="11">
        <v>0.43270110061692868</v>
      </c>
    </row>
    <row r="396" spans="1:16">
      <c r="A396">
        <v>10</v>
      </c>
      <c r="B396">
        <v>4</v>
      </c>
      <c r="C396" t="s">
        <v>16</v>
      </c>
      <c r="D396" s="3">
        <v>0.25</v>
      </c>
      <c r="E396" s="3" t="s">
        <v>17</v>
      </c>
      <c r="F396" t="s">
        <v>19</v>
      </c>
      <c r="G396" t="s">
        <v>20</v>
      </c>
      <c r="H396" t="s">
        <v>21</v>
      </c>
      <c r="I396" s="16">
        <v>12644270.933925424</v>
      </c>
      <c r="J396" s="16">
        <v>2341831.8000000003</v>
      </c>
      <c r="K396" s="16">
        <v>14986102.733925425</v>
      </c>
      <c r="L396" s="17">
        <v>138.10826062173643</v>
      </c>
      <c r="M396" s="17">
        <v>74.859028109328605</v>
      </c>
      <c r="N396" s="15">
        <v>23.910039297539335</v>
      </c>
      <c r="O396" s="11">
        <v>0.36042758540489661</v>
      </c>
      <c r="P396" s="11">
        <v>0.38452895461751302</v>
      </c>
    </row>
    <row r="397" spans="1:16">
      <c r="A397">
        <v>10</v>
      </c>
      <c r="B397">
        <v>4</v>
      </c>
      <c r="C397" t="s">
        <v>16</v>
      </c>
      <c r="D397" s="3">
        <v>0.25</v>
      </c>
      <c r="E397" s="3">
        <v>0.75</v>
      </c>
      <c r="F397" t="s">
        <v>19</v>
      </c>
      <c r="G397" t="s">
        <v>20</v>
      </c>
      <c r="H397" t="s">
        <v>21</v>
      </c>
      <c r="I397" s="16">
        <v>11755086.007727779</v>
      </c>
      <c r="J397" s="16">
        <v>1707897</v>
      </c>
      <c r="K397" s="16">
        <v>13462983.007727779</v>
      </c>
      <c r="L397" s="17">
        <v>124.07156143191898</v>
      </c>
      <c r="M397" s="17">
        <v>43.907311594602284</v>
      </c>
      <c r="N397" s="15">
        <v>21.406956671244398</v>
      </c>
      <c r="O397" s="11">
        <v>0.42543083396773995</v>
      </c>
      <c r="P397" s="11">
        <v>0.44896108965139536</v>
      </c>
    </row>
    <row r="398" spans="1:16">
      <c r="A398">
        <v>10</v>
      </c>
      <c r="B398">
        <v>4</v>
      </c>
      <c r="C398" t="s">
        <v>19</v>
      </c>
      <c r="D398" s="3" t="s">
        <v>16</v>
      </c>
      <c r="E398" s="3" t="s">
        <v>17</v>
      </c>
      <c r="F398" t="s">
        <v>19</v>
      </c>
      <c r="G398" t="s">
        <v>20</v>
      </c>
      <c r="H398" t="s">
        <v>21</v>
      </c>
      <c r="I398" s="16">
        <v>13011457.903448904</v>
      </c>
      <c r="J398" s="16">
        <v>2289677.8000000003</v>
      </c>
      <c r="K398" s="16">
        <v>15301135.703448905</v>
      </c>
      <c r="L398" s="17">
        <v>141.01152748383353</v>
      </c>
      <c r="M398" s="17">
        <v>70.604151317431231</v>
      </c>
      <c r="N398" s="15">
        <v>24.393981893714713</v>
      </c>
      <c r="O398" s="11">
        <v>0.34698270246417884</v>
      </c>
      <c r="P398" s="11">
        <v>0.37207173311876685</v>
      </c>
    </row>
    <row r="399" spans="1:16">
      <c r="A399">
        <v>10</v>
      </c>
      <c r="B399">
        <v>4</v>
      </c>
      <c r="C399" t="s">
        <v>19</v>
      </c>
      <c r="D399" s="3" t="s">
        <v>16</v>
      </c>
      <c r="E399" s="3">
        <v>0.75</v>
      </c>
      <c r="F399" t="s">
        <v>19</v>
      </c>
      <c r="G399" t="s">
        <v>20</v>
      </c>
      <c r="H399" t="s">
        <v>21</v>
      </c>
      <c r="I399" s="16">
        <v>12107390.978486465</v>
      </c>
      <c r="J399" s="16">
        <v>1656329</v>
      </c>
      <c r="K399" s="16">
        <v>13763719.978486465</v>
      </c>
      <c r="L399" s="17">
        <v>126.8430798629322</v>
      </c>
      <c r="M399" s="17">
        <v>39.428252036378147</v>
      </c>
      <c r="N399" s="15">
        <v>21.868610042791484</v>
      </c>
      <c r="O399" s="11">
        <v>0.41259607139062748</v>
      </c>
      <c r="P399" s="11">
        <v>0.43707761762298769</v>
      </c>
    </row>
    <row r="400" spans="1:16">
      <c r="A400">
        <v>10</v>
      </c>
      <c r="B400">
        <v>4</v>
      </c>
      <c r="C400" t="s">
        <v>19</v>
      </c>
      <c r="D400" s="3">
        <v>0.25</v>
      </c>
      <c r="E400" s="3" t="s">
        <v>17</v>
      </c>
      <c r="F400" t="s">
        <v>19</v>
      </c>
      <c r="G400" t="s">
        <v>20</v>
      </c>
      <c r="H400" t="s">
        <v>21</v>
      </c>
      <c r="I400" s="16">
        <v>12580702.939201569</v>
      </c>
      <c r="J400" s="16">
        <v>2314114</v>
      </c>
      <c r="K400" s="16">
        <v>14894816.939201569</v>
      </c>
      <c r="L400" s="17">
        <v>137.26699304519406</v>
      </c>
      <c r="M400" s="17">
        <v>73.068136584726403</v>
      </c>
      <c r="N400" s="15">
        <v>23.761915000099858</v>
      </c>
      <c r="O400" s="11">
        <v>0.36432345327570737</v>
      </c>
      <c r="P400" s="11">
        <v>0.38834183903217834</v>
      </c>
    </row>
    <row r="401" spans="1:16">
      <c r="A401">
        <v>10</v>
      </c>
      <c r="B401">
        <v>4</v>
      </c>
      <c r="C401" t="s">
        <v>19</v>
      </c>
      <c r="D401" s="3">
        <v>0.25</v>
      </c>
      <c r="E401" s="3">
        <v>0.75</v>
      </c>
      <c r="F401" t="s">
        <v>19</v>
      </c>
      <c r="G401" t="s">
        <v>20</v>
      </c>
      <c r="H401" t="s">
        <v>21</v>
      </c>
      <c r="I401" s="16">
        <v>11678806.01405902</v>
      </c>
      <c r="J401" s="16">
        <v>1679593.2</v>
      </c>
      <c r="K401" s="16">
        <v>13358399.214059019</v>
      </c>
      <c r="L401" s="17">
        <v>123.10774274675028</v>
      </c>
      <c r="M401" s="17">
        <v>41.887725242070253</v>
      </c>
      <c r="N401" s="15">
        <v>21.237890676682476</v>
      </c>
      <c r="O401" s="11">
        <v>0.42989422986404746</v>
      </c>
      <c r="P401" s="11">
        <v>0.45331303667736134</v>
      </c>
    </row>
    <row r="402" spans="1:16">
      <c r="A402">
        <v>10</v>
      </c>
      <c r="B402">
        <v>5.5</v>
      </c>
      <c r="C402" t="s">
        <v>16</v>
      </c>
      <c r="D402" s="3" t="s">
        <v>16</v>
      </c>
      <c r="E402" s="3" t="s">
        <v>17</v>
      </c>
      <c r="F402" t="s">
        <v>19</v>
      </c>
      <c r="G402" t="s">
        <v>20</v>
      </c>
      <c r="H402" t="s">
        <v>21</v>
      </c>
      <c r="I402" s="16">
        <v>12955056.908130189</v>
      </c>
      <c r="J402" s="16">
        <v>2253257.9</v>
      </c>
      <c r="K402" s="16">
        <v>15208314.80813019</v>
      </c>
      <c r="L402" s="17">
        <v>140.15611279534352</v>
      </c>
      <c r="M402" s="17">
        <v>68.966005634098721</v>
      </c>
      <c r="N402" s="15">
        <v>24.241848658703013</v>
      </c>
      <c r="O402" s="11">
        <v>0.35094408489948536</v>
      </c>
      <c r="P402" s="11">
        <v>0.37598781205217557</v>
      </c>
    </row>
    <row r="403" spans="1:16">
      <c r="A403">
        <v>10</v>
      </c>
      <c r="B403">
        <v>5.5</v>
      </c>
      <c r="C403" t="s">
        <v>16</v>
      </c>
      <c r="D403" s="3" t="s">
        <v>16</v>
      </c>
      <c r="E403" s="3">
        <v>0.75</v>
      </c>
      <c r="F403" t="s">
        <v>19</v>
      </c>
      <c r="G403" t="s">
        <v>20</v>
      </c>
      <c r="H403" t="s">
        <v>21</v>
      </c>
      <c r="I403" s="16">
        <v>12034396.984544966</v>
      </c>
      <c r="J403" s="16">
        <v>1626179.3</v>
      </c>
      <c r="K403" s="16">
        <v>13660576.284544967</v>
      </c>
      <c r="L403" s="17">
        <v>125.89253278493084</v>
      </c>
      <c r="M403" s="17">
        <v>37.459915791102837</v>
      </c>
      <c r="N403" s="15">
        <v>21.701459994181704</v>
      </c>
      <c r="O403" s="11">
        <v>0.41699800714108015</v>
      </c>
      <c r="P403" s="11">
        <v>0.44138024606593562</v>
      </c>
    </row>
    <row r="404" spans="1:16">
      <c r="A404">
        <v>10</v>
      </c>
      <c r="B404">
        <v>5.5</v>
      </c>
      <c r="C404" t="s">
        <v>16</v>
      </c>
      <c r="D404" s="3">
        <v>0.25</v>
      </c>
      <c r="E404" s="3" t="s">
        <v>17</v>
      </c>
      <c r="F404" t="s">
        <v>19</v>
      </c>
      <c r="G404" t="s">
        <v>20</v>
      </c>
      <c r="H404" t="s">
        <v>21</v>
      </c>
      <c r="I404" s="16">
        <v>12507492.945277998</v>
      </c>
      <c r="J404" s="16">
        <v>2279598.6</v>
      </c>
      <c r="K404" s="16">
        <v>14787091.545277998</v>
      </c>
      <c r="L404" s="17">
        <v>136.27422213979409</v>
      </c>
      <c r="M404" s="17">
        <v>71.098785058084999</v>
      </c>
      <c r="N404" s="15">
        <v>23.586782236345368</v>
      </c>
      <c r="O404" s="11">
        <v>0.36892092544897204</v>
      </c>
      <c r="P404" s="11">
        <v>0.39284995145505475</v>
      </c>
    </row>
    <row r="405" spans="1:16">
      <c r="A405">
        <v>10</v>
      </c>
      <c r="B405">
        <v>5.5</v>
      </c>
      <c r="C405" t="s">
        <v>16</v>
      </c>
      <c r="D405" s="3">
        <v>0.25</v>
      </c>
      <c r="E405" s="3">
        <v>0.75</v>
      </c>
      <c r="F405" t="s">
        <v>19</v>
      </c>
      <c r="G405" t="s">
        <v>20</v>
      </c>
      <c r="H405" t="s">
        <v>21</v>
      </c>
      <c r="I405" s="16">
        <v>11603970.020270407</v>
      </c>
      <c r="J405" s="16">
        <v>1650176</v>
      </c>
      <c r="K405" s="16">
        <v>13254146.020270407</v>
      </c>
      <c r="L405" s="17">
        <v>122.14697078928788</v>
      </c>
      <c r="M405" s="17">
        <v>39.854389387633525</v>
      </c>
      <c r="N405" s="15">
        <v>21.069137409384282</v>
      </c>
      <c r="O405" s="11">
        <v>0.43434351651745406</v>
      </c>
      <c r="P405" s="11">
        <v>0.45765693375520589</v>
      </c>
    </row>
    <row r="406" spans="1:16">
      <c r="A406">
        <v>10</v>
      </c>
      <c r="B406">
        <v>5.5</v>
      </c>
      <c r="C406" t="s">
        <v>19</v>
      </c>
      <c r="D406" s="3" t="s">
        <v>16</v>
      </c>
      <c r="E406" s="3" t="s">
        <v>17</v>
      </c>
      <c r="F406" t="s">
        <v>19</v>
      </c>
      <c r="G406" t="s">
        <v>20</v>
      </c>
      <c r="H406" t="s">
        <v>21</v>
      </c>
      <c r="I406" s="16">
        <v>12873608.914890373</v>
      </c>
      <c r="J406" s="16">
        <v>2227356.6999999997</v>
      </c>
      <c r="K406" s="16">
        <v>15100965.614890372</v>
      </c>
      <c r="L406" s="17">
        <v>139.16680886351239</v>
      </c>
      <c r="M406" s="17">
        <v>66.884581625808707</v>
      </c>
      <c r="N406" s="15">
        <v>24.068893007697937</v>
      </c>
      <c r="O406" s="11">
        <v>0.35552550169237829</v>
      </c>
      <c r="P406" s="11">
        <v>0.38043988316775335</v>
      </c>
    </row>
    <row r="407" spans="1:16">
      <c r="A407">
        <v>10</v>
      </c>
      <c r="B407">
        <v>5.5</v>
      </c>
      <c r="C407" t="s">
        <v>19</v>
      </c>
      <c r="D407" s="3" t="s">
        <v>16</v>
      </c>
      <c r="E407" s="3">
        <v>0.75</v>
      </c>
      <c r="F407" t="s">
        <v>19</v>
      </c>
      <c r="G407" t="s">
        <v>20</v>
      </c>
      <c r="H407" t="s">
        <v>21</v>
      </c>
      <c r="I407" s="16">
        <v>11960566.990672855</v>
      </c>
      <c r="J407" s="16">
        <v>1597260.2</v>
      </c>
      <c r="K407" s="16">
        <v>13557827.190672854</v>
      </c>
      <c r="L407" s="17">
        <v>124.94562224473998</v>
      </c>
      <c r="M407" s="17">
        <v>35.510346049801939</v>
      </c>
      <c r="N407" s="15">
        <v>21.53515497517725</v>
      </c>
      <c r="O407" s="11">
        <v>0.42138310226767894</v>
      </c>
      <c r="P407" s="11">
        <v>0.44566112250554735</v>
      </c>
    </row>
    <row r="408" spans="1:16">
      <c r="A408">
        <v>10</v>
      </c>
      <c r="B408">
        <v>5.5</v>
      </c>
      <c r="C408" t="s">
        <v>19</v>
      </c>
      <c r="D408" s="3">
        <v>0.25</v>
      </c>
      <c r="E408" s="3" t="s">
        <v>17</v>
      </c>
      <c r="F408" t="s">
        <v>19</v>
      </c>
      <c r="G408" t="s">
        <v>20</v>
      </c>
      <c r="H408" t="s">
        <v>21</v>
      </c>
      <c r="I408" s="16">
        <v>12442842.950643949</v>
      </c>
      <c r="J408" s="16">
        <v>2251324.1</v>
      </c>
      <c r="K408" s="16">
        <v>14694167.050643949</v>
      </c>
      <c r="L408" s="17">
        <v>135.41785270533069</v>
      </c>
      <c r="M408" s="17">
        <v>69.346830653959202</v>
      </c>
      <c r="N408" s="15">
        <v>23.435988014836134</v>
      </c>
      <c r="O408" s="11">
        <v>0.37288672926490252</v>
      </c>
      <c r="P408" s="11">
        <v>0.3967315626893565</v>
      </c>
    </row>
    <row r="409" spans="1:16">
      <c r="A409">
        <v>10</v>
      </c>
      <c r="B409">
        <v>5.5</v>
      </c>
      <c r="C409" t="s">
        <v>19</v>
      </c>
      <c r="D409" s="3">
        <v>0.25</v>
      </c>
      <c r="E409" s="3">
        <v>0.75</v>
      </c>
      <c r="F409" t="s">
        <v>19</v>
      </c>
      <c r="G409" t="s">
        <v>20</v>
      </c>
      <c r="H409" t="s">
        <v>21</v>
      </c>
      <c r="I409" s="16">
        <v>11527031.026656346</v>
      </c>
      <c r="J409" s="16">
        <v>1620202.0999999999</v>
      </c>
      <c r="K409" s="16">
        <v>13147233.126656346</v>
      </c>
      <c r="L409" s="17">
        <v>121.16168768818858</v>
      </c>
      <c r="M409" s="17">
        <v>37.84374615181563</v>
      </c>
      <c r="N409" s="15">
        <v>20.896114639444647</v>
      </c>
      <c r="O409" s="11">
        <v>0.43890631304528649</v>
      </c>
      <c r="P409" s="11">
        <v>0.46211073258692426</v>
      </c>
    </row>
    <row r="410" spans="1:16">
      <c r="A410">
        <v>15</v>
      </c>
      <c r="B410">
        <v>2.8</v>
      </c>
      <c r="C410" t="s">
        <v>16</v>
      </c>
      <c r="D410" s="3" t="s">
        <v>16</v>
      </c>
      <c r="E410" s="3" t="s">
        <v>17</v>
      </c>
      <c r="F410" t="s">
        <v>19</v>
      </c>
      <c r="G410" t="s">
        <v>20</v>
      </c>
      <c r="H410" t="s">
        <v>21</v>
      </c>
      <c r="I410" s="16">
        <v>13292899.880089218</v>
      </c>
      <c r="J410" s="16">
        <v>2407668.9</v>
      </c>
      <c r="K410" s="16">
        <v>15700568.780089218</v>
      </c>
      <c r="L410" s="17">
        <v>144.69260510815144</v>
      </c>
      <c r="M410" s="17">
        <v>78.266315074167807</v>
      </c>
      <c r="N410" s="15">
        <v>25.041512632727873</v>
      </c>
      <c r="O410" s="11">
        <v>0.32993581697088292</v>
      </c>
      <c r="P410" s="11">
        <v>0.35540357059932093</v>
      </c>
    </row>
    <row r="411" spans="1:16">
      <c r="A411">
        <v>15</v>
      </c>
      <c r="B411">
        <v>2.8</v>
      </c>
      <c r="C411" t="s">
        <v>16</v>
      </c>
      <c r="D411" s="3" t="s">
        <v>16</v>
      </c>
      <c r="E411" s="3">
        <v>0.75</v>
      </c>
      <c r="F411" t="s">
        <v>19</v>
      </c>
      <c r="G411" t="s">
        <v>20</v>
      </c>
      <c r="H411" t="s">
        <v>21</v>
      </c>
      <c r="I411" s="16">
        <v>12407473.953579577</v>
      </c>
      <c r="J411" s="16">
        <v>1775052.5999999999</v>
      </c>
      <c r="K411" s="16">
        <v>14182526.553579576</v>
      </c>
      <c r="L411" s="17">
        <v>130.70269891466319</v>
      </c>
      <c r="M411" s="17">
        <v>47.458644303472944</v>
      </c>
      <c r="N411" s="15">
        <v>22.546627835284824</v>
      </c>
      <c r="O411" s="11">
        <v>0.39472236951921069</v>
      </c>
      <c r="P411" s="11">
        <v>0.41962468438683254</v>
      </c>
    </row>
    <row r="412" spans="1:16">
      <c r="A412">
        <v>15</v>
      </c>
      <c r="B412">
        <v>2.8</v>
      </c>
      <c r="C412" t="s">
        <v>16</v>
      </c>
      <c r="D412" s="3">
        <v>0.25</v>
      </c>
      <c r="E412" s="3" t="s">
        <v>17</v>
      </c>
      <c r="F412" t="s">
        <v>19</v>
      </c>
      <c r="G412" t="s">
        <v>20</v>
      </c>
      <c r="H412" t="s">
        <v>21</v>
      </c>
      <c r="I412" s="16">
        <v>12850712.916790741</v>
      </c>
      <c r="J412" s="16">
        <v>2431460.5</v>
      </c>
      <c r="K412" s="16">
        <v>15282173.416790741</v>
      </c>
      <c r="L412" s="17">
        <v>140.83677568383143</v>
      </c>
      <c r="M412" s="17">
        <v>80.51612727732801</v>
      </c>
      <c r="N412" s="15">
        <v>24.390406782025764</v>
      </c>
      <c r="O412" s="11">
        <v>0.34779196926819933</v>
      </c>
      <c r="P412" s="11">
        <v>0.37216376047602773</v>
      </c>
    </row>
    <row r="413" spans="1:16">
      <c r="A413">
        <v>15</v>
      </c>
      <c r="B413">
        <v>2.8</v>
      </c>
      <c r="C413" t="s">
        <v>16</v>
      </c>
      <c r="D413" s="3">
        <v>0.25</v>
      </c>
      <c r="E413" s="3">
        <v>0.75</v>
      </c>
      <c r="F413" t="s">
        <v>19</v>
      </c>
      <c r="G413" t="s">
        <v>20</v>
      </c>
      <c r="H413" t="s">
        <v>21</v>
      </c>
      <c r="I413" s="16">
        <v>11988119.988385959</v>
      </c>
      <c r="J413" s="16">
        <v>1801627.7</v>
      </c>
      <c r="K413" s="16">
        <v>13789747.688385958</v>
      </c>
      <c r="L413" s="17">
        <v>127.08294487693938</v>
      </c>
      <c r="M413" s="17">
        <v>50.102293869321365</v>
      </c>
      <c r="N413" s="15">
        <v>21.93616784141992</v>
      </c>
      <c r="O413" s="11">
        <v>0.41148526856467893</v>
      </c>
      <c r="P413" s="11">
        <v>0.43533860463232898</v>
      </c>
    </row>
    <row r="414" spans="1:16">
      <c r="A414">
        <v>15</v>
      </c>
      <c r="B414">
        <v>2.8</v>
      </c>
      <c r="C414" t="s">
        <v>19</v>
      </c>
      <c r="D414" s="3" t="s">
        <v>16</v>
      </c>
      <c r="E414" s="3" t="s">
        <v>17</v>
      </c>
      <c r="F414" t="s">
        <v>19</v>
      </c>
      <c r="G414" t="s">
        <v>20</v>
      </c>
      <c r="H414" t="s">
        <v>21</v>
      </c>
      <c r="I414" s="16">
        <v>13222152.885961218</v>
      </c>
      <c r="J414" s="16">
        <v>2377577.8000000003</v>
      </c>
      <c r="K414" s="16">
        <v>15599730.685961219</v>
      </c>
      <c r="L414" s="17">
        <v>143.76330587460876</v>
      </c>
      <c r="M414" s="17">
        <v>76.400935379977412</v>
      </c>
      <c r="N414" s="15">
        <v>24.877985518541667</v>
      </c>
      <c r="O414" s="11">
        <v>0.33423935502141378</v>
      </c>
      <c r="P414" s="11">
        <v>0.35961294067454797</v>
      </c>
    </row>
    <row r="415" spans="1:16">
      <c r="A415">
        <v>15</v>
      </c>
      <c r="B415">
        <v>2.8</v>
      </c>
      <c r="C415" t="s">
        <v>19</v>
      </c>
      <c r="D415" s="3" t="s">
        <v>16</v>
      </c>
      <c r="E415" s="3">
        <v>0.75</v>
      </c>
      <c r="F415" t="s">
        <v>19</v>
      </c>
      <c r="G415" t="s">
        <v>20</v>
      </c>
      <c r="H415" t="s">
        <v>21</v>
      </c>
      <c r="I415" s="16">
        <v>12329555.96004677</v>
      </c>
      <c r="J415" s="16">
        <v>1748243.0999999999</v>
      </c>
      <c r="K415" s="16">
        <v>14077799.06004677</v>
      </c>
      <c r="L415" s="17">
        <v>129.73755592666356</v>
      </c>
      <c r="M415" s="17">
        <v>45.472265212218218</v>
      </c>
      <c r="N415" s="15">
        <v>22.377612131314361</v>
      </c>
      <c r="O415" s="11">
        <v>0.39919189819537815</v>
      </c>
      <c r="P415" s="11">
        <v>0.42397533687695466</v>
      </c>
    </row>
    <row r="416" spans="1:16">
      <c r="A416">
        <v>15</v>
      </c>
      <c r="B416">
        <v>2.8</v>
      </c>
      <c r="C416" t="s">
        <v>19</v>
      </c>
      <c r="D416" s="3">
        <v>0.25</v>
      </c>
      <c r="E416" s="3" t="s">
        <v>17</v>
      </c>
      <c r="F416" t="s">
        <v>19</v>
      </c>
      <c r="G416" t="s">
        <v>20</v>
      </c>
      <c r="H416" t="s">
        <v>21</v>
      </c>
      <c r="I416" s="16">
        <v>12787354.922049452</v>
      </c>
      <c r="J416" s="16">
        <v>2396417.6999999997</v>
      </c>
      <c r="K416" s="16">
        <v>15183772.622049451</v>
      </c>
      <c r="L416" s="17">
        <v>139.92993800583051</v>
      </c>
      <c r="M416" s="17">
        <v>78.746084123543994</v>
      </c>
      <c r="N416" s="15">
        <v>24.229785459138732</v>
      </c>
      <c r="O416" s="11">
        <v>0.35199148898377519</v>
      </c>
      <c r="P416" s="11">
        <v>0.37629833224639586</v>
      </c>
    </row>
    <row r="417" spans="1:16">
      <c r="A417">
        <v>15</v>
      </c>
      <c r="B417">
        <v>2.8</v>
      </c>
      <c r="C417" t="s">
        <v>19</v>
      </c>
      <c r="D417" s="3">
        <v>0.25</v>
      </c>
      <c r="E417" s="3">
        <v>0.75</v>
      </c>
      <c r="F417" t="s">
        <v>19</v>
      </c>
      <c r="G417" t="s">
        <v>20</v>
      </c>
      <c r="H417" t="s">
        <v>21</v>
      </c>
      <c r="I417" s="16">
        <v>11909846.994882619</v>
      </c>
      <c r="J417" s="16">
        <v>1771331.5</v>
      </c>
      <c r="K417" s="16">
        <v>13681178.494882619</v>
      </c>
      <c r="L417" s="17">
        <v>126.08239772081274</v>
      </c>
      <c r="M417" s="17">
        <v>48.080822765742695</v>
      </c>
      <c r="N417" s="15">
        <v>21.760490777364851</v>
      </c>
      <c r="O417" s="11">
        <v>0.41611875216427963</v>
      </c>
      <c r="P417" s="11">
        <v>0.43986072795124909</v>
      </c>
    </row>
    <row r="418" spans="1:16">
      <c r="A418">
        <v>15</v>
      </c>
      <c r="B418">
        <v>4</v>
      </c>
      <c r="C418" t="s">
        <v>16</v>
      </c>
      <c r="D418" s="3" t="s">
        <v>16</v>
      </c>
      <c r="E418" s="3" t="s">
        <v>17</v>
      </c>
      <c r="F418" t="s">
        <v>19</v>
      </c>
      <c r="G418" t="s">
        <v>20</v>
      </c>
      <c r="H418" t="s">
        <v>21</v>
      </c>
      <c r="I418" s="16">
        <v>13015793.903089017</v>
      </c>
      <c r="J418" s="16">
        <v>2288359.3000000003</v>
      </c>
      <c r="K418" s="16">
        <v>15304153.203089017</v>
      </c>
      <c r="L418" s="17">
        <v>141.03933602312634</v>
      </c>
      <c r="M418" s="17">
        <v>70.752852234534913</v>
      </c>
      <c r="N418" s="15">
        <v>24.398466325918562</v>
      </c>
      <c r="O418" s="11">
        <v>0.34685392251617431</v>
      </c>
      <c r="P418" s="11">
        <v>0.37195629883854231</v>
      </c>
    </row>
    <row r="419" spans="1:16">
      <c r="A419">
        <v>15</v>
      </c>
      <c r="B419">
        <v>4</v>
      </c>
      <c r="C419" t="s">
        <v>16</v>
      </c>
      <c r="D419" s="3" t="s">
        <v>16</v>
      </c>
      <c r="E419" s="3">
        <v>0.75</v>
      </c>
      <c r="F419" t="s">
        <v>19</v>
      </c>
      <c r="G419" t="s">
        <v>20</v>
      </c>
      <c r="H419" t="s">
        <v>21</v>
      </c>
      <c r="I419" s="16">
        <v>12106424.978566643</v>
      </c>
      <c r="J419" s="16">
        <v>1657149.4000000001</v>
      </c>
      <c r="K419" s="16">
        <v>13763574.378566643</v>
      </c>
      <c r="L419" s="17">
        <v>126.84173804965157</v>
      </c>
      <c r="M419" s="17">
        <v>39.477433777873081</v>
      </c>
      <c r="N419" s="15">
        <v>21.868533146652126</v>
      </c>
      <c r="O419" s="11">
        <v>0.41260228526050002</v>
      </c>
      <c r="P419" s="11">
        <v>0.43707959701527088</v>
      </c>
    </row>
    <row r="420" spans="1:16">
      <c r="A420">
        <v>15</v>
      </c>
      <c r="B420">
        <v>4</v>
      </c>
      <c r="C420" t="s">
        <v>16</v>
      </c>
      <c r="D420" s="3">
        <v>0.25</v>
      </c>
      <c r="E420" s="3" t="s">
        <v>17</v>
      </c>
      <c r="F420" t="s">
        <v>19</v>
      </c>
      <c r="G420" t="s">
        <v>20</v>
      </c>
      <c r="H420" t="s">
        <v>21</v>
      </c>
      <c r="I420" s="16">
        <v>12580383.939228047</v>
      </c>
      <c r="J420" s="16">
        <v>2312033.6999999997</v>
      </c>
      <c r="K420" s="16">
        <v>14892417.639228046</v>
      </c>
      <c r="L420" s="17">
        <v>137.24488168295824</v>
      </c>
      <c r="M420" s="17">
        <v>73.149083671941469</v>
      </c>
      <c r="N420" s="15">
        <v>23.757772637791081</v>
      </c>
      <c r="O420" s="11">
        <v>0.36442584988306082</v>
      </c>
      <c r="P420" s="11">
        <v>0.38844846805226518</v>
      </c>
    </row>
    <row r="421" spans="1:16">
      <c r="A421">
        <v>15</v>
      </c>
      <c r="B421">
        <v>4</v>
      </c>
      <c r="C421" t="s">
        <v>16</v>
      </c>
      <c r="D421" s="3">
        <v>0.25</v>
      </c>
      <c r="E421" s="3">
        <v>0.75</v>
      </c>
      <c r="F421" t="s">
        <v>19</v>
      </c>
      <c r="G421" t="s">
        <v>20</v>
      </c>
      <c r="H421" t="s">
        <v>21</v>
      </c>
      <c r="I421" s="16">
        <v>11677654.014154635</v>
      </c>
      <c r="J421" s="16">
        <v>1680325.7</v>
      </c>
      <c r="K421" s="16">
        <v>13357979.714154635</v>
      </c>
      <c r="L421" s="17">
        <v>123.10387673814522</v>
      </c>
      <c r="M421" s="17">
        <v>41.941905084120101</v>
      </c>
      <c r="N421" s="15">
        <v>21.237368466039573</v>
      </c>
      <c r="O421" s="11">
        <v>0.42991213315561927</v>
      </c>
      <c r="P421" s="11">
        <v>0.4533264789610103</v>
      </c>
    </row>
    <row r="422" spans="1:16">
      <c r="A422">
        <v>15</v>
      </c>
      <c r="B422">
        <v>4</v>
      </c>
      <c r="C422" t="s">
        <v>19</v>
      </c>
      <c r="D422" s="3" t="s">
        <v>16</v>
      </c>
      <c r="E422" s="3" t="s">
        <v>17</v>
      </c>
      <c r="F422" t="s">
        <v>19</v>
      </c>
      <c r="G422" t="s">
        <v>20</v>
      </c>
      <c r="H422" t="s">
        <v>21</v>
      </c>
      <c r="I422" s="16">
        <v>12947368.908768291</v>
      </c>
      <c r="J422" s="16">
        <v>2254840.1</v>
      </c>
      <c r="K422" s="16">
        <v>15202209.00876829</v>
      </c>
      <c r="L422" s="17">
        <v>140.09984324050669</v>
      </c>
      <c r="M422" s="17">
        <v>68.942964687564384</v>
      </c>
      <c r="N422" s="15">
        <v>24.232574457751859</v>
      </c>
      <c r="O422" s="11">
        <v>0.35120466638022496</v>
      </c>
      <c r="P422" s="11">
        <v>0.3762265403153735</v>
      </c>
    </row>
    <row r="423" spans="1:16">
      <c r="A423">
        <v>15</v>
      </c>
      <c r="B423">
        <v>4</v>
      </c>
      <c r="C423" t="s">
        <v>19</v>
      </c>
      <c r="D423" s="3" t="s">
        <v>16</v>
      </c>
      <c r="E423" s="3">
        <v>0.75</v>
      </c>
      <c r="F423" t="s">
        <v>19</v>
      </c>
      <c r="G423" t="s">
        <v>20</v>
      </c>
      <c r="H423" t="s">
        <v>21</v>
      </c>
      <c r="I423" s="16">
        <v>12030067.984904274</v>
      </c>
      <c r="J423" s="16">
        <v>1627380.5999999999</v>
      </c>
      <c r="K423" s="16">
        <v>13657448.584904274</v>
      </c>
      <c r="L423" s="17">
        <v>125.8637086693624</v>
      </c>
      <c r="M423" s="17">
        <v>37.507590811847024</v>
      </c>
      <c r="N423" s="15">
        <v>21.6967813122798</v>
      </c>
      <c r="O423" s="11">
        <v>0.41713149017178142</v>
      </c>
      <c r="P423" s="11">
        <v>0.44150068054976654</v>
      </c>
    </row>
    <row r="424" spans="1:16">
      <c r="A424">
        <v>15</v>
      </c>
      <c r="B424">
        <v>4</v>
      </c>
      <c r="C424" t="s">
        <v>19</v>
      </c>
      <c r="D424" s="3">
        <v>0.25</v>
      </c>
      <c r="E424" s="3" t="s">
        <v>17</v>
      </c>
      <c r="F424" t="s">
        <v>19</v>
      </c>
      <c r="G424" t="s">
        <v>20</v>
      </c>
      <c r="H424" t="s">
        <v>21</v>
      </c>
      <c r="I424" s="16">
        <v>12502498.945692502</v>
      </c>
      <c r="J424" s="16">
        <v>2283524.8000000003</v>
      </c>
      <c r="K424" s="16">
        <v>14786023.745692503</v>
      </c>
      <c r="L424" s="17">
        <v>136.26438155975382</v>
      </c>
      <c r="M424" s="17">
        <v>71.167789088166444</v>
      </c>
      <c r="N424" s="15">
        <v>23.58583299573349</v>
      </c>
      <c r="O424" s="11">
        <v>0.36896649668062065</v>
      </c>
      <c r="P424" s="11">
        <v>0.39287438596578228</v>
      </c>
    </row>
    <row r="425" spans="1:16">
      <c r="A425">
        <v>15</v>
      </c>
      <c r="B425">
        <v>4</v>
      </c>
      <c r="C425" t="s">
        <v>19</v>
      </c>
      <c r="D425" s="3">
        <v>0.25</v>
      </c>
      <c r="E425" s="3">
        <v>0.75</v>
      </c>
      <c r="F425" t="s">
        <v>19</v>
      </c>
      <c r="G425" t="s">
        <v>20</v>
      </c>
      <c r="H425" t="s">
        <v>21</v>
      </c>
      <c r="I425" s="16">
        <v>11601436.02048073</v>
      </c>
      <c r="J425" s="16">
        <v>1651435.9000000001</v>
      </c>
      <c r="K425" s="16">
        <v>13252871.92048073</v>
      </c>
      <c r="L425" s="17">
        <v>122.13522899697971</v>
      </c>
      <c r="M425" s="17">
        <v>39.92038807686265</v>
      </c>
      <c r="N425" s="15">
        <v>21.067373523302226</v>
      </c>
      <c r="O425" s="11">
        <v>0.43439789216757374</v>
      </c>
      <c r="P425" s="11">
        <v>0.45770233814778538</v>
      </c>
    </row>
    <row r="426" spans="1:16">
      <c r="A426">
        <v>15</v>
      </c>
      <c r="B426">
        <v>5.5</v>
      </c>
      <c r="C426" t="s">
        <v>16</v>
      </c>
      <c r="D426" s="3" t="s">
        <v>16</v>
      </c>
      <c r="E426" s="3" t="s">
        <v>17</v>
      </c>
      <c r="F426" t="s">
        <v>19</v>
      </c>
      <c r="G426" t="s">
        <v>20</v>
      </c>
      <c r="H426" t="s">
        <v>21</v>
      </c>
      <c r="I426" s="16">
        <v>12877216.914590908</v>
      </c>
      <c r="J426" s="16">
        <v>2228323.6</v>
      </c>
      <c r="K426" s="16">
        <v>15105540.514590908</v>
      </c>
      <c r="L426" s="17">
        <v>139.20897002117812</v>
      </c>
      <c r="M426" s="17">
        <v>67.014856266204291</v>
      </c>
      <c r="N426" s="15">
        <v>24.07623861878346</v>
      </c>
      <c r="O426" s="11">
        <v>0.3553302554899499</v>
      </c>
      <c r="P426" s="11">
        <v>0.38025079895599101</v>
      </c>
    </row>
    <row r="427" spans="1:16">
      <c r="A427">
        <v>15</v>
      </c>
      <c r="B427">
        <v>5.5</v>
      </c>
      <c r="C427" t="s">
        <v>16</v>
      </c>
      <c r="D427" s="3" t="s">
        <v>16</v>
      </c>
      <c r="E427" s="3">
        <v>0.75</v>
      </c>
      <c r="F427" t="s">
        <v>19</v>
      </c>
      <c r="G427" t="s">
        <v>20</v>
      </c>
      <c r="H427" t="s">
        <v>21</v>
      </c>
      <c r="I427" s="16">
        <v>11958815.990818189</v>
      </c>
      <c r="J427" s="16">
        <v>1598959.5999999999</v>
      </c>
      <c r="K427" s="16">
        <v>13557775.590818189</v>
      </c>
      <c r="L427" s="17">
        <v>124.94514671308892</v>
      </c>
      <c r="M427" s="17">
        <v>35.561110118106811</v>
      </c>
      <c r="N427" s="15">
        <v>21.535387359898873</v>
      </c>
      <c r="O427" s="11">
        <v>0.4213853044308582</v>
      </c>
      <c r="P427" s="11">
        <v>0.44565514066395484</v>
      </c>
    </row>
    <row r="428" spans="1:16">
      <c r="A428">
        <v>15</v>
      </c>
      <c r="B428">
        <v>5.5</v>
      </c>
      <c r="C428" t="s">
        <v>16</v>
      </c>
      <c r="D428" s="3">
        <v>0.25</v>
      </c>
      <c r="E428" s="3" t="s">
        <v>17</v>
      </c>
      <c r="F428" t="s">
        <v>19</v>
      </c>
      <c r="G428" t="s">
        <v>20</v>
      </c>
      <c r="H428" t="s">
        <v>21</v>
      </c>
      <c r="I428" s="16">
        <v>12444378.95051646</v>
      </c>
      <c r="J428" s="16">
        <v>2250708.8000000003</v>
      </c>
      <c r="K428" s="16">
        <v>14695087.750516461</v>
      </c>
      <c r="L428" s="17">
        <v>135.42633765036308</v>
      </c>
      <c r="M428" s="17">
        <v>69.381109901146985</v>
      </c>
      <c r="N428" s="15">
        <v>23.437317046402878</v>
      </c>
      <c r="O428" s="11">
        <v>0.3728474359108509</v>
      </c>
      <c r="P428" s="11">
        <v>0.3966973519363941</v>
      </c>
    </row>
    <row r="429" spans="1:16">
      <c r="A429">
        <v>15</v>
      </c>
      <c r="B429">
        <v>5.5</v>
      </c>
      <c r="C429" t="s">
        <v>16</v>
      </c>
      <c r="D429" s="3">
        <v>0.25</v>
      </c>
      <c r="E429" s="3">
        <v>0.75</v>
      </c>
      <c r="F429" t="s">
        <v>19</v>
      </c>
      <c r="G429" t="s">
        <v>20</v>
      </c>
      <c r="H429" t="s">
        <v>21</v>
      </c>
      <c r="I429" s="16">
        <v>11525876.026752209</v>
      </c>
      <c r="J429" s="16">
        <v>1621462</v>
      </c>
      <c r="K429" s="16">
        <v>13147338.026752209</v>
      </c>
      <c r="L429" s="17">
        <v>121.16265442183749</v>
      </c>
      <c r="M429" s="17">
        <v>37.899408412668635</v>
      </c>
      <c r="N429" s="15">
        <v>20.89651120277529</v>
      </c>
      <c r="O429" s="11">
        <v>0.43890183615033951</v>
      </c>
      <c r="P429" s="11">
        <v>0.4621005246050538</v>
      </c>
    </row>
    <row r="430" spans="1:16">
      <c r="A430">
        <v>15</v>
      </c>
      <c r="B430">
        <v>5.5</v>
      </c>
      <c r="C430" t="s">
        <v>19</v>
      </c>
      <c r="D430" s="3" t="s">
        <v>16</v>
      </c>
      <c r="E430" s="3" t="s">
        <v>17</v>
      </c>
      <c r="F430" t="s">
        <v>19</v>
      </c>
      <c r="G430" t="s">
        <v>20</v>
      </c>
      <c r="H430" t="s">
        <v>21</v>
      </c>
      <c r="I430" s="16">
        <v>12813877.919848043</v>
      </c>
      <c r="J430" s="16">
        <v>2180593.9</v>
      </c>
      <c r="K430" s="16">
        <v>14994471.819848044</v>
      </c>
      <c r="L430" s="17">
        <v>138.18538807243448</v>
      </c>
      <c r="M430" s="17">
        <v>65.251863377438568</v>
      </c>
      <c r="N430" s="15">
        <v>23.893432382468465</v>
      </c>
      <c r="O430" s="11">
        <v>0.36007041205659407</v>
      </c>
      <c r="P430" s="11">
        <v>0.38495643511020716</v>
      </c>
    </row>
    <row r="431" spans="1:16">
      <c r="A431">
        <v>15</v>
      </c>
      <c r="B431">
        <v>5.5</v>
      </c>
      <c r="C431" t="s">
        <v>19</v>
      </c>
      <c r="D431" s="3" t="s">
        <v>16</v>
      </c>
      <c r="E431" s="3">
        <v>0.75</v>
      </c>
      <c r="F431" t="s">
        <v>19</v>
      </c>
      <c r="G431" t="s">
        <v>20</v>
      </c>
      <c r="H431" t="s">
        <v>21</v>
      </c>
      <c r="I431" s="16">
        <v>11883482.997070828</v>
      </c>
      <c r="J431" s="16">
        <v>1557675.9000000001</v>
      </c>
      <c r="K431" s="16">
        <v>13441158.897070829</v>
      </c>
      <c r="L431" s="17">
        <v>123.87043576129184</v>
      </c>
      <c r="M431" s="17">
        <v>33.624306999941304</v>
      </c>
      <c r="N431" s="15">
        <v>21.345077288280439</v>
      </c>
      <c r="O431" s="11">
        <v>0.42636223684126084</v>
      </c>
      <c r="P431" s="11">
        <v>0.45055393389755138</v>
      </c>
    </row>
    <row r="432" spans="1:16">
      <c r="A432">
        <v>15</v>
      </c>
      <c r="B432">
        <v>5.5</v>
      </c>
      <c r="C432" t="s">
        <v>19</v>
      </c>
      <c r="D432" s="3">
        <v>0.25</v>
      </c>
      <c r="E432" s="3" t="s">
        <v>17</v>
      </c>
      <c r="F432" t="s">
        <v>19</v>
      </c>
      <c r="G432" t="s">
        <v>20</v>
      </c>
      <c r="H432" t="s">
        <v>21</v>
      </c>
      <c r="I432" s="16">
        <v>12370956.956610488</v>
      </c>
      <c r="J432" s="16">
        <v>2219445.6999999997</v>
      </c>
      <c r="K432" s="16">
        <v>14590402.656610487</v>
      </c>
      <c r="L432" s="17">
        <v>134.46158540696311</v>
      </c>
      <c r="M432" s="17">
        <v>67.465122751202884</v>
      </c>
      <c r="N432" s="15">
        <v>23.267546903229</v>
      </c>
      <c r="O432" s="11">
        <v>0.37731515506841329</v>
      </c>
      <c r="P432" s="11">
        <v>0.40106742453199684</v>
      </c>
    </row>
    <row r="433" spans="1:16">
      <c r="A433">
        <v>15</v>
      </c>
      <c r="B433">
        <v>5.5</v>
      </c>
      <c r="C433" t="s">
        <v>19</v>
      </c>
      <c r="D433" s="3">
        <v>0.25</v>
      </c>
      <c r="E433" s="3">
        <v>0.75</v>
      </c>
      <c r="F433" t="s">
        <v>19</v>
      </c>
      <c r="G433" t="s">
        <v>20</v>
      </c>
      <c r="H433" t="s">
        <v>21</v>
      </c>
      <c r="I433" s="16">
        <v>11449227.033114078</v>
      </c>
      <c r="J433" s="16">
        <v>1593128.9000000001</v>
      </c>
      <c r="K433" s="16">
        <v>13042355.933114078</v>
      </c>
      <c r="L433" s="17">
        <v>120.19516510148416</v>
      </c>
      <c r="M433" s="17">
        <v>35.895739835809863</v>
      </c>
      <c r="N433" s="15">
        <v>20.726815799799187</v>
      </c>
      <c r="O433" s="11">
        <v>0.44338223057372683</v>
      </c>
      <c r="P433" s="11">
        <v>0.4664686733047112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650"/>
  <sheetViews>
    <sheetView workbookViewId="0">
      <selection activeCell="E75" sqref="E75:CB146"/>
    </sheetView>
  </sheetViews>
  <sheetFormatPr defaultRowHeight="15"/>
  <cols>
    <col min="1" max="1" width="2" bestFit="1" customWidth="1"/>
    <col min="2" max="2" width="6.7109375" bestFit="1" customWidth="1"/>
    <col min="5" max="5" width="10" bestFit="1" customWidth="1"/>
  </cols>
  <sheetData>
    <row r="1" spans="1:80">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c r="BI1">
        <v>61</v>
      </c>
      <c r="BJ1">
        <v>62</v>
      </c>
      <c r="BK1">
        <v>63</v>
      </c>
      <c r="BL1">
        <v>64</v>
      </c>
      <c r="BM1">
        <v>65</v>
      </c>
      <c r="BN1">
        <v>66</v>
      </c>
      <c r="BO1">
        <v>67</v>
      </c>
      <c r="BP1">
        <v>68</v>
      </c>
      <c r="BQ1">
        <v>69</v>
      </c>
      <c r="BR1">
        <v>70</v>
      </c>
      <c r="BS1">
        <v>71</v>
      </c>
      <c r="BT1">
        <v>72</v>
      </c>
      <c r="BU1">
        <v>73</v>
      </c>
      <c r="BV1">
        <v>74</v>
      </c>
      <c r="BW1">
        <v>75</v>
      </c>
      <c r="BX1">
        <v>76</v>
      </c>
      <c r="BY1">
        <v>77</v>
      </c>
      <c r="BZ1">
        <v>78</v>
      </c>
      <c r="CA1">
        <v>79</v>
      </c>
      <c r="CB1">
        <v>80</v>
      </c>
    </row>
    <row r="2" spans="1:80" ht="75">
      <c r="B2" t="s">
        <v>22</v>
      </c>
      <c r="C2" s="1" t="s">
        <v>6</v>
      </c>
      <c r="D2" s="1" t="s">
        <v>5</v>
      </c>
      <c r="E2" s="1" t="s">
        <v>23</v>
      </c>
      <c r="F2" s="1" t="s">
        <v>24</v>
      </c>
      <c r="G2" s="2" t="s">
        <v>25</v>
      </c>
      <c r="H2" s="2" t="s">
        <v>26</v>
      </c>
      <c r="I2" s="2" t="s">
        <v>27</v>
      </c>
      <c r="J2" s="2" t="s">
        <v>28</v>
      </c>
      <c r="K2" s="2" t="s">
        <v>29</v>
      </c>
      <c r="L2" s="2" t="s">
        <v>30</v>
      </c>
      <c r="M2" s="2" t="s">
        <v>31</v>
      </c>
      <c r="N2" s="2" t="s">
        <v>32</v>
      </c>
      <c r="O2" s="2" t="s">
        <v>33</v>
      </c>
      <c r="P2" s="2" t="s">
        <v>34</v>
      </c>
      <c r="Q2" s="2" t="s">
        <v>35</v>
      </c>
      <c r="R2" s="2" t="s">
        <v>36</v>
      </c>
      <c r="S2" s="2" t="s">
        <v>37</v>
      </c>
      <c r="T2" s="2" t="s">
        <v>38</v>
      </c>
      <c r="U2" s="2" t="s">
        <v>39</v>
      </c>
      <c r="V2" s="2" t="s">
        <v>40</v>
      </c>
      <c r="W2" s="2" t="s">
        <v>41</v>
      </c>
      <c r="X2" s="2" t="s">
        <v>42</v>
      </c>
      <c r="Y2" s="2" t="s">
        <v>43</v>
      </c>
      <c r="Z2" s="2" t="s">
        <v>44</v>
      </c>
      <c r="AA2" s="2" t="s">
        <v>45</v>
      </c>
      <c r="AB2" s="2" t="s">
        <v>46</v>
      </c>
      <c r="AC2" s="1" t="s">
        <v>47</v>
      </c>
      <c r="AD2" s="1" t="s">
        <v>47</v>
      </c>
      <c r="AE2" s="2" t="s">
        <v>40</v>
      </c>
      <c r="AF2" s="2" t="s">
        <v>48</v>
      </c>
      <c r="AG2" s="2" t="s">
        <v>49</v>
      </c>
      <c r="AH2" s="2" t="s">
        <v>50</v>
      </c>
      <c r="AI2" s="2" t="s">
        <v>51</v>
      </c>
      <c r="AJ2" s="2" t="s">
        <v>52</v>
      </c>
      <c r="AK2" s="2" t="s">
        <v>53</v>
      </c>
      <c r="AL2" s="2" t="s">
        <v>54</v>
      </c>
      <c r="AM2" s="2" t="s">
        <v>55</v>
      </c>
      <c r="AN2" s="2" t="s">
        <v>56</v>
      </c>
      <c r="AO2" s="2" t="s">
        <v>57</v>
      </c>
      <c r="AP2" s="2" t="s">
        <v>58</v>
      </c>
      <c r="AQ2" s="2" t="s">
        <v>40</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59</v>
      </c>
      <c r="BQ2" s="2" t="s">
        <v>60</v>
      </c>
      <c r="BR2" s="2" t="s">
        <v>61</v>
      </c>
      <c r="BS2" s="2" t="s">
        <v>62</v>
      </c>
      <c r="BT2" s="2" t="s">
        <v>63</v>
      </c>
      <c r="BU2" s="2" t="s">
        <v>64</v>
      </c>
      <c r="BV2" s="2" t="s">
        <v>65</v>
      </c>
      <c r="BW2" s="2" t="s">
        <v>66</v>
      </c>
      <c r="BX2" s="2" t="s">
        <v>67</v>
      </c>
      <c r="BY2" s="2" t="s">
        <v>68</v>
      </c>
      <c r="BZ2" s="2" t="s">
        <v>69</v>
      </c>
      <c r="CA2" s="2" t="s">
        <v>70</v>
      </c>
      <c r="CB2" s="2" t="s">
        <v>71</v>
      </c>
    </row>
    <row r="3" spans="1:80">
      <c r="A3" t="s">
        <v>72</v>
      </c>
      <c r="B3">
        <v>1</v>
      </c>
      <c r="C3" s="1" t="s">
        <v>16</v>
      </c>
      <c r="D3" s="1" t="s">
        <v>16</v>
      </c>
      <c r="E3" t="s">
        <v>73</v>
      </c>
      <c r="F3" t="s">
        <v>74</v>
      </c>
      <c r="G3">
        <v>1167990</v>
      </c>
      <c r="H3">
        <v>14789094</v>
      </c>
      <c r="I3">
        <v>315037.84000000003</v>
      </c>
      <c r="J3">
        <v>174922.89</v>
      </c>
      <c r="K3">
        <v>55527.85</v>
      </c>
      <c r="L3">
        <v>186240.67</v>
      </c>
      <c r="M3">
        <v>0</v>
      </c>
      <c r="N3">
        <v>-4649.0820000000003</v>
      </c>
      <c r="O3">
        <v>-1111.681</v>
      </c>
      <c r="P3">
        <v>0</v>
      </c>
      <c r="Q3">
        <v>-1368.5840000000001</v>
      </c>
      <c r="R3">
        <v>-3177.8090000000002</v>
      </c>
      <c r="S3">
        <v>-10021.719999999999</v>
      </c>
      <c r="T3">
        <v>1318.816</v>
      </c>
      <c r="U3">
        <v>858.84799999999996</v>
      </c>
      <c r="V3">
        <v>2408.6909999999998</v>
      </c>
      <c r="W3">
        <v>3408.915</v>
      </c>
      <c r="X3">
        <v>0</v>
      </c>
      <c r="Y3">
        <v>-12333.6</v>
      </c>
      <c r="Z3">
        <v>-37383.625</v>
      </c>
      <c r="AA3">
        <v>16357</v>
      </c>
      <c r="AB3">
        <v>0</v>
      </c>
      <c r="AC3">
        <v>1845054</v>
      </c>
      <c r="AD3">
        <v>348125</v>
      </c>
      <c r="AE3">
        <v>7386.8492162430002</v>
      </c>
      <c r="AF3">
        <v>0</v>
      </c>
      <c r="AG3">
        <v>10979.398406116001</v>
      </c>
      <c r="AH3">
        <v>49.293511267</v>
      </c>
      <c r="AI3">
        <v>4075.282938202</v>
      </c>
      <c r="AJ3">
        <v>201.90100713300001</v>
      </c>
      <c r="AK3">
        <v>5412.2521105100004</v>
      </c>
      <c r="AL3">
        <v>7710.248506807</v>
      </c>
      <c r="AM3">
        <v>0</v>
      </c>
      <c r="AN3">
        <v>0</v>
      </c>
      <c r="AO3">
        <v>4524.3102046869999</v>
      </c>
      <c r="AP3">
        <v>26.549485851</v>
      </c>
      <c r="AQ3">
        <v>0</v>
      </c>
      <c r="AR3">
        <v>0</v>
      </c>
      <c r="AS3">
        <v>0</v>
      </c>
      <c r="AT3">
        <v>35667.699999999997</v>
      </c>
      <c r="AU3">
        <v>0</v>
      </c>
      <c r="AV3">
        <v>0</v>
      </c>
      <c r="AW3">
        <v>3937</v>
      </c>
      <c r="AX3">
        <v>0</v>
      </c>
      <c r="AY3">
        <v>0</v>
      </c>
      <c r="AZ3">
        <v>0</v>
      </c>
      <c r="BA3">
        <v>0</v>
      </c>
      <c r="BB3">
        <v>0</v>
      </c>
      <c r="BC3">
        <v>2048.9008538319999</v>
      </c>
      <c r="BD3">
        <v>0</v>
      </c>
      <c r="BE3">
        <v>2890.951978481</v>
      </c>
      <c r="BF3">
        <v>18.051193040999998</v>
      </c>
      <c r="BG3">
        <v>2450.3308546429998</v>
      </c>
      <c r="BH3">
        <v>1515.358236</v>
      </c>
      <c r="BI3">
        <v>876.12962011400009</v>
      </c>
      <c r="BJ3">
        <v>1876.6346565260001</v>
      </c>
      <c r="BK3">
        <v>0</v>
      </c>
      <c r="BL3">
        <v>0</v>
      </c>
      <c r="BM3">
        <v>1651.7814328679999</v>
      </c>
      <c r="BN3">
        <v>3.0307164719999999</v>
      </c>
      <c r="BO3">
        <v>11938.268633697</v>
      </c>
      <c r="BP3">
        <v>0</v>
      </c>
      <c r="BQ3">
        <v>0</v>
      </c>
      <c r="BR3">
        <v>0</v>
      </c>
      <c r="BS3">
        <v>27200</v>
      </c>
      <c r="BT3">
        <v>0</v>
      </c>
      <c r="BU3">
        <v>0</v>
      </c>
      <c r="BV3">
        <v>2130</v>
      </c>
      <c r="BW3">
        <v>0</v>
      </c>
      <c r="BX3">
        <v>0</v>
      </c>
      <c r="BY3">
        <v>0</v>
      </c>
      <c r="BZ3">
        <v>0</v>
      </c>
      <c r="CA3">
        <v>0</v>
      </c>
      <c r="CB3">
        <v>28920</v>
      </c>
    </row>
    <row r="4" spans="1:80">
      <c r="B4">
        <v>2</v>
      </c>
      <c r="C4" s="1" t="s">
        <v>16</v>
      </c>
      <c r="D4" s="1" t="s">
        <v>16</v>
      </c>
      <c r="E4" t="s">
        <v>75</v>
      </c>
      <c r="F4" t="s">
        <v>76</v>
      </c>
      <c r="G4">
        <v>1167990</v>
      </c>
      <c r="H4">
        <v>14789094</v>
      </c>
      <c r="I4">
        <v>315037.84000000003</v>
      </c>
      <c r="J4">
        <v>174922.89</v>
      </c>
      <c r="K4">
        <v>55527.85</v>
      </c>
      <c r="L4">
        <v>186240.67</v>
      </c>
      <c r="M4">
        <v>0</v>
      </c>
      <c r="N4">
        <v>-4649.0820000000003</v>
      </c>
      <c r="O4">
        <v>-1111.681</v>
      </c>
      <c r="P4">
        <v>0</v>
      </c>
      <c r="Q4">
        <v>-1368.5840000000001</v>
      </c>
      <c r="R4">
        <v>-3177.8090000000002</v>
      </c>
      <c r="S4">
        <v>-10021.719999999999</v>
      </c>
      <c r="T4">
        <v>1318.816</v>
      </c>
      <c r="U4">
        <v>858.84799999999996</v>
      </c>
      <c r="V4">
        <v>2408.6909999999998</v>
      </c>
      <c r="W4">
        <v>3408.915</v>
      </c>
      <c r="X4">
        <v>0</v>
      </c>
      <c r="Y4">
        <v>-12333.6</v>
      </c>
      <c r="Z4">
        <v>-24289.506000000001</v>
      </c>
      <c r="AA4">
        <v>16352</v>
      </c>
      <c r="AB4">
        <v>0</v>
      </c>
      <c r="AC4">
        <v>1901395</v>
      </c>
      <c r="AD4">
        <v>230328</v>
      </c>
      <c r="AE4">
        <v>7386.8492162430002</v>
      </c>
      <c r="AF4">
        <v>0</v>
      </c>
      <c r="AG4">
        <v>10979.398406116001</v>
      </c>
      <c r="AH4">
        <v>34.344707047</v>
      </c>
      <c r="AI4">
        <v>4085.7300363110003</v>
      </c>
      <c r="AJ4">
        <v>161.58360433600001</v>
      </c>
      <c r="AK4">
        <v>5579.0814481990001</v>
      </c>
      <c r="AL4">
        <v>8820.9173566009995</v>
      </c>
      <c r="AM4">
        <v>0</v>
      </c>
      <c r="AN4">
        <v>0</v>
      </c>
      <c r="AO4">
        <v>4524.3102046869999</v>
      </c>
      <c r="AP4">
        <v>26.549485851</v>
      </c>
      <c r="AQ4">
        <v>0</v>
      </c>
      <c r="AR4">
        <v>0</v>
      </c>
      <c r="AS4">
        <v>0</v>
      </c>
      <c r="AT4">
        <v>25315.599999999999</v>
      </c>
      <c r="AU4">
        <v>0</v>
      </c>
      <c r="AV4">
        <v>0</v>
      </c>
      <c r="AW4">
        <v>887.8</v>
      </c>
      <c r="AX4">
        <v>0</v>
      </c>
      <c r="AY4">
        <v>0</v>
      </c>
      <c r="AZ4">
        <v>0</v>
      </c>
      <c r="BA4">
        <v>0</v>
      </c>
      <c r="BB4">
        <v>0</v>
      </c>
      <c r="BC4">
        <v>2048.9008538319999</v>
      </c>
      <c r="BD4">
        <v>0</v>
      </c>
      <c r="BE4">
        <v>2890.951978481</v>
      </c>
      <c r="BF4">
        <v>18.061431947999999</v>
      </c>
      <c r="BG4">
        <v>1367.0306032600001</v>
      </c>
      <c r="BH4">
        <v>696.45045414000003</v>
      </c>
      <c r="BI4">
        <v>717.30710769899997</v>
      </c>
      <c r="BJ4">
        <v>2027.0203095730001</v>
      </c>
      <c r="BK4">
        <v>0</v>
      </c>
      <c r="BL4">
        <v>0</v>
      </c>
      <c r="BM4">
        <v>1651.7814328679999</v>
      </c>
      <c r="BN4">
        <v>3.0307164719999999</v>
      </c>
      <c r="BO4">
        <v>10524.408682788</v>
      </c>
      <c r="BP4">
        <v>0</v>
      </c>
      <c r="BQ4">
        <v>0</v>
      </c>
      <c r="BR4">
        <v>0</v>
      </c>
      <c r="BS4">
        <v>22950</v>
      </c>
      <c r="BT4">
        <v>0</v>
      </c>
      <c r="BU4">
        <v>0</v>
      </c>
      <c r="BV4">
        <v>819.99999999999989</v>
      </c>
      <c r="BW4">
        <v>0</v>
      </c>
      <c r="BX4">
        <v>0</v>
      </c>
      <c r="BY4">
        <v>0</v>
      </c>
      <c r="BZ4">
        <v>0</v>
      </c>
      <c r="CA4">
        <v>0</v>
      </c>
      <c r="CB4">
        <v>23320</v>
      </c>
    </row>
    <row r="5" spans="1:80">
      <c r="B5">
        <v>3</v>
      </c>
      <c r="C5" s="1" t="s">
        <v>16</v>
      </c>
      <c r="D5" s="1" t="s">
        <v>16</v>
      </c>
      <c r="E5" t="s">
        <v>77</v>
      </c>
      <c r="F5" t="s">
        <v>78</v>
      </c>
      <c r="G5">
        <v>1167990</v>
      </c>
      <c r="H5">
        <v>14789094</v>
      </c>
      <c r="I5">
        <v>315037.84000000003</v>
      </c>
      <c r="J5">
        <v>174922.89</v>
      </c>
      <c r="K5">
        <v>55527.85</v>
      </c>
      <c r="L5">
        <v>186240.67</v>
      </c>
      <c r="M5">
        <v>0</v>
      </c>
      <c r="N5">
        <v>-4807.6959999999999</v>
      </c>
      <c r="O5">
        <v>-1113.9059999999999</v>
      </c>
      <c r="P5">
        <v>0</v>
      </c>
      <c r="Q5">
        <v>-1368.5840000000001</v>
      </c>
      <c r="R5">
        <v>-3290.2359999999999</v>
      </c>
      <c r="S5">
        <v>-10403.42</v>
      </c>
      <c r="T5">
        <v>1390.797</v>
      </c>
      <c r="U5">
        <v>950.24300000000005</v>
      </c>
      <c r="V5">
        <v>2061.1759999999999</v>
      </c>
      <c r="W5">
        <v>3707.0619999999999</v>
      </c>
      <c r="X5">
        <v>0</v>
      </c>
      <c r="Y5">
        <v>-12874.56</v>
      </c>
      <c r="Z5">
        <v>-38399.777000000002</v>
      </c>
      <c r="AA5">
        <v>16451</v>
      </c>
      <c r="AB5">
        <v>0</v>
      </c>
      <c r="AC5">
        <v>1763378</v>
      </c>
      <c r="AD5">
        <v>356735</v>
      </c>
      <c r="AE5">
        <v>5731.5626642120005</v>
      </c>
      <c r="AF5">
        <v>0</v>
      </c>
      <c r="AG5">
        <v>10979.398406116001</v>
      </c>
      <c r="AH5">
        <v>50.494876355000002</v>
      </c>
      <c r="AI5">
        <v>3999.5286782779999</v>
      </c>
      <c r="AJ5">
        <v>191.655274195</v>
      </c>
      <c r="AK5">
        <v>5416.0302671930003</v>
      </c>
      <c r="AL5">
        <v>7659.6444154440005</v>
      </c>
      <c r="AM5">
        <v>0</v>
      </c>
      <c r="AN5">
        <v>0</v>
      </c>
      <c r="AO5">
        <v>4524.3102046869999</v>
      </c>
      <c r="AP5">
        <v>26.549485851</v>
      </c>
      <c r="AQ5">
        <v>0</v>
      </c>
      <c r="AR5">
        <v>0</v>
      </c>
      <c r="AS5">
        <v>0</v>
      </c>
      <c r="AT5">
        <v>36647.1</v>
      </c>
      <c r="AU5">
        <v>0</v>
      </c>
      <c r="AV5">
        <v>0</v>
      </c>
      <c r="AW5">
        <v>3937</v>
      </c>
      <c r="AX5">
        <v>0</v>
      </c>
      <c r="AY5">
        <v>0</v>
      </c>
      <c r="AZ5">
        <v>0</v>
      </c>
      <c r="BA5">
        <v>0</v>
      </c>
      <c r="BB5">
        <v>0</v>
      </c>
      <c r="BC5">
        <v>1574.115910304</v>
      </c>
      <c r="BD5">
        <v>0</v>
      </c>
      <c r="BE5">
        <v>2890.951978481</v>
      </c>
      <c r="BF5">
        <v>18.047780072000002</v>
      </c>
      <c r="BG5">
        <v>2388.0748871139999</v>
      </c>
      <c r="BH5">
        <v>1516.576665933</v>
      </c>
      <c r="BI5">
        <v>874.04770902400003</v>
      </c>
      <c r="BJ5">
        <v>1807.6960956949999</v>
      </c>
      <c r="BK5">
        <v>0</v>
      </c>
      <c r="BL5">
        <v>0</v>
      </c>
      <c r="BM5">
        <v>1651.7814328679999</v>
      </c>
      <c r="BN5">
        <v>3.0307164719999999</v>
      </c>
      <c r="BO5">
        <v>11282.173125013</v>
      </c>
      <c r="BP5">
        <v>0</v>
      </c>
      <c r="BQ5">
        <v>0</v>
      </c>
      <c r="BR5">
        <v>0</v>
      </c>
      <c r="BS5">
        <v>27260.000000000004</v>
      </c>
      <c r="BT5">
        <v>0</v>
      </c>
      <c r="BU5">
        <v>0</v>
      </c>
      <c r="BV5">
        <v>2130</v>
      </c>
      <c r="BW5">
        <v>0</v>
      </c>
      <c r="BX5">
        <v>0</v>
      </c>
      <c r="BY5">
        <v>0</v>
      </c>
      <c r="BZ5">
        <v>0</v>
      </c>
      <c r="CA5">
        <v>0</v>
      </c>
      <c r="CB5">
        <v>28980</v>
      </c>
    </row>
    <row r="6" spans="1:80">
      <c r="B6">
        <v>4</v>
      </c>
      <c r="C6" s="1" t="s">
        <v>16</v>
      </c>
      <c r="D6" s="1" t="s">
        <v>16</v>
      </c>
      <c r="E6" t="s">
        <v>79</v>
      </c>
      <c r="F6" t="s">
        <v>80</v>
      </c>
      <c r="G6">
        <v>1167990</v>
      </c>
      <c r="H6">
        <v>14789094</v>
      </c>
      <c r="I6">
        <v>315037.84000000003</v>
      </c>
      <c r="J6">
        <v>174922.89</v>
      </c>
      <c r="K6">
        <v>55527.85</v>
      </c>
      <c r="L6">
        <v>186240.67</v>
      </c>
      <c r="M6">
        <v>0</v>
      </c>
      <c r="N6">
        <v>-4807.6959999999999</v>
      </c>
      <c r="O6">
        <v>-1113.9059999999999</v>
      </c>
      <c r="P6">
        <v>0</v>
      </c>
      <c r="Q6">
        <v>-1368.5840000000001</v>
      </c>
      <c r="R6">
        <v>-3290.2359999999999</v>
      </c>
      <c r="S6">
        <v>-10403.42</v>
      </c>
      <c r="T6">
        <v>1390.797</v>
      </c>
      <c r="U6">
        <v>950.24300000000005</v>
      </c>
      <c r="V6">
        <v>2061.1759999999999</v>
      </c>
      <c r="W6">
        <v>3707.0619999999999</v>
      </c>
      <c r="X6">
        <v>0</v>
      </c>
      <c r="Y6">
        <v>-12874.56</v>
      </c>
      <c r="Z6">
        <v>-25304.136999999999</v>
      </c>
      <c r="AA6">
        <v>16446</v>
      </c>
      <c r="AB6">
        <v>0</v>
      </c>
      <c r="AC6">
        <v>1819947</v>
      </c>
      <c r="AD6">
        <v>239172</v>
      </c>
      <c r="AE6">
        <v>5731.5626642120005</v>
      </c>
      <c r="AF6">
        <v>0</v>
      </c>
      <c r="AG6">
        <v>10979.398406116001</v>
      </c>
      <c r="AH6">
        <v>35.750850274999998</v>
      </c>
      <c r="AI6">
        <v>4014.4808954670002</v>
      </c>
      <c r="AJ6">
        <v>150.32080663600001</v>
      </c>
      <c r="AK6">
        <v>5583.9176252719999</v>
      </c>
      <c r="AL6">
        <v>8770.4873266569994</v>
      </c>
      <c r="AM6">
        <v>0</v>
      </c>
      <c r="AN6">
        <v>0</v>
      </c>
      <c r="AO6">
        <v>4524.3102046869999</v>
      </c>
      <c r="AP6">
        <v>26.549485851</v>
      </c>
      <c r="AQ6">
        <v>0</v>
      </c>
      <c r="AR6">
        <v>0</v>
      </c>
      <c r="AS6">
        <v>0</v>
      </c>
      <c r="AT6">
        <v>26321.7</v>
      </c>
      <c r="AU6">
        <v>0</v>
      </c>
      <c r="AV6">
        <v>0</v>
      </c>
      <c r="AW6">
        <v>887.8</v>
      </c>
      <c r="AX6">
        <v>0</v>
      </c>
      <c r="AY6">
        <v>0</v>
      </c>
      <c r="AZ6">
        <v>0</v>
      </c>
      <c r="BA6">
        <v>0</v>
      </c>
      <c r="BB6">
        <v>0</v>
      </c>
      <c r="BC6">
        <v>1574.115910304</v>
      </c>
      <c r="BD6">
        <v>0</v>
      </c>
      <c r="BE6">
        <v>2890.951978481</v>
      </c>
      <c r="BF6">
        <v>18.030715227000002</v>
      </c>
      <c r="BG6">
        <v>1301.7882878559999</v>
      </c>
      <c r="BH6">
        <v>627.15011859499998</v>
      </c>
      <c r="BI6">
        <v>717.16717597000002</v>
      </c>
      <c r="BJ6">
        <v>1957.8052982529998</v>
      </c>
      <c r="BK6">
        <v>0</v>
      </c>
      <c r="BL6">
        <v>0</v>
      </c>
      <c r="BM6">
        <v>1651.7814328679999</v>
      </c>
      <c r="BN6">
        <v>3.0307164719999999</v>
      </c>
      <c r="BO6">
        <v>9861.5554954840009</v>
      </c>
      <c r="BP6">
        <v>0</v>
      </c>
      <c r="BQ6">
        <v>0</v>
      </c>
      <c r="BR6">
        <v>0</v>
      </c>
      <c r="BS6">
        <v>22980</v>
      </c>
      <c r="BT6">
        <v>0</v>
      </c>
      <c r="BU6">
        <v>0</v>
      </c>
      <c r="BV6">
        <v>819.99999999999989</v>
      </c>
      <c r="BW6">
        <v>0</v>
      </c>
      <c r="BX6">
        <v>0</v>
      </c>
      <c r="BY6">
        <v>0</v>
      </c>
      <c r="BZ6">
        <v>0</v>
      </c>
      <c r="CA6">
        <v>0</v>
      </c>
      <c r="CB6">
        <v>23350</v>
      </c>
    </row>
    <row r="7" spans="1:80">
      <c r="B7">
        <v>5</v>
      </c>
      <c r="C7" s="1" t="s">
        <v>16</v>
      </c>
      <c r="D7" s="1" t="s">
        <v>16</v>
      </c>
      <c r="E7" t="s">
        <v>81</v>
      </c>
      <c r="F7" t="s">
        <v>82</v>
      </c>
      <c r="G7">
        <v>1167990</v>
      </c>
      <c r="H7">
        <v>14789094</v>
      </c>
      <c r="I7">
        <v>315037.84000000003</v>
      </c>
      <c r="J7">
        <v>174922.89</v>
      </c>
      <c r="K7">
        <v>55527.85</v>
      </c>
      <c r="L7">
        <v>186240.67</v>
      </c>
      <c r="M7">
        <v>0</v>
      </c>
      <c r="N7">
        <v>-4595.7780000000002</v>
      </c>
      <c r="O7">
        <v>-1108.99</v>
      </c>
      <c r="P7">
        <v>0</v>
      </c>
      <c r="Q7">
        <v>-1368.5840000000001</v>
      </c>
      <c r="R7">
        <v>-2647.6770000000001</v>
      </c>
      <c r="S7">
        <v>-9885.9259999999995</v>
      </c>
      <c r="T7">
        <v>1291.173</v>
      </c>
      <c r="U7">
        <v>828.06700000000001</v>
      </c>
      <c r="V7">
        <v>2336.0189999999998</v>
      </c>
      <c r="W7">
        <v>3307.4929999999999</v>
      </c>
      <c r="X7">
        <v>0</v>
      </c>
      <c r="Y7">
        <v>-11844.21</v>
      </c>
      <c r="Z7">
        <v>-36654.961000000003</v>
      </c>
      <c r="AA7">
        <v>16204</v>
      </c>
      <c r="AB7">
        <v>0</v>
      </c>
      <c r="AC7">
        <v>1845239</v>
      </c>
      <c r="AD7">
        <v>342119</v>
      </c>
      <c r="AE7">
        <v>7386.8492162430002</v>
      </c>
      <c r="AF7">
        <v>0</v>
      </c>
      <c r="AG7">
        <v>10979.398406116001</v>
      </c>
      <c r="AH7">
        <v>48.921497645999999</v>
      </c>
      <c r="AI7">
        <v>4075.1805491320001</v>
      </c>
      <c r="AJ7">
        <v>203.02387393399999</v>
      </c>
      <c r="AK7">
        <v>5411.1838512129998</v>
      </c>
      <c r="AL7">
        <v>7714.7092572900001</v>
      </c>
      <c r="AM7">
        <v>0</v>
      </c>
      <c r="AN7">
        <v>0</v>
      </c>
      <c r="AO7">
        <v>4524.3102046869999</v>
      </c>
      <c r="AP7">
        <v>26.549485851</v>
      </c>
      <c r="AQ7">
        <v>0</v>
      </c>
      <c r="AR7">
        <v>0</v>
      </c>
      <c r="AS7">
        <v>0</v>
      </c>
      <c r="AT7">
        <v>34984.400000000001</v>
      </c>
      <c r="AU7">
        <v>0</v>
      </c>
      <c r="AV7">
        <v>0</v>
      </c>
      <c r="AW7">
        <v>3937</v>
      </c>
      <c r="AX7">
        <v>0</v>
      </c>
      <c r="AY7">
        <v>0</v>
      </c>
      <c r="AZ7">
        <v>0</v>
      </c>
      <c r="BA7">
        <v>0</v>
      </c>
      <c r="BB7">
        <v>0</v>
      </c>
      <c r="BC7">
        <v>2048.9008538319999</v>
      </c>
      <c r="BD7">
        <v>0</v>
      </c>
      <c r="BE7">
        <v>2890.951978481</v>
      </c>
      <c r="BF7">
        <v>18.030715227000002</v>
      </c>
      <c r="BG7">
        <v>2436.0407534400001</v>
      </c>
      <c r="BH7">
        <v>1515.358236</v>
      </c>
      <c r="BI7">
        <v>875.17057582500001</v>
      </c>
      <c r="BJ7">
        <v>1881.4605946920001</v>
      </c>
      <c r="BK7">
        <v>0</v>
      </c>
      <c r="BL7">
        <v>0</v>
      </c>
      <c r="BM7">
        <v>1651.7814328679999</v>
      </c>
      <c r="BN7">
        <v>3.0307164719999999</v>
      </c>
      <c r="BO7">
        <v>11928.452934853</v>
      </c>
      <c r="BP7">
        <v>0</v>
      </c>
      <c r="BQ7">
        <v>0</v>
      </c>
      <c r="BR7">
        <v>0</v>
      </c>
      <c r="BS7">
        <v>26620</v>
      </c>
      <c r="BT7">
        <v>0</v>
      </c>
      <c r="BU7">
        <v>0</v>
      </c>
      <c r="BV7">
        <v>2130</v>
      </c>
      <c r="BW7">
        <v>0</v>
      </c>
      <c r="BX7">
        <v>0</v>
      </c>
      <c r="BY7">
        <v>0</v>
      </c>
      <c r="BZ7">
        <v>0</v>
      </c>
      <c r="CA7">
        <v>0</v>
      </c>
      <c r="CB7">
        <v>28270</v>
      </c>
    </row>
    <row r="8" spans="1:80">
      <c r="B8">
        <v>6</v>
      </c>
      <c r="C8" s="1" t="s">
        <v>16</v>
      </c>
      <c r="D8" s="1" t="s">
        <v>16</v>
      </c>
      <c r="E8" t="s">
        <v>83</v>
      </c>
      <c r="F8" t="s">
        <v>84</v>
      </c>
      <c r="G8">
        <v>1167990</v>
      </c>
      <c r="H8">
        <v>14789094</v>
      </c>
      <c r="I8">
        <v>315037.84000000003</v>
      </c>
      <c r="J8">
        <v>174922.89</v>
      </c>
      <c r="K8">
        <v>55527.85</v>
      </c>
      <c r="L8">
        <v>186240.67</v>
      </c>
      <c r="M8">
        <v>0</v>
      </c>
      <c r="N8">
        <v>-4595.7780000000002</v>
      </c>
      <c r="O8">
        <v>-1108.99</v>
      </c>
      <c r="P8">
        <v>0</v>
      </c>
      <c r="Q8">
        <v>-1368.5840000000001</v>
      </c>
      <c r="R8">
        <v>-2647.6770000000001</v>
      </c>
      <c r="S8">
        <v>-9885.9259999999995</v>
      </c>
      <c r="T8">
        <v>1291.173</v>
      </c>
      <c r="U8">
        <v>828.06700000000001</v>
      </c>
      <c r="V8">
        <v>2336.0189999999998</v>
      </c>
      <c r="W8">
        <v>3307.4929999999999</v>
      </c>
      <c r="X8">
        <v>0</v>
      </c>
      <c r="Y8">
        <v>-11844.21</v>
      </c>
      <c r="Z8">
        <v>-23561.143</v>
      </c>
      <c r="AA8">
        <v>16199</v>
      </c>
      <c r="AB8">
        <v>0</v>
      </c>
      <c r="AC8">
        <v>1901592</v>
      </c>
      <c r="AD8">
        <v>224124</v>
      </c>
      <c r="AE8">
        <v>7386.8492162430002</v>
      </c>
      <c r="AF8">
        <v>0</v>
      </c>
      <c r="AG8">
        <v>10979.398406116001</v>
      </c>
      <c r="AH8">
        <v>33.573376053000004</v>
      </c>
      <c r="AI8">
        <v>4087.09863688</v>
      </c>
      <c r="AJ8">
        <v>162.22865547699999</v>
      </c>
      <c r="AK8">
        <v>5577.4500490170003</v>
      </c>
      <c r="AL8">
        <v>8825.5897111619997</v>
      </c>
      <c r="AM8">
        <v>0</v>
      </c>
      <c r="AN8">
        <v>0</v>
      </c>
      <c r="AO8">
        <v>4524.3102046869999</v>
      </c>
      <c r="AP8">
        <v>26.549485851</v>
      </c>
      <c r="AQ8">
        <v>0</v>
      </c>
      <c r="AR8">
        <v>0</v>
      </c>
      <c r="AS8">
        <v>0</v>
      </c>
      <c r="AT8">
        <v>24609.8</v>
      </c>
      <c r="AU8">
        <v>0</v>
      </c>
      <c r="AV8">
        <v>0</v>
      </c>
      <c r="AW8">
        <v>887.8</v>
      </c>
      <c r="AX8">
        <v>0</v>
      </c>
      <c r="AY8">
        <v>0</v>
      </c>
      <c r="AZ8">
        <v>0</v>
      </c>
      <c r="BA8">
        <v>0</v>
      </c>
      <c r="BB8">
        <v>0</v>
      </c>
      <c r="BC8">
        <v>2048.9008538319999</v>
      </c>
      <c r="BD8">
        <v>0</v>
      </c>
      <c r="BE8">
        <v>2890.951978481</v>
      </c>
      <c r="BF8">
        <v>18.023889289</v>
      </c>
      <c r="BG8">
        <v>1352.535723917</v>
      </c>
      <c r="BH8">
        <v>684.12963604999993</v>
      </c>
      <c r="BI8">
        <v>717.00335345799999</v>
      </c>
      <c r="BJ8">
        <v>2031.8667255529999</v>
      </c>
      <c r="BK8">
        <v>0</v>
      </c>
      <c r="BL8">
        <v>0</v>
      </c>
      <c r="BM8">
        <v>1651.7814328679999</v>
      </c>
      <c r="BN8">
        <v>3.0307164719999999</v>
      </c>
      <c r="BO8">
        <v>10513.835304826</v>
      </c>
      <c r="BP8">
        <v>0</v>
      </c>
      <c r="BQ8">
        <v>0</v>
      </c>
      <c r="BR8">
        <v>0</v>
      </c>
      <c r="BS8">
        <v>22810</v>
      </c>
      <c r="BT8">
        <v>0</v>
      </c>
      <c r="BU8">
        <v>0</v>
      </c>
      <c r="BV8">
        <v>819.99999999999989</v>
      </c>
      <c r="BW8">
        <v>0</v>
      </c>
      <c r="BX8">
        <v>0</v>
      </c>
      <c r="BY8">
        <v>0</v>
      </c>
      <c r="BZ8">
        <v>0</v>
      </c>
      <c r="CA8">
        <v>0</v>
      </c>
      <c r="CB8">
        <v>23180</v>
      </c>
    </row>
    <row r="9" spans="1:80">
      <c r="B9">
        <v>7</v>
      </c>
      <c r="C9" s="1" t="s">
        <v>16</v>
      </c>
      <c r="D9" s="1" t="s">
        <v>16</v>
      </c>
      <c r="E9" t="s">
        <v>85</v>
      </c>
      <c r="F9" t="s">
        <v>86</v>
      </c>
      <c r="G9">
        <v>1167990</v>
      </c>
      <c r="H9">
        <v>14789094</v>
      </c>
      <c r="I9">
        <v>315037.84000000003</v>
      </c>
      <c r="J9">
        <v>174922.89</v>
      </c>
      <c r="K9">
        <v>55527.85</v>
      </c>
      <c r="L9">
        <v>186240.67</v>
      </c>
      <c r="M9">
        <v>0</v>
      </c>
      <c r="N9">
        <v>-4757.098</v>
      </c>
      <c r="O9">
        <v>-1111.4480000000001</v>
      </c>
      <c r="P9">
        <v>0</v>
      </c>
      <c r="Q9">
        <v>-1368.5840000000001</v>
      </c>
      <c r="R9">
        <v>-2743.7860000000001</v>
      </c>
      <c r="S9">
        <v>-10273.39</v>
      </c>
      <c r="T9">
        <v>1361.8219999999999</v>
      </c>
      <c r="U9">
        <v>918.71600000000001</v>
      </c>
      <c r="V9">
        <v>2004.662</v>
      </c>
      <c r="W9">
        <v>3602.1129999999998</v>
      </c>
      <c r="X9">
        <v>0</v>
      </c>
      <c r="Y9">
        <v>-12366.99</v>
      </c>
      <c r="Z9">
        <v>-37661.046999999999</v>
      </c>
      <c r="AA9">
        <v>16288</v>
      </c>
      <c r="AB9">
        <v>0</v>
      </c>
      <c r="AC9">
        <v>1763412</v>
      </c>
      <c r="AD9">
        <v>350527</v>
      </c>
      <c r="AE9">
        <v>5731.5626642120005</v>
      </c>
      <c r="AF9">
        <v>0</v>
      </c>
      <c r="AG9">
        <v>10979.398406116001</v>
      </c>
      <c r="AH9">
        <v>49.798630678999999</v>
      </c>
      <c r="AI9">
        <v>3998.6549582140001</v>
      </c>
      <c r="AJ9">
        <v>192.51192941400001</v>
      </c>
      <c r="AK9">
        <v>5414.6753184999998</v>
      </c>
      <c r="AL9">
        <v>7662.436224086</v>
      </c>
      <c r="AM9">
        <v>0</v>
      </c>
      <c r="AN9">
        <v>0</v>
      </c>
      <c r="AO9">
        <v>4524.3102046869999</v>
      </c>
      <c r="AP9">
        <v>26.549485851</v>
      </c>
      <c r="AQ9">
        <v>0</v>
      </c>
      <c r="AR9">
        <v>0</v>
      </c>
      <c r="AS9">
        <v>0</v>
      </c>
      <c r="AT9">
        <v>35940.9</v>
      </c>
      <c r="AU9">
        <v>0</v>
      </c>
      <c r="AV9">
        <v>0</v>
      </c>
      <c r="AW9">
        <v>3937</v>
      </c>
      <c r="AX9">
        <v>0</v>
      </c>
      <c r="AY9">
        <v>0</v>
      </c>
      <c r="AZ9">
        <v>0</v>
      </c>
      <c r="BA9">
        <v>0</v>
      </c>
      <c r="BB9">
        <v>0</v>
      </c>
      <c r="BC9">
        <v>1574.115910304</v>
      </c>
      <c r="BD9">
        <v>0</v>
      </c>
      <c r="BE9">
        <v>2890.951978481</v>
      </c>
      <c r="BF9">
        <v>18.017063351000001</v>
      </c>
      <c r="BG9">
        <v>2374.9554342779998</v>
      </c>
      <c r="BH9">
        <v>1498.928203234</v>
      </c>
      <c r="BI9">
        <v>873.13644630099998</v>
      </c>
      <c r="BJ9">
        <v>1812.3923410389998</v>
      </c>
      <c r="BK9">
        <v>0</v>
      </c>
      <c r="BL9">
        <v>0</v>
      </c>
      <c r="BM9">
        <v>1651.7814328679999</v>
      </c>
      <c r="BN9">
        <v>3.0307164719999999</v>
      </c>
      <c r="BO9">
        <v>11274.005890196</v>
      </c>
      <c r="BP9">
        <v>0</v>
      </c>
      <c r="BQ9">
        <v>0</v>
      </c>
      <c r="BR9">
        <v>0</v>
      </c>
      <c r="BS9">
        <v>26989.999999999996</v>
      </c>
      <c r="BT9">
        <v>0</v>
      </c>
      <c r="BU9">
        <v>0</v>
      </c>
      <c r="BV9">
        <v>2130</v>
      </c>
      <c r="BW9">
        <v>0</v>
      </c>
      <c r="BX9">
        <v>0</v>
      </c>
      <c r="BY9">
        <v>0</v>
      </c>
      <c r="BZ9">
        <v>0</v>
      </c>
      <c r="CA9">
        <v>0</v>
      </c>
      <c r="CB9">
        <v>28710.000000000004</v>
      </c>
    </row>
    <row r="10" spans="1:80">
      <c r="B10">
        <v>8</v>
      </c>
      <c r="C10" s="1" t="s">
        <v>16</v>
      </c>
      <c r="D10" s="1" t="s">
        <v>16</v>
      </c>
      <c r="E10" t="s">
        <v>87</v>
      </c>
      <c r="F10" t="s">
        <v>88</v>
      </c>
      <c r="G10">
        <v>1167990</v>
      </c>
      <c r="H10">
        <v>14789094</v>
      </c>
      <c r="I10">
        <v>315037.84000000003</v>
      </c>
      <c r="J10">
        <v>174922.89</v>
      </c>
      <c r="K10">
        <v>55527.85</v>
      </c>
      <c r="L10">
        <v>186240.67</v>
      </c>
      <c r="M10">
        <v>0</v>
      </c>
      <c r="N10">
        <v>-4757.098</v>
      </c>
      <c r="O10">
        <v>-1111.4480000000001</v>
      </c>
      <c r="P10">
        <v>0</v>
      </c>
      <c r="Q10">
        <v>-1368.5840000000001</v>
      </c>
      <c r="R10">
        <v>-2743.7860000000001</v>
      </c>
      <c r="S10">
        <v>-10273.39</v>
      </c>
      <c r="T10">
        <v>1361.8219999999999</v>
      </c>
      <c r="U10">
        <v>918.71600000000001</v>
      </c>
      <c r="V10">
        <v>2004.662</v>
      </c>
      <c r="W10">
        <v>3602.1129999999998</v>
      </c>
      <c r="X10">
        <v>0</v>
      </c>
      <c r="Y10">
        <v>-12366.99</v>
      </c>
      <c r="Z10">
        <v>-24565.688999999998</v>
      </c>
      <c r="AA10">
        <v>16283</v>
      </c>
      <c r="AB10">
        <v>0</v>
      </c>
      <c r="AC10">
        <v>1820010</v>
      </c>
      <c r="AD10">
        <v>232992</v>
      </c>
      <c r="AE10">
        <v>5731.5626642120005</v>
      </c>
      <c r="AF10">
        <v>0</v>
      </c>
      <c r="AG10">
        <v>10979.398406116001</v>
      </c>
      <c r="AH10">
        <v>35.102386164999999</v>
      </c>
      <c r="AI10">
        <v>4014.7948886150002</v>
      </c>
      <c r="AJ10">
        <v>151.09896356800002</v>
      </c>
      <c r="AK10">
        <v>5581.9688199729999</v>
      </c>
      <c r="AL10">
        <v>8773.3644595240003</v>
      </c>
      <c r="AM10">
        <v>0</v>
      </c>
      <c r="AN10">
        <v>0</v>
      </c>
      <c r="AO10">
        <v>4524.3102046869999</v>
      </c>
      <c r="AP10">
        <v>26.549485851</v>
      </c>
      <c r="AQ10">
        <v>0</v>
      </c>
      <c r="AR10">
        <v>0</v>
      </c>
      <c r="AS10">
        <v>0</v>
      </c>
      <c r="AT10">
        <v>25618.6</v>
      </c>
      <c r="AU10">
        <v>0</v>
      </c>
      <c r="AV10">
        <v>0</v>
      </c>
      <c r="AW10">
        <v>887.8</v>
      </c>
      <c r="AX10">
        <v>0</v>
      </c>
      <c r="AY10">
        <v>0</v>
      </c>
      <c r="AZ10">
        <v>0</v>
      </c>
      <c r="BA10">
        <v>0</v>
      </c>
      <c r="BB10">
        <v>0</v>
      </c>
      <c r="BC10">
        <v>1574.115910304</v>
      </c>
      <c r="BD10">
        <v>0</v>
      </c>
      <c r="BE10">
        <v>2890.951978481</v>
      </c>
      <c r="BF10">
        <v>18.054606010000001</v>
      </c>
      <c r="BG10">
        <v>1288.0852173209998</v>
      </c>
      <c r="BH10">
        <v>616.22520482599998</v>
      </c>
      <c r="BI10">
        <v>716.87366063600007</v>
      </c>
      <c r="BJ10">
        <v>1962.5083695349999</v>
      </c>
      <c r="BK10">
        <v>0</v>
      </c>
      <c r="BL10">
        <v>0</v>
      </c>
      <c r="BM10">
        <v>1651.7814328679999</v>
      </c>
      <c r="BN10">
        <v>3.0307164719999999</v>
      </c>
      <c r="BO10">
        <v>9853.1971344030007</v>
      </c>
      <c r="BP10">
        <v>0</v>
      </c>
      <c r="BQ10">
        <v>0</v>
      </c>
      <c r="BR10">
        <v>0</v>
      </c>
      <c r="BS10">
        <v>22850</v>
      </c>
      <c r="BT10">
        <v>0</v>
      </c>
      <c r="BU10">
        <v>0</v>
      </c>
      <c r="BV10">
        <v>819.99999999999989</v>
      </c>
      <c r="BW10">
        <v>0</v>
      </c>
      <c r="BX10">
        <v>0</v>
      </c>
      <c r="BY10">
        <v>0</v>
      </c>
      <c r="BZ10">
        <v>0</v>
      </c>
      <c r="CA10">
        <v>0</v>
      </c>
      <c r="CB10">
        <v>23210</v>
      </c>
    </row>
    <row r="11" spans="1:80">
      <c r="B11">
        <v>9</v>
      </c>
      <c r="C11" s="1" t="s">
        <v>16</v>
      </c>
      <c r="D11" s="1" t="s">
        <v>16</v>
      </c>
      <c r="E11" t="s">
        <v>89</v>
      </c>
      <c r="F11" t="s">
        <v>90</v>
      </c>
      <c r="G11">
        <v>1167990</v>
      </c>
      <c r="H11">
        <v>14789094</v>
      </c>
      <c r="I11">
        <v>315037.84000000003</v>
      </c>
      <c r="J11">
        <v>174922.89</v>
      </c>
      <c r="K11">
        <v>55527.85</v>
      </c>
      <c r="L11">
        <v>186240.67</v>
      </c>
      <c r="M11">
        <v>0</v>
      </c>
      <c r="N11">
        <v>-4309.4470000000001</v>
      </c>
      <c r="O11">
        <v>-1108.5170000000001</v>
      </c>
      <c r="P11">
        <v>0</v>
      </c>
      <c r="Q11">
        <v>-1368.5840000000001</v>
      </c>
      <c r="R11">
        <v>-2898.0949999999998</v>
      </c>
      <c r="S11">
        <v>-6715.2439999999997</v>
      </c>
      <c r="T11">
        <v>1107.69</v>
      </c>
      <c r="U11">
        <v>681.33</v>
      </c>
      <c r="V11">
        <v>1973.182</v>
      </c>
      <c r="W11">
        <v>2791.8339999999998</v>
      </c>
      <c r="X11">
        <v>0</v>
      </c>
      <c r="Y11">
        <v>-9845.8510000000006</v>
      </c>
      <c r="Z11">
        <v>-34408.851999999999</v>
      </c>
      <c r="AA11">
        <v>16095</v>
      </c>
      <c r="AB11">
        <v>0</v>
      </c>
      <c r="AC11">
        <v>1847149</v>
      </c>
      <c r="AD11">
        <v>323638</v>
      </c>
      <c r="AE11">
        <v>7386.8492162430002</v>
      </c>
      <c r="AF11">
        <v>0</v>
      </c>
      <c r="AG11">
        <v>10979.398406116001</v>
      </c>
      <c r="AH11">
        <v>47.658699116000001</v>
      </c>
      <c r="AI11">
        <v>4094.9621174560002</v>
      </c>
      <c r="AJ11">
        <v>208.31056291499999</v>
      </c>
      <c r="AK11">
        <v>5407.3169573360001</v>
      </c>
      <c r="AL11">
        <v>7736.5795626420004</v>
      </c>
      <c r="AM11">
        <v>0</v>
      </c>
      <c r="AN11">
        <v>0</v>
      </c>
      <c r="AO11">
        <v>4524.3102046869999</v>
      </c>
      <c r="AP11">
        <v>26.549485851</v>
      </c>
      <c r="AQ11">
        <v>0</v>
      </c>
      <c r="AR11">
        <v>0</v>
      </c>
      <c r="AS11">
        <v>0</v>
      </c>
      <c r="AT11">
        <v>32881.800000000003</v>
      </c>
      <c r="AU11">
        <v>0</v>
      </c>
      <c r="AV11">
        <v>0</v>
      </c>
      <c r="AW11">
        <v>3937</v>
      </c>
      <c r="AX11">
        <v>0</v>
      </c>
      <c r="AY11">
        <v>0</v>
      </c>
      <c r="AZ11">
        <v>0</v>
      </c>
      <c r="BA11">
        <v>0</v>
      </c>
      <c r="BB11">
        <v>0</v>
      </c>
      <c r="BC11">
        <v>2048.9008538319999</v>
      </c>
      <c r="BD11">
        <v>0</v>
      </c>
      <c r="BE11">
        <v>2890.951978481</v>
      </c>
      <c r="BF11">
        <v>17.979520691999998</v>
      </c>
      <c r="BG11">
        <v>2453.5219806579998</v>
      </c>
      <c r="BH11">
        <v>1515.358236</v>
      </c>
      <c r="BI11">
        <v>876.23200918399993</v>
      </c>
      <c r="BJ11">
        <v>1902.6141765540001</v>
      </c>
      <c r="BK11">
        <v>0</v>
      </c>
      <c r="BL11">
        <v>0</v>
      </c>
      <c r="BM11">
        <v>1651.7814328679999</v>
      </c>
      <c r="BN11">
        <v>3.0307164719999999</v>
      </c>
      <c r="BO11">
        <v>12003.138935479999</v>
      </c>
      <c r="BP11">
        <v>0</v>
      </c>
      <c r="BQ11">
        <v>0</v>
      </c>
      <c r="BR11">
        <v>0</v>
      </c>
      <c r="BS11">
        <v>25800</v>
      </c>
      <c r="BT11">
        <v>0</v>
      </c>
      <c r="BU11">
        <v>0</v>
      </c>
      <c r="BV11">
        <v>2130</v>
      </c>
      <c r="BW11">
        <v>0</v>
      </c>
      <c r="BX11">
        <v>0</v>
      </c>
      <c r="BY11">
        <v>0</v>
      </c>
      <c r="BZ11">
        <v>0</v>
      </c>
      <c r="CA11">
        <v>0</v>
      </c>
      <c r="CB11">
        <v>27520</v>
      </c>
    </row>
    <row r="12" spans="1:80">
      <c r="B12">
        <v>10</v>
      </c>
      <c r="C12" s="1" t="s">
        <v>16</v>
      </c>
      <c r="D12" s="1" t="s">
        <v>16</v>
      </c>
      <c r="E12" t="s">
        <v>91</v>
      </c>
      <c r="F12" t="s">
        <v>92</v>
      </c>
      <c r="G12">
        <v>1167990</v>
      </c>
      <c r="H12">
        <v>14789094</v>
      </c>
      <c r="I12">
        <v>315037.84000000003</v>
      </c>
      <c r="J12">
        <v>174922.89</v>
      </c>
      <c r="K12">
        <v>55527.85</v>
      </c>
      <c r="L12">
        <v>186240.67</v>
      </c>
      <c r="M12">
        <v>0</v>
      </c>
      <c r="N12">
        <v>-4309.4470000000001</v>
      </c>
      <c r="O12">
        <v>-1108.5170000000001</v>
      </c>
      <c r="P12">
        <v>0</v>
      </c>
      <c r="Q12">
        <v>-1368.5840000000001</v>
      </c>
      <c r="R12">
        <v>-2898.0949999999998</v>
      </c>
      <c r="S12">
        <v>-6715.2439999999997</v>
      </c>
      <c r="T12">
        <v>1107.69</v>
      </c>
      <c r="U12">
        <v>681.33</v>
      </c>
      <c r="V12">
        <v>1973.182</v>
      </c>
      <c r="W12">
        <v>2791.8339999999998</v>
      </c>
      <c r="X12">
        <v>0</v>
      </c>
      <c r="Y12">
        <v>-9845.8510000000006</v>
      </c>
      <c r="Z12">
        <v>-21317.035</v>
      </c>
      <c r="AA12">
        <v>16093</v>
      </c>
      <c r="AB12">
        <v>0</v>
      </c>
      <c r="AC12">
        <v>1903385</v>
      </c>
      <c r="AD12">
        <v>204957</v>
      </c>
      <c r="AE12">
        <v>7386.8492162430002</v>
      </c>
      <c r="AF12">
        <v>0</v>
      </c>
      <c r="AG12">
        <v>10979.398406116001</v>
      </c>
      <c r="AH12">
        <v>31.634809661000002</v>
      </c>
      <c r="AI12">
        <v>4107.2488058560002</v>
      </c>
      <c r="AJ12">
        <v>167.45732398500002</v>
      </c>
      <c r="AK12">
        <v>5571.5387867090003</v>
      </c>
      <c r="AL12">
        <v>8847.2552383740003</v>
      </c>
      <c r="AM12">
        <v>0</v>
      </c>
      <c r="AN12">
        <v>0</v>
      </c>
      <c r="AO12">
        <v>4524.3102046869999</v>
      </c>
      <c r="AP12">
        <v>26.549485851</v>
      </c>
      <c r="AQ12">
        <v>0</v>
      </c>
      <c r="AR12">
        <v>0</v>
      </c>
      <c r="AS12">
        <v>0</v>
      </c>
      <c r="AT12">
        <v>22429.200000000001</v>
      </c>
      <c r="AU12">
        <v>0</v>
      </c>
      <c r="AV12">
        <v>0</v>
      </c>
      <c r="AW12">
        <v>887.8</v>
      </c>
      <c r="AX12">
        <v>0</v>
      </c>
      <c r="AY12">
        <v>0</v>
      </c>
      <c r="AZ12">
        <v>0</v>
      </c>
      <c r="BA12">
        <v>0</v>
      </c>
      <c r="BB12">
        <v>0</v>
      </c>
      <c r="BC12">
        <v>2048.9008538319999</v>
      </c>
      <c r="BD12">
        <v>0</v>
      </c>
      <c r="BE12">
        <v>2890.951978481</v>
      </c>
      <c r="BF12">
        <v>18.02047632</v>
      </c>
      <c r="BG12">
        <v>1371.5323093709999</v>
      </c>
      <c r="BH12">
        <v>701.87366188099998</v>
      </c>
      <c r="BI12">
        <v>716.46751732500002</v>
      </c>
      <c r="BJ12">
        <v>2053.1773039889999</v>
      </c>
      <c r="BK12">
        <v>0</v>
      </c>
      <c r="BL12">
        <v>0</v>
      </c>
      <c r="BM12">
        <v>1651.7814328679999</v>
      </c>
      <c r="BN12">
        <v>3.0307164719999999</v>
      </c>
      <c r="BO12">
        <v>10592.524718090001</v>
      </c>
      <c r="BP12">
        <v>0</v>
      </c>
      <c r="BQ12">
        <v>0</v>
      </c>
      <c r="BR12">
        <v>0</v>
      </c>
      <c r="BS12">
        <v>22340</v>
      </c>
      <c r="BT12">
        <v>0</v>
      </c>
      <c r="BU12">
        <v>0</v>
      </c>
      <c r="BV12">
        <v>819.99999999999989</v>
      </c>
      <c r="BW12">
        <v>0</v>
      </c>
      <c r="BX12">
        <v>0</v>
      </c>
      <c r="BY12">
        <v>0</v>
      </c>
      <c r="BZ12">
        <v>0</v>
      </c>
      <c r="CA12">
        <v>0</v>
      </c>
      <c r="CB12">
        <v>22700</v>
      </c>
    </row>
    <row r="13" spans="1:80">
      <c r="B13">
        <v>11</v>
      </c>
      <c r="C13" s="1" t="s">
        <v>16</v>
      </c>
      <c r="D13" s="1" t="s">
        <v>16</v>
      </c>
      <c r="E13" t="s">
        <v>93</v>
      </c>
      <c r="F13" t="s">
        <v>94</v>
      </c>
      <c r="G13">
        <v>1167990</v>
      </c>
      <c r="H13">
        <v>14789094</v>
      </c>
      <c r="I13">
        <v>315037.84000000003</v>
      </c>
      <c r="J13">
        <v>174922.89</v>
      </c>
      <c r="K13">
        <v>55527.85</v>
      </c>
      <c r="L13">
        <v>186240.67</v>
      </c>
      <c r="M13">
        <v>0</v>
      </c>
      <c r="N13">
        <v>-4495.643</v>
      </c>
      <c r="O13">
        <v>-1111.085</v>
      </c>
      <c r="P13">
        <v>0</v>
      </c>
      <c r="Q13">
        <v>-1368.5840000000001</v>
      </c>
      <c r="R13">
        <v>-3031.79</v>
      </c>
      <c r="S13">
        <v>-7048.75</v>
      </c>
      <c r="T13">
        <v>1175.8320000000001</v>
      </c>
      <c r="U13">
        <v>774.12400000000002</v>
      </c>
      <c r="V13">
        <v>1735.96</v>
      </c>
      <c r="W13">
        <v>3092.8789999999999</v>
      </c>
      <c r="X13">
        <v>0</v>
      </c>
      <c r="Y13">
        <v>-10277.06</v>
      </c>
      <c r="Z13">
        <v>-35374.078000000001</v>
      </c>
      <c r="AA13">
        <v>16167</v>
      </c>
      <c r="AB13">
        <v>0</v>
      </c>
      <c r="AC13">
        <v>1764904</v>
      </c>
      <c r="AD13">
        <v>331618</v>
      </c>
      <c r="AE13">
        <v>5731.5626642120005</v>
      </c>
      <c r="AF13">
        <v>0</v>
      </c>
      <c r="AG13">
        <v>10979.398406116001</v>
      </c>
      <c r="AH13">
        <v>48.348118853999999</v>
      </c>
      <c r="AI13">
        <v>4014.549154847</v>
      </c>
      <c r="AJ13">
        <v>196.63479596600001</v>
      </c>
      <c r="AK13">
        <v>5410.4978444440003</v>
      </c>
      <c r="AL13">
        <v>7680.692195267</v>
      </c>
      <c r="AM13">
        <v>0</v>
      </c>
      <c r="AN13">
        <v>0</v>
      </c>
      <c r="AO13">
        <v>4524.3102046869999</v>
      </c>
      <c r="AP13">
        <v>26.549485851</v>
      </c>
      <c r="AQ13">
        <v>0</v>
      </c>
      <c r="AR13">
        <v>0</v>
      </c>
      <c r="AS13">
        <v>0</v>
      </c>
      <c r="AT13">
        <v>33789.699999999997</v>
      </c>
      <c r="AU13">
        <v>0</v>
      </c>
      <c r="AV13">
        <v>0</v>
      </c>
      <c r="AW13">
        <v>3937</v>
      </c>
      <c r="AX13">
        <v>0</v>
      </c>
      <c r="AY13">
        <v>0</v>
      </c>
      <c r="AZ13">
        <v>0</v>
      </c>
      <c r="BA13">
        <v>0</v>
      </c>
      <c r="BB13">
        <v>0</v>
      </c>
      <c r="BC13">
        <v>1574.115910304</v>
      </c>
      <c r="BD13">
        <v>0</v>
      </c>
      <c r="BE13">
        <v>2890.951978481</v>
      </c>
      <c r="BF13">
        <v>18.034128195999998</v>
      </c>
      <c r="BG13">
        <v>2391.1397332760002</v>
      </c>
      <c r="BH13">
        <v>1521.098849858</v>
      </c>
      <c r="BI13">
        <v>874.13985918699996</v>
      </c>
      <c r="BJ13">
        <v>1832.7404622170002</v>
      </c>
      <c r="BK13">
        <v>0</v>
      </c>
      <c r="BL13">
        <v>0</v>
      </c>
      <c r="BM13">
        <v>1651.7814328679999</v>
      </c>
      <c r="BN13">
        <v>3.0307164719999999</v>
      </c>
      <c r="BO13">
        <v>11343.197010733</v>
      </c>
      <c r="BP13">
        <v>0</v>
      </c>
      <c r="BQ13">
        <v>0</v>
      </c>
      <c r="BR13">
        <v>0</v>
      </c>
      <c r="BS13">
        <v>25860.000000000004</v>
      </c>
      <c r="BT13">
        <v>0</v>
      </c>
      <c r="BU13">
        <v>0</v>
      </c>
      <c r="BV13">
        <v>2130</v>
      </c>
      <c r="BW13">
        <v>0</v>
      </c>
      <c r="BX13">
        <v>0</v>
      </c>
      <c r="BY13">
        <v>0</v>
      </c>
      <c r="BZ13">
        <v>0</v>
      </c>
      <c r="CA13">
        <v>0</v>
      </c>
      <c r="CB13">
        <v>27580</v>
      </c>
    </row>
    <row r="14" spans="1:80">
      <c r="B14">
        <v>12</v>
      </c>
      <c r="C14" s="1" t="s">
        <v>16</v>
      </c>
      <c r="D14" s="1" t="s">
        <v>16</v>
      </c>
      <c r="E14" t="s">
        <v>95</v>
      </c>
      <c r="F14" t="s">
        <v>96</v>
      </c>
      <c r="G14">
        <v>1167990</v>
      </c>
      <c r="H14">
        <v>14789094</v>
      </c>
      <c r="I14">
        <v>315037.84000000003</v>
      </c>
      <c r="J14">
        <v>174922.89</v>
      </c>
      <c r="K14">
        <v>55527.85</v>
      </c>
      <c r="L14">
        <v>186240.67</v>
      </c>
      <c r="M14">
        <v>0</v>
      </c>
      <c r="N14">
        <v>-4495.643</v>
      </c>
      <c r="O14">
        <v>-1111.085</v>
      </c>
      <c r="P14">
        <v>0</v>
      </c>
      <c r="Q14">
        <v>-1368.5840000000001</v>
      </c>
      <c r="R14">
        <v>-3031.79</v>
      </c>
      <c r="S14">
        <v>-7048.75</v>
      </c>
      <c r="T14">
        <v>1175.8320000000001</v>
      </c>
      <c r="U14">
        <v>774.12400000000002</v>
      </c>
      <c r="V14">
        <v>1735.96</v>
      </c>
      <c r="W14">
        <v>3092.8789999999999</v>
      </c>
      <c r="X14">
        <v>0</v>
      </c>
      <c r="Y14">
        <v>-10277.06</v>
      </c>
      <c r="Z14">
        <v>-22280.221000000001</v>
      </c>
      <c r="AA14">
        <v>16166</v>
      </c>
      <c r="AB14">
        <v>0</v>
      </c>
      <c r="AC14">
        <v>1821491</v>
      </c>
      <c r="AD14">
        <v>213477</v>
      </c>
      <c r="AE14">
        <v>5731.5626642120005</v>
      </c>
      <c r="AF14">
        <v>0</v>
      </c>
      <c r="AG14">
        <v>10979.398406116001</v>
      </c>
      <c r="AH14">
        <v>32.931737881000004</v>
      </c>
      <c r="AI14">
        <v>4032.2556380189999</v>
      </c>
      <c r="AJ14">
        <v>155.83275157100002</v>
      </c>
      <c r="AK14">
        <v>5576.0268409440005</v>
      </c>
      <c r="AL14">
        <v>8791.6886900850004</v>
      </c>
      <c r="AM14">
        <v>0</v>
      </c>
      <c r="AN14">
        <v>0</v>
      </c>
      <c r="AO14">
        <v>4524.3102046869999</v>
      </c>
      <c r="AP14">
        <v>26.549485851</v>
      </c>
      <c r="AQ14">
        <v>0</v>
      </c>
      <c r="AR14">
        <v>0</v>
      </c>
      <c r="AS14">
        <v>0</v>
      </c>
      <c r="AT14">
        <v>23398.5</v>
      </c>
      <c r="AU14">
        <v>0</v>
      </c>
      <c r="AV14">
        <v>0</v>
      </c>
      <c r="AW14">
        <v>887.8</v>
      </c>
      <c r="AX14">
        <v>0</v>
      </c>
      <c r="AY14">
        <v>0</v>
      </c>
      <c r="AZ14">
        <v>0</v>
      </c>
      <c r="BA14">
        <v>0</v>
      </c>
      <c r="BB14">
        <v>0</v>
      </c>
      <c r="BC14">
        <v>1574.115910304</v>
      </c>
      <c r="BD14">
        <v>0</v>
      </c>
      <c r="BE14">
        <v>2890.951978481</v>
      </c>
      <c r="BF14">
        <v>18.051193040999998</v>
      </c>
      <c r="BG14">
        <v>1305.0681510649999</v>
      </c>
      <c r="BH14">
        <v>632.133053335</v>
      </c>
      <c r="BI14">
        <v>716.31734668900003</v>
      </c>
      <c r="BJ14">
        <v>1982.9384019689999</v>
      </c>
      <c r="BK14">
        <v>0</v>
      </c>
      <c r="BL14">
        <v>0</v>
      </c>
      <c r="BM14">
        <v>1651.7814328679999</v>
      </c>
      <c r="BN14">
        <v>3.0307164719999999</v>
      </c>
      <c r="BO14">
        <v>9924.8728963719986</v>
      </c>
      <c r="BP14">
        <v>0</v>
      </c>
      <c r="BQ14">
        <v>0</v>
      </c>
      <c r="BR14">
        <v>0</v>
      </c>
      <c r="BS14">
        <v>22390</v>
      </c>
      <c r="BT14">
        <v>0</v>
      </c>
      <c r="BU14">
        <v>0</v>
      </c>
      <c r="BV14">
        <v>819.99999999999989</v>
      </c>
      <c r="BW14">
        <v>0</v>
      </c>
      <c r="BX14">
        <v>0</v>
      </c>
      <c r="BY14">
        <v>0</v>
      </c>
      <c r="BZ14">
        <v>0</v>
      </c>
      <c r="CA14">
        <v>0</v>
      </c>
      <c r="CB14">
        <v>22750</v>
      </c>
    </row>
    <row r="15" spans="1:80">
      <c r="B15">
        <v>13</v>
      </c>
      <c r="C15" s="1" t="s">
        <v>16</v>
      </c>
      <c r="D15" s="1" t="s">
        <v>16</v>
      </c>
      <c r="E15" t="s">
        <v>97</v>
      </c>
      <c r="F15" t="s">
        <v>98</v>
      </c>
      <c r="G15">
        <v>1167990</v>
      </c>
      <c r="H15">
        <v>14789094</v>
      </c>
      <c r="I15">
        <v>315037.84000000003</v>
      </c>
      <c r="J15">
        <v>174922.89</v>
      </c>
      <c r="K15">
        <v>55527.85</v>
      </c>
      <c r="L15">
        <v>186240.67</v>
      </c>
      <c r="M15">
        <v>0</v>
      </c>
      <c r="N15">
        <v>-4243.2049999999999</v>
      </c>
      <c r="O15">
        <v>-1104.798</v>
      </c>
      <c r="P15">
        <v>0</v>
      </c>
      <c r="Q15">
        <v>-1368.5840000000001</v>
      </c>
      <c r="R15">
        <v>-2400.5129999999999</v>
      </c>
      <c r="S15">
        <v>-6592.1540000000005</v>
      </c>
      <c r="T15">
        <v>1079.972</v>
      </c>
      <c r="U15">
        <v>649.01900000000001</v>
      </c>
      <c r="V15">
        <v>1896.2829999999999</v>
      </c>
      <c r="W15">
        <v>2684.9430000000002</v>
      </c>
      <c r="X15">
        <v>0</v>
      </c>
      <c r="Y15">
        <v>-9399.0360000000001</v>
      </c>
      <c r="Z15">
        <v>-33679.046999999999</v>
      </c>
      <c r="AA15">
        <v>15965</v>
      </c>
      <c r="AB15">
        <v>0</v>
      </c>
      <c r="AC15">
        <v>1847648</v>
      </c>
      <c r="AD15">
        <v>317638</v>
      </c>
      <c r="AE15">
        <v>7386.8492162430002</v>
      </c>
      <c r="AF15">
        <v>0</v>
      </c>
      <c r="AG15">
        <v>10979.398406116001</v>
      </c>
      <c r="AH15">
        <v>47.409552379000004</v>
      </c>
      <c r="AI15">
        <v>4097.7232093769999</v>
      </c>
      <c r="AJ15">
        <v>209.918071314</v>
      </c>
      <c r="AK15">
        <v>5406.0370939610002</v>
      </c>
      <c r="AL15">
        <v>7744.6682991719999</v>
      </c>
      <c r="AM15">
        <v>0</v>
      </c>
      <c r="AN15">
        <v>0</v>
      </c>
      <c r="AO15">
        <v>4524.3102046869999</v>
      </c>
      <c r="AP15">
        <v>26.549485851</v>
      </c>
      <c r="AQ15">
        <v>0</v>
      </c>
      <c r="AR15">
        <v>0</v>
      </c>
      <c r="AS15">
        <v>0</v>
      </c>
      <c r="AT15">
        <v>32199.200000000001</v>
      </c>
      <c r="AU15">
        <v>0</v>
      </c>
      <c r="AV15">
        <v>0</v>
      </c>
      <c r="AW15">
        <v>3937</v>
      </c>
      <c r="AX15">
        <v>0</v>
      </c>
      <c r="AY15">
        <v>0</v>
      </c>
      <c r="AZ15">
        <v>0</v>
      </c>
      <c r="BA15">
        <v>0</v>
      </c>
      <c r="BB15">
        <v>0</v>
      </c>
      <c r="BC15">
        <v>2048.9008538319999</v>
      </c>
      <c r="BD15">
        <v>0</v>
      </c>
      <c r="BE15">
        <v>2890.951978481</v>
      </c>
      <c r="BF15">
        <v>18.047780072000002</v>
      </c>
      <c r="BG15">
        <v>2439.2421183619999</v>
      </c>
      <c r="BH15">
        <v>1515.358236</v>
      </c>
      <c r="BI15">
        <v>875.43337443799999</v>
      </c>
      <c r="BJ15">
        <v>1907.5356778519999</v>
      </c>
      <c r="BK15">
        <v>0</v>
      </c>
      <c r="BL15">
        <v>0</v>
      </c>
      <c r="BM15">
        <v>1651.7814328679999</v>
      </c>
      <c r="BN15">
        <v>3.0307164719999999</v>
      </c>
      <c r="BO15">
        <v>11993.244738349</v>
      </c>
      <c r="BP15">
        <v>0</v>
      </c>
      <c r="BQ15">
        <v>0</v>
      </c>
      <c r="BR15">
        <v>0</v>
      </c>
      <c r="BS15">
        <v>25530</v>
      </c>
      <c r="BT15">
        <v>0</v>
      </c>
      <c r="BU15">
        <v>0</v>
      </c>
      <c r="BV15">
        <v>2130</v>
      </c>
      <c r="BW15">
        <v>0</v>
      </c>
      <c r="BX15">
        <v>0</v>
      </c>
      <c r="BY15">
        <v>0</v>
      </c>
      <c r="BZ15">
        <v>0</v>
      </c>
      <c r="CA15">
        <v>0</v>
      </c>
      <c r="CB15">
        <v>27250</v>
      </c>
    </row>
    <row r="16" spans="1:80">
      <c r="B16">
        <v>14</v>
      </c>
      <c r="C16" s="1" t="s">
        <v>16</v>
      </c>
      <c r="D16" s="1" t="s">
        <v>16</v>
      </c>
      <c r="E16" t="s">
        <v>99</v>
      </c>
      <c r="F16" t="s">
        <v>100</v>
      </c>
      <c r="G16">
        <v>1167990</v>
      </c>
      <c r="H16">
        <v>14789094</v>
      </c>
      <c r="I16">
        <v>315037.84000000003</v>
      </c>
      <c r="J16">
        <v>174922.89</v>
      </c>
      <c r="K16">
        <v>55527.85</v>
      </c>
      <c r="L16">
        <v>186240.67</v>
      </c>
      <c r="M16">
        <v>0</v>
      </c>
      <c r="N16">
        <v>-4243.2049999999999</v>
      </c>
      <c r="O16">
        <v>-1104.798</v>
      </c>
      <c r="P16">
        <v>0</v>
      </c>
      <c r="Q16">
        <v>-1368.5840000000001</v>
      </c>
      <c r="R16">
        <v>-2400.5129999999999</v>
      </c>
      <c r="S16">
        <v>-6592.1540000000005</v>
      </c>
      <c r="T16">
        <v>1079.972</v>
      </c>
      <c r="U16">
        <v>649.01900000000001</v>
      </c>
      <c r="V16">
        <v>1896.2829999999999</v>
      </c>
      <c r="W16">
        <v>2684.9430000000002</v>
      </c>
      <c r="X16">
        <v>0</v>
      </c>
      <c r="Y16">
        <v>-9399.0360000000001</v>
      </c>
      <c r="Z16">
        <v>-20588.287</v>
      </c>
      <c r="AA16">
        <v>15960</v>
      </c>
      <c r="AB16">
        <v>0</v>
      </c>
      <c r="AC16">
        <v>1903894</v>
      </c>
      <c r="AD16">
        <v>198663</v>
      </c>
      <c r="AE16">
        <v>7386.8492162430002</v>
      </c>
      <c r="AF16">
        <v>0</v>
      </c>
      <c r="AG16">
        <v>10979.398406116001</v>
      </c>
      <c r="AH16">
        <v>30.744024752000001</v>
      </c>
      <c r="AI16">
        <v>4111.443344757</v>
      </c>
      <c r="AJ16">
        <v>169.17404739200001</v>
      </c>
      <c r="AK16">
        <v>5569.6002203170001</v>
      </c>
      <c r="AL16">
        <v>8855.320084121</v>
      </c>
      <c r="AM16">
        <v>0</v>
      </c>
      <c r="AN16">
        <v>0</v>
      </c>
      <c r="AO16">
        <v>4524.3102046869999</v>
      </c>
      <c r="AP16">
        <v>26.549485851</v>
      </c>
      <c r="AQ16">
        <v>0</v>
      </c>
      <c r="AR16">
        <v>0</v>
      </c>
      <c r="AS16">
        <v>0</v>
      </c>
      <c r="AT16">
        <v>21713.200000000001</v>
      </c>
      <c r="AU16">
        <v>0</v>
      </c>
      <c r="AV16">
        <v>0</v>
      </c>
      <c r="AW16">
        <v>887.8</v>
      </c>
      <c r="AX16">
        <v>0</v>
      </c>
      <c r="AY16">
        <v>0</v>
      </c>
      <c r="AZ16">
        <v>0</v>
      </c>
      <c r="BA16">
        <v>0</v>
      </c>
      <c r="BB16">
        <v>0</v>
      </c>
      <c r="BC16">
        <v>2048.9008538319999</v>
      </c>
      <c r="BD16">
        <v>0</v>
      </c>
      <c r="BE16">
        <v>2890.951978481</v>
      </c>
      <c r="BF16">
        <v>17.98634663</v>
      </c>
      <c r="BG16">
        <v>1358.423095442</v>
      </c>
      <c r="BH16">
        <v>689.58356051199996</v>
      </c>
      <c r="BI16">
        <v>716.09209073499994</v>
      </c>
      <c r="BJ16">
        <v>2058.1431738839997</v>
      </c>
      <c r="BK16">
        <v>0</v>
      </c>
      <c r="BL16">
        <v>0</v>
      </c>
      <c r="BM16">
        <v>1651.7814328679999</v>
      </c>
      <c r="BN16">
        <v>3.0307164719999999</v>
      </c>
      <c r="BO16">
        <v>10581.828473244001</v>
      </c>
      <c r="BP16">
        <v>0</v>
      </c>
      <c r="BQ16">
        <v>0</v>
      </c>
      <c r="BR16">
        <v>0</v>
      </c>
      <c r="BS16">
        <v>22110</v>
      </c>
      <c r="BT16">
        <v>0</v>
      </c>
      <c r="BU16">
        <v>0</v>
      </c>
      <c r="BV16">
        <v>819.99999999999989</v>
      </c>
      <c r="BW16">
        <v>0</v>
      </c>
      <c r="BX16">
        <v>0</v>
      </c>
      <c r="BY16">
        <v>0</v>
      </c>
      <c r="BZ16">
        <v>0</v>
      </c>
      <c r="CA16">
        <v>0</v>
      </c>
      <c r="CB16">
        <v>22480</v>
      </c>
    </row>
    <row r="17" spans="2:80">
      <c r="B17">
        <v>15</v>
      </c>
      <c r="C17" s="1" t="s">
        <v>16</v>
      </c>
      <c r="D17" s="1" t="s">
        <v>16</v>
      </c>
      <c r="E17" t="s">
        <v>101</v>
      </c>
      <c r="F17" t="s">
        <v>102</v>
      </c>
      <c r="G17">
        <v>1167990</v>
      </c>
      <c r="H17">
        <v>14789094</v>
      </c>
      <c r="I17">
        <v>315037.84000000003</v>
      </c>
      <c r="J17">
        <v>174922.89</v>
      </c>
      <c r="K17">
        <v>55527.85</v>
      </c>
      <c r="L17">
        <v>186240.67</v>
      </c>
      <c r="M17">
        <v>0</v>
      </c>
      <c r="N17">
        <v>-4422.4260000000004</v>
      </c>
      <c r="O17">
        <v>-1108.0170000000001</v>
      </c>
      <c r="P17">
        <v>0</v>
      </c>
      <c r="Q17">
        <v>-1368.5840000000001</v>
      </c>
      <c r="R17">
        <v>-2509.886</v>
      </c>
      <c r="S17">
        <v>-6912.5680000000002</v>
      </c>
      <c r="T17">
        <v>1144.307</v>
      </c>
      <c r="U17">
        <v>734.82299999999998</v>
      </c>
      <c r="V17">
        <v>1667.0319999999999</v>
      </c>
      <c r="W17">
        <v>2965.5439999999999</v>
      </c>
      <c r="X17">
        <v>0</v>
      </c>
      <c r="Y17">
        <v>-9809.7749999999996</v>
      </c>
      <c r="Z17">
        <v>-34631.703000000001</v>
      </c>
      <c r="AA17">
        <v>16019</v>
      </c>
      <c r="AB17">
        <v>0</v>
      </c>
      <c r="AC17">
        <v>1765271</v>
      </c>
      <c r="AD17">
        <v>325516</v>
      </c>
      <c r="AE17">
        <v>5731.5626642120005</v>
      </c>
      <c r="AF17">
        <v>0</v>
      </c>
      <c r="AG17">
        <v>10979.398406116001</v>
      </c>
      <c r="AH17">
        <v>47.976105232999998</v>
      </c>
      <c r="AI17">
        <v>4016.5320898360001</v>
      </c>
      <c r="AJ17">
        <v>197.54605868900001</v>
      </c>
      <c r="AK17">
        <v>5409.2282199760002</v>
      </c>
      <c r="AL17">
        <v>7687.4737646700005</v>
      </c>
      <c r="AM17">
        <v>0</v>
      </c>
      <c r="AN17">
        <v>0</v>
      </c>
      <c r="AO17">
        <v>4524.3102046869999</v>
      </c>
      <c r="AP17">
        <v>26.549485851</v>
      </c>
      <c r="AQ17">
        <v>0</v>
      </c>
      <c r="AR17">
        <v>0</v>
      </c>
      <c r="AS17">
        <v>0</v>
      </c>
      <c r="AT17">
        <v>33095.599999999999</v>
      </c>
      <c r="AU17">
        <v>0</v>
      </c>
      <c r="AV17">
        <v>0</v>
      </c>
      <c r="AW17">
        <v>3937</v>
      </c>
      <c r="AX17">
        <v>0</v>
      </c>
      <c r="AY17">
        <v>0</v>
      </c>
      <c r="AZ17">
        <v>0</v>
      </c>
      <c r="BA17">
        <v>0</v>
      </c>
      <c r="BB17">
        <v>0</v>
      </c>
      <c r="BC17">
        <v>1574.115910304</v>
      </c>
      <c r="BD17">
        <v>0</v>
      </c>
      <c r="BE17">
        <v>2890.951978481</v>
      </c>
      <c r="BF17">
        <v>18.034128195999998</v>
      </c>
      <c r="BG17">
        <v>2378.0441712229999</v>
      </c>
      <c r="BH17">
        <v>1502.7165988239999</v>
      </c>
      <c r="BI17">
        <v>873.32415959599996</v>
      </c>
      <c r="BJ17">
        <v>1837.501553972</v>
      </c>
      <c r="BK17">
        <v>0</v>
      </c>
      <c r="BL17">
        <v>0</v>
      </c>
      <c r="BM17">
        <v>1651.7814328679999</v>
      </c>
      <c r="BN17">
        <v>3.0307164719999999</v>
      </c>
      <c r="BO17">
        <v>11334.896670124999</v>
      </c>
      <c r="BP17">
        <v>0</v>
      </c>
      <c r="BQ17">
        <v>0</v>
      </c>
      <c r="BR17">
        <v>0</v>
      </c>
      <c r="BS17">
        <v>25600</v>
      </c>
      <c r="BT17">
        <v>0</v>
      </c>
      <c r="BU17">
        <v>0</v>
      </c>
      <c r="BV17">
        <v>2130</v>
      </c>
      <c r="BW17">
        <v>0</v>
      </c>
      <c r="BX17">
        <v>0</v>
      </c>
      <c r="BY17">
        <v>0</v>
      </c>
      <c r="BZ17">
        <v>0</v>
      </c>
      <c r="CA17">
        <v>0</v>
      </c>
      <c r="CB17">
        <v>27320</v>
      </c>
    </row>
    <row r="18" spans="2:80">
      <c r="B18">
        <v>16</v>
      </c>
      <c r="C18" s="1" t="s">
        <v>16</v>
      </c>
      <c r="D18" s="1" t="s">
        <v>16</v>
      </c>
      <c r="E18" t="s">
        <v>103</v>
      </c>
      <c r="F18" t="s">
        <v>104</v>
      </c>
      <c r="G18">
        <v>1167990</v>
      </c>
      <c r="H18">
        <v>14789094</v>
      </c>
      <c r="I18">
        <v>315037.84000000003</v>
      </c>
      <c r="J18">
        <v>174922.89</v>
      </c>
      <c r="K18">
        <v>55527.85</v>
      </c>
      <c r="L18">
        <v>186240.67</v>
      </c>
      <c r="M18">
        <v>0</v>
      </c>
      <c r="N18">
        <v>-4422.4260000000004</v>
      </c>
      <c r="O18">
        <v>-1108.0170000000001</v>
      </c>
      <c r="P18">
        <v>0</v>
      </c>
      <c r="Q18">
        <v>-1368.5840000000001</v>
      </c>
      <c r="R18">
        <v>-2509.886</v>
      </c>
      <c r="S18">
        <v>-6912.5680000000002</v>
      </c>
      <c r="T18">
        <v>1144.307</v>
      </c>
      <c r="U18">
        <v>734.82299999999998</v>
      </c>
      <c r="V18">
        <v>1667.0319999999999</v>
      </c>
      <c r="W18">
        <v>2965.5439999999999</v>
      </c>
      <c r="X18">
        <v>0</v>
      </c>
      <c r="Y18">
        <v>-9809.7749999999996</v>
      </c>
      <c r="Z18">
        <v>-21538.544999999998</v>
      </c>
      <c r="AA18">
        <v>16018</v>
      </c>
      <c r="AB18">
        <v>0</v>
      </c>
      <c r="AC18">
        <v>1821883</v>
      </c>
      <c r="AD18">
        <v>207223</v>
      </c>
      <c r="AE18">
        <v>5731.5626642120005</v>
      </c>
      <c r="AF18">
        <v>0</v>
      </c>
      <c r="AG18">
        <v>10979.398406116001</v>
      </c>
      <c r="AH18">
        <v>32.354946120000001</v>
      </c>
      <c r="AI18">
        <v>4035.3989824680002</v>
      </c>
      <c r="AJ18">
        <v>157.03411665900001</v>
      </c>
      <c r="AK18">
        <v>5574.2145544049999</v>
      </c>
      <c r="AL18">
        <v>8798.3064369759995</v>
      </c>
      <c r="AM18">
        <v>0</v>
      </c>
      <c r="AN18">
        <v>0</v>
      </c>
      <c r="AO18">
        <v>4524.3102046869999</v>
      </c>
      <c r="AP18">
        <v>26.549485851</v>
      </c>
      <c r="AQ18">
        <v>0</v>
      </c>
      <c r="AR18">
        <v>0</v>
      </c>
      <c r="AS18">
        <v>0</v>
      </c>
      <c r="AT18">
        <v>22687.1</v>
      </c>
      <c r="AU18">
        <v>0</v>
      </c>
      <c r="AV18">
        <v>0</v>
      </c>
      <c r="AW18">
        <v>887.8</v>
      </c>
      <c r="AX18">
        <v>0</v>
      </c>
      <c r="AY18">
        <v>0</v>
      </c>
      <c r="AZ18">
        <v>0</v>
      </c>
      <c r="BA18">
        <v>0</v>
      </c>
      <c r="BB18">
        <v>0</v>
      </c>
      <c r="BC18">
        <v>1574.115910304</v>
      </c>
      <c r="BD18">
        <v>0</v>
      </c>
      <c r="BE18">
        <v>2890.951978481</v>
      </c>
      <c r="BF18">
        <v>17.993172568000002</v>
      </c>
      <c r="BG18">
        <v>1291.337776778</v>
      </c>
      <c r="BH18">
        <v>621.14329315500004</v>
      </c>
      <c r="BI18">
        <v>715.95215900599999</v>
      </c>
      <c r="BJ18">
        <v>1987.7199715380002</v>
      </c>
      <c r="BK18">
        <v>0</v>
      </c>
      <c r="BL18">
        <v>0</v>
      </c>
      <c r="BM18">
        <v>1651.7814328679999</v>
      </c>
      <c r="BN18">
        <v>3.0307164719999999</v>
      </c>
      <c r="BO18">
        <v>9916.1834772980001</v>
      </c>
      <c r="BP18">
        <v>0</v>
      </c>
      <c r="BQ18">
        <v>0</v>
      </c>
      <c r="BR18">
        <v>0</v>
      </c>
      <c r="BS18">
        <v>22170</v>
      </c>
      <c r="BT18">
        <v>0</v>
      </c>
      <c r="BU18">
        <v>0</v>
      </c>
      <c r="BV18">
        <v>819.99999999999989</v>
      </c>
      <c r="BW18">
        <v>0</v>
      </c>
      <c r="BX18">
        <v>0</v>
      </c>
      <c r="BY18">
        <v>0</v>
      </c>
      <c r="BZ18">
        <v>0</v>
      </c>
      <c r="CA18">
        <v>0</v>
      </c>
      <c r="CB18">
        <v>22540</v>
      </c>
    </row>
    <row r="19" spans="2:80">
      <c r="B19">
        <v>17</v>
      </c>
      <c r="C19" s="1" t="s">
        <v>16</v>
      </c>
      <c r="D19" s="1" t="s">
        <v>16</v>
      </c>
      <c r="E19" t="s">
        <v>105</v>
      </c>
      <c r="F19" t="s">
        <v>106</v>
      </c>
      <c r="G19">
        <v>1167990</v>
      </c>
      <c r="H19">
        <v>14789094</v>
      </c>
      <c r="I19">
        <v>315037.84000000003</v>
      </c>
      <c r="J19">
        <v>174922.89</v>
      </c>
      <c r="K19">
        <v>55527.85</v>
      </c>
      <c r="L19">
        <v>186240.67</v>
      </c>
      <c r="M19">
        <v>0</v>
      </c>
      <c r="N19">
        <v>-4114.4809999999998</v>
      </c>
      <c r="O19">
        <v>-1106.279</v>
      </c>
      <c r="P19">
        <v>0</v>
      </c>
      <c r="Q19">
        <v>-1368.5840000000001</v>
      </c>
      <c r="R19">
        <v>-2740.4850000000001</v>
      </c>
      <c r="S19">
        <v>-5198.9709999999995</v>
      </c>
      <c r="T19">
        <v>1001.451</v>
      </c>
      <c r="U19">
        <v>596.49800000000005</v>
      </c>
      <c r="V19">
        <v>1758.9649999999999</v>
      </c>
      <c r="W19">
        <v>2485.5450000000001</v>
      </c>
      <c r="X19">
        <v>0</v>
      </c>
      <c r="Y19">
        <v>-8686.34</v>
      </c>
      <c r="Z19">
        <v>-32932.847999999998</v>
      </c>
      <c r="AA19">
        <v>15967</v>
      </c>
      <c r="AB19">
        <v>0</v>
      </c>
      <c r="AC19">
        <v>1848689</v>
      </c>
      <c r="AD19">
        <v>311515</v>
      </c>
      <c r="AE19">
        <v>7386.8492162430002</v>
      </c>
      <c r="AF19">
        <v>0</v>
      </c>
      <c r="AG19">
        <v>10979.398406116001</v>
      </c>
      <c r="AH19">
        <v>47.098972199999999</v>
      </c>
      <c r="AI19">
        <v>4108.9416384799997</v>
      </c>
      <c r="AJ19">
        <v>212.89418028200001</v>
      </c>
      <c r="AK19">
        <v>5404.7231008959998</v>
      </c>
      <c r="AL19">
        <v>7754.9003802340003</v>
      </c>
      <c r="AM19">
        <v>0</v>
      </c>
      <c r="AN19">
        <v>0</v>
      </c>
      <c r="AO19">
        <v>4524.3102046869999</v>
      </c>
      <c r="AP19">
        <v>26.549485851</v>
      </c>
      <c r="AQ19">
        <v>0</v>
      </c>
      <c r="AR19">
        <v>0</v>
      </c>
      <c r="AS19">
        <v>0</v>
      </c>
      <c r="AT19">
        <v>31502.7</v>
      </c>
      <c r="AU19">
        <v>0</v>
      </c>
      <c r="AV19">
        <v>0</v>
      </c>
      <c r="AW19">
        <v>3937</v>
      </c>
      <c r="AX19">
        <v>0</v>
      </c>
      <c r="AY19">
        <v>0</v>
      </c>
      <c r="AZ19">
        <v>0</v>
      </c>
      <c r="BA19">
        <v>0</v>
      </c>
      <c r="BB19">
        <v>0</v>
      </c>
      <c r="BC19">
        <v>2048.9008538319999</v>
      </c>
      <c r="BD19">
        <v>0</v>
      </c>
      <c r="BE19">
        <v>2890.951978481</v>
      </c>
      <c r="BF19">
        <v>18.037541165</v>
      </c>
      <c r="BG19">
        <v>2455.2216392199998</v>
      </c>
      <c r="BH19">
        <v>1515.358236</v>
      </c>
      <c r="BI19">
        <v>876.36170200599997</v>
      </c>
      <c r="BJ19">
        <v>1916.0100798789999</v>
      </c>
      <c r="BK19">
        <v>0</v>
      </c>
      <c r="BL19">
        <v>0</v>
      </c>
      <c r="BM19">
        <v>1651.7814328679999</v>
      </c>
      <c r="BN19">
        <v>3.0307164719999999</v>
      </c>
      <c r="BO19">
        <v>12036.429035105999</v>
      </c>
      <c r="BP19">
        <v>0</v>
      </c>
      <c r="BQ19">
        <v>0</v>
      </c>
      <c r="BR19">
        <v>0</v>
      </c>
      <c r="BS19">
        <v>25270</v>
      </c>
      <c r="BT19">
        <v>0</v>
      </c>
      <c r="BU19">
        <v>0</v>
      </c>
      <c r="BV19">
        <v>2130</v>
      </c>
      <c r="BW19">
        <v>0</v>
      </c>
      <c r="BX19">
        <v>0</v>
      </c>
      <c r="BY19">
        <v>0</v>
      </c>
      <c r="BZ19">
        <v>0</v>
      </c>
      <c r="CA19">
        <v>0</v>
      </c>
      <c r="CB19">
        <v>26989.999999999996</v>
      </c>
    </row>
    <row r="20" spans="2:80">
      <c r="B20">
        <v>18</v>
      </c>
      <c r="C20" s="1" t="s">
        <v>16</v>
      </c>
      <c r="D20" s="1" t="s">
        <v>16</v>
      </c>
      <c r="E20" t="s">
        <v>107</v>
      </c>
      <c r="F20" t="s">
        <v>108</v>
      </c>
      <c r="G20">
        <v>1167990</v>
      </c>
      <c r="H20">
        <v>14789094</v>
      </c>
      <c r="I20">
        <v>315037.84000000003</v>
      </c>
      <c r="J20">
        <v>174922.89</v>
      </c>
      <c r="K20">
        <v>55527.85</v>
      </c>
      <c r="L20">
        <v>186240.67</v>
      </c>
      <c r="M20">
        <v>0</v>
      </c>
      <c r="N20">
        <v>-4114.4809999999998</v>
      </c>
      <c r="O20">
        <v>-1106.279</v>
      </c>
      <c r="P20">
        <v>0</v>
      </c>
      <c r="Q20">
        <v>-1368.5840000000001</v>
      </c>
      <c r="R20">
        <v>-2740.4850000000001</v>
      </c>
      <c r="S20">
        <v>-5198.9709999999995</v>
      </c>
      <c r="T20">
        <v>1001.451</v>
      </c>
      <c r="U20">
        <v>596.49800000000005</v>
      </c>
      <c r="V20">
        <v>1758.9649999999999</v>
      </c>
      <c r="W20">
        <v>2485.5450000000001</v>
      </c>
      <c r="X20">
        <v>0</v>
      </c>
      <c r="Y20">
        <v>-8686.34</v>
      </c>
      <c r="Z20">
        <v>-19842.918000000001</v>
      </c>
      <c r="AA20">
        <v>15964</v>
      </c>
      <c r="AB20">
        <v>0</v>
      </c>
      <c r="AC20">
        <v>1904861</v>
      </c>
      <c r="AD20">
        <v>192201</v>
      </c>
      <c r="AE20">
        <v>7386.8492162430002</v>
      </c>
      <c r="AF20">
        <v>0</v>
      </c>
      <c r="AG20">
        <v>10979.398406116001</v>
      </c>
      <c r="AH20">
        <v>29.959041882000001</v>
      </c>
      <c r="AI20">
        <v>4122.3443677430005</v>
      </c>
      <c r="AJ20">
        <v>171.87711884000001</v>
      </c>
      <c r="AK20">
        <v>5567.5831556379999</v>
      </c>
      <c r="AL20">
        <v>8865.6750320669998</v>
      </c>
      <c r="AM20">
        <v>0</v>
      </c>
      <c r="AN20">
        <v>0</v>
      </c>
      <c r="AO20">
        <v>4524.3102046869999</v>
      </c>
      <c r="AP20">
        <v>26.549485851</v>
      </c>
      <c r="AQ20">
        <v>0</v>
      </c>
      <c r="AR20">
        <v>0</v>
      </c>
      <c r="AS20">
        <v>0</v>
      </c>
      <c r="AT20">
        <v>20978</v>
      </c>
      <c r="AU20">
        <v>0</v>
      </c>
      <c r="AV20">
        <v>0</v>
      </c>
      <c r="AW20">
        <v>887.8</v>
      </c>
      <c r="AX20">
        <v>0</v>
      </c>
      <c r="AY20">
        <v>0</v>
      </c>
      <c r="AZ20">
        <v>0</v>
      </c>
      <c r="BA20">
        <v>0</v>
      </c>
      <c r="BB20">
        <v>0</v>
      </c>
      <c r="BC20">
        <v>2048.9008538319999</v>
      </c>
      <c r="BD20">
        <v>0</v>
      </c>
      <c r="BE20">
        <v>2890.951978481</v>
      </c>
      <c r="BF20">
        <v>18.030715227000002</v>
      </c>
      <c r="BG20">
        <v>1374.60739444</v>
      </c>
      <c r="BH20">
        <v>704.65523161599992</v>
      </c>
      <c r="BI20">
        <v>715.49823412899991</v>
      </c>
      <c r="BJ20">
        <v>2066.6824223220001</v>
      </c>
      <c r="BK20">
        <v>0</v>
      </c>
      <c r="BL20">
        <v>0</v>
      </c>
      <c r="BM20">
        <v>1651.7814328679999</v>
      </c>
      <c r="BN20">
        <v>3.0307164719999999</v>
      </c>
      <c r="BO20">
        <v>10627.575909720001</v>
      </c>
      <c r="BP20">
        <v>0</v>
      </c>
      <c r="BQ20">
        <v>0</v>
      </c>
      <c r="BR20">
        <v>0</v>
      </c>
      <c r="BS20">
        <v>21890</v>
      </c>
      <c r="BT20">
        <v>0</v>
      </c>
      <c r="BU20">
        <v>0</v>
      </c>
      <c r="BV20">
        <v>819.99999999999989</v>
      </c>
      <c r="BW20">
        <v>0</v>
      </c>
      <c r="BX20">
        <v>0</v>
      </c>
      <c r="BY20">
        <v>0</v>
      </c>
      <c r="BZ20">
        <v>0</v>
      </c>
      <c r="CA20">
        <v>0</v>
      </c>
      <c r="CB20">
        <v>22260</v>
      </c>
    </row>
    <row r="21" spans="2:80">
      <c r="B21">
        <v>19</v>
      </c>
      <c r="C21" s="1" t="s">
        <v>16</v>
      </c>
      <c r="D21" s="1" t="s">
        <v>16</v>
      </c>
      <c r="E21" t="s">
        <v>109</v>
      </c>
      <c r="F21" t="s">
        <v>110</v>
      </c>
      <c r="G21">
        <v>1167990</v>
      </c>
      <c r="H21">
        <v>14789094</v>
      </c>
      <c r="I21">
        <v>315037.84000000003</v>
      </c>
      <c r="J21">
        <v>174922.89</v>
      </c>
      <c r="K21">
        <v>55527.85</v>
      </c>
      <c r="L21">
        <v>186240.67</v>
      </c>
      <c r="M21">
        <v>0</v>
      </c>
      <c r="N21">
        <v>-4295.4040000000005</v>
      </c>
      <c r="O21">
        <v>-1109.318</v>
      </c>
      <c r="P21">
        <v>0</v>
      </c>
      <c r="Q21">
        <v>-1368.5840000000001</v>
      </c>
      <c r="R21">
        <v>-2870.1309999999999</v>
      </c>
      <c r="S21">
        <v>-5462.616</v>
      </c>
      <c r="T21">
        <v>1060.2049999999999</v>
      </c>
      <c r="U21">
        <v>676.46699999999998</v>
      </c>
      <c r="V21">
        <v>1555.7270000000001</v>
      </c>
      <c r="W21">
        <v>2751.9749999999999</v>
      </c>
      <c r="X21">
        <v>0</v>
      </c>
      <c r="Y21">
        <v>-9061.6790000000001</v>
      </c>
      <c r="Z21">
        <v>-33866.781000000003</v>
      </c>
      <c r="AA21">
        <v>16048</v>
      </c>
      <c r="AB21">
        <v>0</v>
      </c>
      <c r="AC21">
        <v>1766131</v>
      </c>
      <c r="AD21">
        <v>319288</v>
      </c>
      <c r="AE21">
        <v>5731.5626642120005</v>
      </c>
      <c r="AF21">
        <v>0</v>
      </c>
      <c r="AG21">
        <v>10979.398406116001</v>
      </c>
      <c r="AH21">
        <v>47.737197403000003</v>
      </c>
      <c r="AI21">
        <v>4026.2180958580002</v>
      </c>
      <c r="AJ21">
        <v>199.91807214400001</v>
      </c>
      <c r="AK21">
        <v>5407.6411893909999</v>
      </c>
      <c r="AL21">
        <v>7696.0744465500002</v>
      </c>
      <c r="AM21">
        <v>0</v>
      </c>
      <c r="AN21">
        <v>0</v>
      </c>
      <c r="AO21">
        <v>4524.3102046869999</v>
      </c>
      <c r="AP21">
        <v>26.549485851</v>
      </c>
      <c r="AQ21">
        <v>0</v>
      </c>
      <c r="AR21">
        <v>0</v>
      </c>
      <c r="AS21">
        <v>0</v>
      </c>
      <c r="AT21">
        <v>32387</v>
      </c>
      <c r="AU21">
        <v>0</v>
      </c>
      <c r="AV21">
        <v>0</v>
      </c>
      <c r="AW21">
        <v>3937</v>
      </c>
      <c r="AX21">
        <v>0</v>
      </c>
      <c r="AY21">
        <v>0</v>
      </c>
      <c r="AZ21">
        <v>0</v>
      </c>
      <c r="BA21">
        <v>0</v>
      </c>
      <c r="BB21">
        <v>0</v>
      </c>
      <c r="BC21">
        <v>1574.115910304</v>
      </c>
      <c r="BD21">
        <v>0</v>
      </c>
      <c r="BE21">
        <v>2890.951978481</v>
      </c>
      <c r="BF21">
        <v>18.054606010000001</v>
      </c>
      <c r="BG21">
        <v>2392.8155010549999</v>
      </c>
      <c r="BH21">
        <v>1523.0681329710001</v>
      </c>
      <c r="BI21">
        <v>874.20470559799992</v>
      </c>
      <c r="BJ21">
        <v>1845.6517239439997</v>
      </c>
      <c r="BK21">
        <v>0</v>
      </c>
      <c r="BL21">
        <v>0</v>
      </c>
      <c r="BM21">
        <v>1651.7814328679999</v>
      </c>
      <c r="BN21">
        <v>3.0307164719999999</v>
      </c>
      <c r="BO21">
        <v>11374.661171943999</v>
      </c>
      <c r="BP21">
        <v>0</v>
      </c>
      <c r="BQ21">
        <v>0</v>
      </c>
      <c r="BR21">
        <v>0</v>
      </c>
      <c r="BS21">
        <v>25340</v>
      </c>
      <c r="BT21">
        <v>0</v>
      </c>
      <c r="BU21">
        <v>0</v>
      </c>
      <c r="BV21">
        <v>2130</v>
      </c>
      <c r="BW21">
        <v>0</v>
      </c>
      <c r="BX21">
        <v>0</v>
      </c>
      <c r="BY21">
        <v>0</v>
      </c>
      <c r="BZ21">
        <v>0</v>
      </c>
      <c r="CA21">
        <v>0</v>
      </c>
      <c r="CB21">
        <v>27060.000000000004</v>
      </c>
    </row>
    <row r="22" spans="2:80">
      <c r="B22">
        <v>20</v>
      </c>
      <c r="C22" s="1" t="s">
        <v>16</v>
      </c>
      <c r="D22" s="1" t="s">
        <v>16</v>
      </c>
      <c r="E22" t="s">
        <v>111</v>
      </c>
      <c r="F22" t="s">
        <v>112</v>
      </c>
      <c r="G22">
        <v>1167990</v>
      </c>
      <c r="H22">
        <v>14789094</v>
      </c>
      <c r="I22">
        <v>315037.84000000003</v>
      </c>
      <c r="J22">
        <v>174922.89</v>
      </c>
      <c r="K22">
        <v>55527.85</v>
      </c>
      <c r="L22">
        <v>186240.67</v>
      </c>
      <c r="M22">
        <v>0</v>
      </c>
      <c r="N22">
        <v>-4295.4040000000005</v>
      </c>
      <c r="O22">
        <v>-1109.318</v>
      </c>
      <c r="P22">
        <v>0</v>
      </c>
      <c r="Q22">
        <v>-1368.5840000000001</v>
      </c>
      <c r="R22">
        <v>-2870.1309999999999</v>
      </c>
      <c r="S22">
        <v>-5462.616</v>
      </c>
      <c r="T22">
        <v>1060.2049999999999</v>
      </c>
      <c r="U22">
        <v>676.46699999999998</v>
      </c>
      <c r="V22">
        <v>1555.7270000000001</v>
      </c>
      <c r="W22">
        <v>2751.9749999999999</v>
      </c>
      <c r="X22">
        <v>0</v>
      </c>
      <c r="Y22">
        <v>-9061.6790000000001</v>
      </c>
      <c r="Z22">
        <v>-20774.471000000001</v>
      </c>
      <c r="AA22">
        <v>16047</v>
      </c>
      <c r="AB22">
        <v>0</v>
      </c>
      <c r="AC22">
        <v>1822687</v>
      </c>
      <c r="AD22">
        <v>200691</v>
      </c>
      <c r="AE22">
        <v>5731.5626642120005</v>
      </c>
      <c r="AF22">
        <v>0</v>
      </c>
      <c r="AG22">
        <v>10979.398406116001</v>
      </c>
      <c r="AH22">
        <v>31.621157785000001</v>
      </c>
      <c r="AI22">
        <v>4044.883623319</v>
      </c>
      <c r="AJ22">
        <v>159.307154013</v>
      </c>
      <c r="AK22">
        <v>5572.0916876870006</v>
      </c>
      <c r="AL22">
        <v>8806.9924430810006</v>
      </c>
      <c r="AM22">
        <v>0</v>
      </c>
      <c r="AN22">
        <v>0</v>
      </c>
      <c r="AO22">
        <v>4524.3102046869999</v>
      </c>
      <c r="AP22">
        <v>26.549485851</v>
      </c>
      <c r="AQ22">
        <v>0</v>
      </c>
      <c r="AR22">
        <v>0</v>
      </c>
      <c r="AS22">
        <v>0</v>
      </c>
      <c r="AT22">
        <v>21943.9</v>
      </c>
      <c r="AU22">
        <v>0</v>
      </c>
      <c r="AV22">
        <v>0</v>
      </c>
      <c r="AW22">
        <v>887.8</v>
      </c>
      <c r="AX22">
        <v>0</v>
      </c>
      <c r="AY22">
        <v>0</v>
      </c>
      <c r="AZ22">
        <v>0</v>
      </c>
      <c r="BA22">
        <v>0</v>
      </c>
      <c r="BB22">
        <v>0</v>
      </c>
      <c r="BC22">
        <v>1574.115910304</v>
      </c>
      <c r="BD22">
        <v>0</v>
      </c>
      <c r="BE22">
        <v>2890.951978481</v>
      </c>
      <c r="BF22">
        <v>18.037541165</v>
      </c>
      <c r="BG22">
        <v>1306.8428949449999</v>
      </c>
      <c r="BH22">
        <v>634.73032274399998</v>
      </c>
      <c r="BI22">
        <v>715.46410443900004</v>
      </c>
      <c r="BJ22">
        <v>1995.9042711999998</v>
      </c>
      <c r="BK22">
        <v>0</v>
      </c>
      <c r="BL22">
        <v>0</v>
      </c>
      <c r="BM22">
        <v>1651.7814328679999</v>
      </c>
      <c r="BN22">
        <v>3.0307164719999999</v>
      </c>
      <c r="BO22">
        <v>9957.6305728339994</v>
      </c>
      <c r="BP22">
        <v>0</v>
      </c>
      <c r="BQ22">
        <v>0</v>
      </c>
      <c r="BR22">
        <v>0</v>
      </c>
      <c r="BS22">
        <v>21960</v>
      </c>
      <c r="BT22">
        <v>0</v>
      </c>
      <c r="BU22">
        <v>0</v>
      </c>
      <c r="BV22">
        <v>819.99999999999989</v>
      </c>
      <c r="BW22">
        <v>0</v>
      </c>
      <c r="BX22">
        <v>0</v>
      </c>
      <c r="BY22">
        <v>0</v>
      </c>
      <c r="BZ22">
        <v>0</v>
      </c>
      <c r="CA22">
        <v>0</v>
      </c>
      <c r="CB22">
        <v>22330</v>
      </c>
    </row>
    <row r="23" spans="2:80">
      <c r="B23">
        <v>21</v>
      </c>
      <c r="C23" s="1" t="s">
        <v>16</v>
      </c>
      <c r="D23" s="1" t="s">
        <v>16</v>
      </c>
      <c r="E23" t="s">
        <v>113</v>
      </c>
      <c r="F23" t="s">
        <v>114</v>
      </c>
      <c r="G23">
        <v>1167990</v>
      </c>
      <c r="H23">
        <v>14789094</v>
      </c>
      <c r="I23">
        <v>315037.84000000003</v>
      </c>
      <c r="J23">
        <v>174922.89</v>
      </c>
      <c r="K23">
        <v>55527.85</v>
      </c>
      <c r="L23">
        <v>186240.67</v>
      </c>
      <c r="M23">
        <v>0</v>
      </c>
      <c r="N23">
        <v>-4051.9319999999998</v>
      </c>
      <c r="O23">
        <v>-1102.444</v>
      </c>
      <c r="P23">
        <v>0</v>
      </c>
      <c r="Q23">
        <v>-1368.5840000000001</v>
      </c>
      <c r="R23">
        <v>-2267.498</v>
      </c>
      <c r="S23">
        <v>-5103.0749999999998</v>
      </c>
      <c r="T23">
        <v>974.03200000000004</v>
      </c>
      <c r="U23">
        <v>569.91800000000001</v>
      </c>
      <c r="V23">
        <v>1694.5830000000001</v>
      </c>
      <c r="W23">
        <v>2392.346</v>
      </c>
      <c r="X23">
        <v>0</v>
      </c>
      <c r="Y23">
        <v>-8262.652</v>
      </c>
      <c r="Z23">
        <v>-32205.266</v>
      </c>
      <c r="AA23">
        <v>15822</v>
      </c>
      <c r="AB23">
        <v>0</v>
      </c>
      <c r="AC23">
        <v>1849418</v>
      </c>
      <c r="AD23">
        <v>305435</v>
      </c>
      <c r="AE23">
        <v>7386.8492162430002</v>
      </c>
      <c r="AF23">
        <v>0</v>
      </c>
      <c r="AG23">
        <v>10979.398406116001</v>
      </c>
      <c r="AH23">
        <v>46.778153113999998</v>
      </c>
      <c r="AI23">
        <v>4113.8017063360003</v>
      </c>
      <c r="AJ23">
        <v>214.59042587499999</v>
      </c>
      <c r="AK23">
        <v>5403.8357289559999</v>
      </c>
      <c r="AL23">
        <v>7765.4908230410001</v>
      </c>
      <c r="AM23">
        <v>0</v>
      </c>
      <c r="AN23">
        <v>0</v>
      </c>
      <c r="AO23">
        <v>4524.3102046869999</v>
      </c>
      <c r="AP23">
        <v>26.549485851</v>
      </c>
      <c r="AQ23">
        <v>0</v>
      </c>
      <c r="AR23">
        <v>0</v>
      </c>
      <c r="AS23">
        <v>0</v>
      </c>
      <c r="AT23">
        <v>30811</v>
      </c>
      <c r="AU23">
        <v>0</v>
      </c>
      <c r="AV23">
        <v>0</v>
      </c>
      <c r="AW23">
        <v>3937</v>
      </c>
      <c r="AX23">
        <v>0</v>
      </c>
      <c r="AY23">
        <v>0</v>
      </c>
      <c r="AZ23">
        <v>0</v>
      </c>
      <c r="BA23">
        <v>0</v>
      </c>
      <c r="BB23">
        <v>0</v>
      </c>
      <c r="BC23">
        <v>2048.9008538319999</v>
      </c>
      <c r="BD23">
        <v>0</v>
      </c>
      <c r="BE23">
        <v>2890.951978481</v>
      </c>
      <c r="BF23">
        <v>18.081909761999999</v>
      </c>
      <c r="BG23">
        <v>2440.9212991100003</v>
      </c>
      <c r="BH23">
        <v>1515.358236</v>
      </c>
      <c r="BI23">
        <v>875.56989319799993</v>
      </c>
      <c r="BJ23">
        <v>1920.9998405569997</v>
      </c>
      <c r="BK23">
        <v>0</v>
      </c>
      <c r="BL23">
        <v>0</v>
      </c>
      <c r="BM23">
        <v>1651.7814328679999</v>
      </c>
      <c r="BN23">
        <v>3.0307164719999999</v>
      </c>
      <c r="BO23">
        <v>12026.411971091</v>
      </c>
      <c r="BP23">
        <v>0</v>
      </c>
      <c r="BQ23">
        <v>0</v>
      </c>
      <c r="BR23">
        <v>0</v>
      </c>
      <c r="BS23">
        <v>24970</v>
      </c>
      <c r="BT23">
        <v>0</v>
      </c>
      <c r="BU23">
        <v>0</v>
      </c>
      <c r="BV23">
        <v>2130</v>
      </c>
      <c r="BW23">
        <v>0</v>
      </c>
      <c r="BX23">
        <v>0</v>
      </c>
      <c r="BY23">
        <v>0</v>
      </c>
      <c r="BZ23">
        <v>0</v>
      </c>
      <c r="CA23">
        <v>0</v>
      </c>
      <c r="CB23">
        <v>26689.999999999996</v>
      </c>
    </row>
    <row r="24" spans="2:80">
      <c r="B24">
        <v>22</v>
      </c>
      <c r="C24" s="1" t="s">
        <v>16</v>
      </c>
      <c r="D24" s="1" t="s">
        <v>16</v>
      </c>
      <c r="E24" t="s">
        <v>115</v>
      </c>
      <c r="F24" t="s">
        <v>116</v>
      </c>
      <c r="G24">
        <v>1167990</v>
      </c>
      <c r="H24">
        <v>14789094</v>
      </c>
      <c r="I24">
        <v>315037.84000000003</v>
      </c>
      <c r="J24">
        <v>174922.89</v>
      </c>
      <c r="K24">
        <v>55527.85</v>
      </c>
      <c r="L24">
        <v>186240.67</v>
      </c>
      <c r="M24">
        <v>0</v>
      </c>
      <c r="N24">
        <v>-4051.9319999999998</v>
      </c>
      <c r="O24">
        <v>-1102.444</v>
      </c>
      <c r="P24">
        <v>0</v>
      </c>
      <c r="Q24">
        <v>-1368.5840000000001</v>
      </c>
      <c r="R24">
        <v>-2267.498</v>
      </c>
      <c r="S24">
        <v>-5103.0749999999998</v>
      </c>
      <c r="T24">
        <v>974.03200000000004</v>
      </c>
      <c r="U24">
        <v>569.91800000000001</v>
      </c>
      <c r="V24">
        <v>1694.5830000000001</v>
      </c>
      <c r="W24">
        <v>2392.346</v>
      </c>
      <c r="X24">
        <v>0</v>
      </c>
      <c r="Y24">
        <v>-8262.652</v>
      </c>
      <c r="Z24">
        <v>-19116.518</v>
      </c>
      <c r="AA24">
        <v>15820</v>
      </c>
      <c r="AB24">
        <v>0</v>
      </c>
      <c r="AC24">
        <v>1905603</v>
      </c>
      <c r="AD24">
        <v>185889</v>
      </c>
      <c r="AE24">
        <v>7386.8492162430002</v>
      </c>
      <c r="AF24">
        <v>0</v>
      </c>
      <c r="AG24">
        <v>10979.398406116001</v>
      </c>
      <c r="AH24">
        <v>29.150168229000002</v>
      </c>
      <c r="AI24">
        <v>4128.3375413069998</v>
      </c>
      <c r="AJ24">
        <v>173.641623813</v>
      </c>
      <c r="AK24">
        <v>5566.1667735030005</v>
      </c>
      <c r="AL24">
        <v>8876.3951676960005</v>
      </c>
      <c r="AM24">
        <v>0</v>
      </c>
      <c r="AN24">
        <v>0</v>
      </c>
      <c r="AO24">
        <v>4524.3102046869999</v>
      </c>
      <c r="AP24">
        <v>26.549485851</v>
      </c>
      <c r="AQ24">
        <v>0</v>
      </c>
      <c r="AR24">
        <v>0</v>
      </c>
      <c r="AS24">
        <v>0</v>
      </c>
      <c r="AT24">
        <v>20259.900000000001</v>
      </c>
      <c r="AU24">
        <v>0</v>
      </c>
      <c r="AV24">
        <v>0</v>
      </c>
      <c r="AW24">
        <v>887.8</v>
      </c>
      <c r="AX24">
        <v>0</v>
      </c>
      <c r="AY24">
        <v>0</v>
      </c>
      <c r="AZ24">
        <v>0</v>
      </c>
      <c r="BA24">
        <v>0</v>
      </c>
      <c r="BB24">
        <v>0</v>
      </c>
      <c r="BC24">
        <v>2048.9008538319999</v>
      </c>
      <c r="BD24">
        <v>0</v>
      </c>
      <c r="BE24">
        <v>2890.951978481</v>
      </c>
      <c r="BF24">
        <v>18.051193040999998</v>
      </c>
      <c r="BG24">
        <v>1361.470876759</v>
      </c>
      <c r="BH24">
        <v>692.32076165000001</v>
      </c>
      <c r="BI24">
        <v>714.78151063899998</v>
      </c>
      <c r="BJ24">
        <v>2071.7233775350001</v>
      </c>
      <c r="BK24">
        <v>0</v>
      </c>
      <c r="BL24">
        <v>0</v>
      </c>
      <c r="BM24">
        <v>1651.7814328679999</v>
      </c>
      <c r="BN24">
        <v>3.0307164719999999</v>
      </c>
      <c r="BO24">
        <v>10616.589562509</v>
      </c>
      <c r="BP24">
        <v>0</v>
      </c>
      <c r="BQ24">
        <v>0</v>
      </c>
      <c r="BR24">
        <v>0</v>
      </c>
      <c r="BS24">
        <v>21580</v>
      </c>
      <c r="BT24">
        <v>0</v>
      </c>
      <c r="BU24">
        <v>0</v>
      </c>
      <c r="BV24">
        <v>819.99999999999989</v>
      </c>
      <c r="BW24">
        <v>0</v>
      </c>
      <c r="BX24">
        <v>0</v>
      </c>
      <c r="BY24">
        <v>0</v>
      </c>
      <c r="BZ24">
        <v>0</v>
      </c>
      <c r="CA24">
        <v>0</v>
      </c>
      <c r="CB24">
        <v>21950</v>
      </c>
    </row>
    <row r="25" spans="2:80">
      <c r="B25">
        <v>23</v>
      </c>
      <c r="C25" s="1" t="s">
        <v>16</v>
      </c>
      <c r="D25" s="1" t="s">
        <v>16</v>
      </c>
      <c r="E25" t="s">
        <v>117</v>
      </c>
      <c r="F25" t="s">
        <v>118</v>
      </c>
      <c r="G25">
        <v>1167990</v>
      </c>
      <c r="H25">
        <v>14789094</v>
      </c>
      <c r="I25">
        <v>315037.84000000003</v>
      </c>
      <c r="J25">
        <v>174922.89</v>
      </c>
      <c r="K25">
        <v>55527.85</v>
      </c>
      <c r="L25">
        <v>186240.67</v>
      </c>
      <c r="M25">
        <v>0</v>
      </c>
      <c r="N25">
        <v>-4223.1390000000001</v>
      </c>
      <c r="O25">
        <v>-1105.568</v>
      </c>
      <c r="P25">
        <v>0</v>
      </c>
      <c r="Q25">
        <v>-1368.5840000000001</v>
      </c>
      <c r="R25">
        <v>-2371.8980000000001</v>
      </c>
      <c r="S25">
        <v>-5352.3029999999999</v>
      </c>
      <c r="T25">
        <v>1031.0650000000001</v>
      </c>
      <c r="U25">
        <v>641.73199999999997</v>
      </c>
      <c r="V25">
        <v>1493.74</v>
      </c>
      <c r="W25">
        <v>2636.7069999999999</v>
      </c>
      <c r="X25">
        <v>0</v>
      </c>
      <c r="Y25">
        <v>-8618.2469999999994</v>
      </c>
      <c r="Z25">
        <v>-33124.741999999998</v>
      </c>
      <c r="AA25">
        <v>15911</v>
      </c>
      <c r="AB25">
        <v>0</v>
      </c>
      <c r="AC25">
        <v>1766672</v>
      </c>
      <c r="AD25">
        <v>313209</v>
      </c>
      <c r="AE25">
        <v>5731.5626642120005</v>
      </c>
      <c r="AF25">
        <v>0</v>
      </c>
      <c r="AG25">
        <v>10979.398406116001</v>
      </c>
      <c r="AH25">
        <v>47.423204255000002</v>
      </c>
      <c r="AI25">
        <v>4029.2317474850001</v>
      </c>
      <c r="AJ25">
        <v>201.45390819400001</v>
      </c>
      <c r="AK25">
        <v>5406.5797560319998</v>
      </c>
      <c r="AL25">
        <v>7704.716084058</v>
      </c>
      <c r="AM25">
        <v>0</v>
      </c>
      <c r="AN25">
        <v>0</v>
      </c>
      <c r="AO25">
        <v>4524.3102046869999</v>
      </c>
      <c r="AP25">
        <v>26.549485851</v>
      </c>
      <c r="AQ25">
        <v>0</v>
      </c>
      <c r="AR25">
        <v>0</v>
      </c>
      <c r="AS25">
        <v>0</v>
      </c>
      <c r="AT25">
        <v>31695.4</v>
      </c>
      <c r="AU25">
        <v>0</v>
      </c>
      <c r="AV25">
        <v>0</v>
      </c>
      <c r="AW25">
        <v>3937</v>
      </c>
      <c r="AX25">
        <v>0</v>
      </c>
      <c r="AY25">
        <v>0</v>
      </c>
      <c r="AZ25">
        <v>0</v>
      </c>
      <c r="BA25">
        <v>0</v>
      </c>
      <c r="BB25">
        <v>0</v>
      </c>
      <c r="BC25">
        <v>1574.115910304</v>
      </c>
      <c r="BD25">
        <v>0</v>
      </c>
      <c r="BE25">
        <v>2890.951978481</v>
      </c>
      <c r="BF25">
        <v>18.081909761999999</v>
      </c>
      <c r="BG25">
        <v>2379.7608946299997</v>
      </c>
      <c r="BH25">
        <v>1505.0476566509999</v>
      </c>
      <c r="BI25">
        <v>873.46409132500003</v>
      </c>
      <c r="BJ25">
        <v>1850.5083788309998</v>
      </c>
      <c r="BK25">
        <v>0</v>
      </c>
      <c r="BL25">
        <v>0</v>
      </c>
      <c r="BM25">
        <v>1651.7814328679999</v>
      </c>
      <c r="BN25">
        <v>3.0307164719999999</v>
      </c>
      <c r="BO25">
        <v>11366.350592429</v>
      </c>
      <c r="BP25">
        <v>0</v>
      </c>
      <c r="BQ25">
        <v>0</v>
      </c>
      <c r="BR25">
        <v>0</v>
      </c>
      <c r="BS25">
        <v>25050</v>
      </c>
      <c r="BT25">
        <v>0</v>
      </c>
      <c r="BU25">
        <v>0</v>
      </c>
      <c r="BV25">
        <v>2130</v>
      </c>
      <c r="BW25">
        <v>0</v>
      </c>
      <c r="BX25">
        <v>0</v>
      </c>
      <c r="BY25">
        <v>0</v>
      </c>
      <c r="BZ25">
        <v>0</v>
      </c>
      <c r="CA25">
        <v>0</v>
      </c>
      <c r="CB25">
        <v>26770</v>
      </c>
    </row>
    <row r="26" spans="2:80">
      <c r="B26">
        <v>24</v>
      </c>
      <c r="C26" s="1" t="s">
        <v>16</v>
      </c>
      <c r="D26" s="1" t="s">
        <v>16</v>
      </c>
      <c r="E26" t="s">
        <v>119</v>
      </c>
      <c r="F26" t="s">
        <v>120</v>
      </c>
      <c r="G26">
        <v>1167990</v>
      </c>
      <c r="H26">
        <v>14789094</v>
      </c>
      <c r="I26">
        <v>315037.84000000003</v>
      </c>
      <c r="J26">
        <v>174922.89</v>
      </c>
      <c r="K26">
        <v>55527.85</v>
      </c>
      <c r="L26">
        <v>186240.67</v>
      </c>
      <c r="M26">
        <v>0</v>
      </c>
      <c r="N26">
        <v>-4223.1390000000001</v>
      </c>
      <c r="O26">
        <v>-1105.568</v>
      </c>
      <c r="P26">
        <v>0</v>
      </c>
      <c r="Q26">
        <v>-1368.5840000000001</v>
      </c>
      <c r="R26">
        <v>-2371.8980000000001</v>
      </c>
      <c r="S26">
        <v>-5352.3029999999999</v>
      </c>
      <c r="T26">
        <v>1031.0650000000001</v>
      </c>
      <c r="U26">
        <v>641.73199999999997</v>
      </c>
      <c r="V26">
        <v>1493.74</v>
      </c>
      <c r="W26">
        <v>2636.7069999999999</v>
      </c>
      <c r="X26">
        <v>0</v>
      </c>
      <c r="Y26">
        <v>-8618.2469999999994</v>
      </c>
      <c r="Z26">
        <v>-20033.331999999999</v>
      </c>
      <c r="AA26">
        <v>15908</v>
      </c>
      <c r="AB26">
        <v>0</v>
      </c>
      <c r="AC26">
        <v>1823245</v>
      </c>
      <c r="AD26">
        <v>194264</v>
      </c>
      <c r="AE26">
        <v>5731.5626642120005</v>
      </c>
      <c r="AF26">
        <v>0</v>
      </c>
      <c r="AG26">
        <v>10979.398406116001</v>
      </c>
      <c r="AH26">
        <v>30.733785845</v>
      </c>
      <c r="AI26">
        <v>4049.5047833450003</v>
      </c>
      <c r="AJ26">
        <v>160.744013962</v>
      </c>
      <c r="AK26">
        <v>5570.3920291249997</v>
      </c>
      <c r="AL26">
        <v>8815.7262307519995</v>
      </c>
      <c r="AM26">
        <v>0</v>
      </c>
      <c r="AN26">
        <v>0</v>
      </c>
      <c r="AO26">
        <v>4524.3102046869999</v>
      </c>
      <c r="AP26">
        <v>26.549485851</v>
      </c>
      <c r="AQ26">
        <v>0</v>
      </c>
      <c r="AR26">
        <v>0</v>
      </c>
      <c r="AS26">
        <v>0</v>
      </c>
      <c r="AT26">
        <v>21212.7</v>
      </c>
      <c r="AU26">
        <v>0</v>
      </c>
      <c r="AV26">
        <v>0</v>
      </c>
      <c r="AW26">
        <v>887.8</v>
      </c>
      <c r="AX26">
        <v>0</v>
      </c>
      <c r="AY26">
        <v>0</v>
      </c>
      <c r="AZ26">
        <v>0</v>
      </c>
      <c r="BA26">
        <v>0</v>
      </c>
      <c r="BB26">
        <v>0</v>
      </c>
      <c r="BC26">
        <v>1574.115910304</v>
      </c>
      <c r="BD26">
        <v>0</v>
      </c>
      <c r="BE26">
        <v>2890.951978481</v>
      </c>
      <c r="BF26">
        <v>18.051193040999998</v>
      </c>
      <c r="BG26">
        <v>1293.1364114410001</v>
      </c>
      <c r="BH26">
        <v>623.79517006799995</v>
      </c>
      <c r="BI26">
        <v>714.80540142199993</v>
      </c>
      <c r="BJ26">
        <v>2000.7814039010002</v>
      </c>
      <c r="BK26">
        <v>0</v>
      </c>
      <c r="BL26">
        <v>0</v>
      </c>
      <c r="BM26">
        <v>1651.7814328679999</v>
      </c>
      <c r="BN26">
        <v>3.0307164719999999</v>
      </c>
      <c r="BO26">
        <v>9948.9377407909997</v>
      </c>
      <c r="BP26">
        <v>0</v>
      </c>
      <c r="BQ26">
        <v>0</v>
      </c>
      <c r="BR26">
        <v>0</v>
      </c>
      <c r="BS26">
        <v>21670</v>
      </c>
      <c r="BT26">
        <v>0</v>
      </c>
      <c r="BU26">
        <v>0</v>
      </c>
      <c r="BV26">
        <v>819.99999999999989</v>
      </c>
      <c r="BW26">
        <v>0</v>
      </c>
      <c r="BX26">
        <v>0</v>
      </c>
      <c r="BY26">
        <v>0</v>
      </c>
      <c r="BZ26">
        <v>0</v>
      </c>
      <c r="CA26">
        <v>0</v>
      </c>
      <c r="CB26">
        <v>22030</v>
      </c>
    </row>
    <row r="27" spans="2:80">
      <c r="B27">
        <v>25</v>
      </c>
      <c r="C27" s="1" t="s">
        <v>16</v>
      </c>
      <c r="D27" s="1" t="s">
        <v>16</v>
      </c>
      <c r="E27" t="s">
        <v>121</v>
      </c>
      <c r="F27" t="s">
        <v>122</v>
      </c>
      <c r="G27">
        <v>1167990</v>
      </c>
      <c r="H27">
        <v>14789094</v>
      </c>
      <c r="I27">
        <v>315037.84000000003</v>
      </c>
      <c r="J27">
        <v>174922.89</v>
      </c>
      <c r="K27">
        <v>55527.85</v>
      </c>
      <c r="L27">
        <v>186240.67</v>
      </c>
      <c r="M27">
        <v>0</v>
      </c>
      <c r="N27">
        <v>-2686.7469999999998</v>
      </c>
      <c r="O27">
        <v>-1110.0920000000001</v>
      </c>
      <c r="P27">
        <v>0</v>
      </c>
      <c r="Q27">
        <v>-1368.5840000000001</v>
      </c>
      <c r="R27">
        <v>-2999.9720000000002</v>
      </c>
      <c r="S27">
        <v>-9452.6970000000001</v>
      </c>
      <c r="T27">
        <v>1203.1510000000001</v>
      </c>
      <c r="U27">
        <v>729.65800000000002</v>
      </c>
      <c r="V27">
        <v>2102.1480000000001</v>
      </c>
      <c r="W27">
        <v>2990.7460000000001</v>
      </c>
      <c r="X27">
        <v>0</v>
      </c>
      <c r="Y27">
        <v>-10592.39</v>
      </c>
      <c r="Z27">
        <v>-35295.012000000002</v>
      </c>
      <c r="AA27">
        <v>16167</v>
      </c>
      <c r="AB27">
        <v>0</v>
      </c>
      <c r="AC27">
        <v>1845151</v>
      </c>
      <c r="AD27">
        <v>330974</v>
      </c>
      <c r="AE27">
        <v>7386.8492162430002</v>
      </c>
      <c r="AF27">
        <v>0</v>
      </c>
      <c r="AG27">
        <v>10979.398406116001</v>
      </c>
      <c r="AH27">
        <v>48.242316815000002</v>
      </c>
      <c r="AI27">
        <v>4079.4194566300002</v>
      </c>
      <c r="AJ27">
        <v>204.50510248000001</v>
      </c>
      <c r="AK27">
        <v>5408.1804384930001</v>
      </c>
      <c r="AL27">
        <v>7710.7911688780005</v>
      </c>
      <c r="AM27">
        <v>0</v>
      </c>
      <c r="AN27">
        <v>0</v>
      </c>
      <c r="AO27">
        <v>4524.3102046869999</v>
      </c>
      <c r="AP27">
        <v>26.549485851</v>
      </c>
      <c r="AQ27">
        <v>0</v>
      </c>
      <c r="AR27">
        <v>0</v>
      </c>
      <c r="AS27">
        <v>0</v>
      </c>
      <c r="AT27">
        <v>33716.400000000001</v>
      </c>
      <c r="AU27">
        <v>0</v>
      </c>
      <c r="AV27">
        <v>0</v>
      </c>
      <c r="AW27">
        <v>3937</v>
      </c>
      <c r="AX27">
        <v>0</v>
      </c>
      <c r="AY27">
        <v>0</v>
      </c>
      <c r="AZ27">
        <v>0</v>
      </c>
      <c r="BA27">
        <v>0</v>
      </c>
      <c r="BB27">
        <v>0</v>
      </c>
      <c r="BC27">
        <v>2048.9008538319999</v>
      </c>
      <c r="BD27">
        <v>0</v>
      </c>
      <c r="BE27">
        <v>2890.951978481</v>
      </c>
      <c r="BF27">
        <v>18.040954134</v>
      </c>
      <c r="BG27">
        <v>2451.3718101879999</v>
      </c>
      <c r="BH27">
        <v>1515.358236</v>
      </c>
      <c r="BI27">
        <v>876.02040510599988</v>
      </c>
      <c r="BJ27">
        <v>1872.1807319809998</v>
      </c>
      <c r="BK27">
        <v>0</v>
      </c>
      <c r="BL27">
        <v>0</v>
      </c>
      <c r="BM27">
        <v>1651.7814328679999</v>
      </c>
      <c r="BN27">
        <v>3.0307164719999999</v>
      </c>
      <c r="BO27">
        <v>11942.261807426999</v>
      </c>
      <c r="BP27">
        <v>0</v>
      </c>
      <c r="BQ27">
        <v>0</v>
      </c>
      <c r="BR27">
        <v>0</v>
      </c>
      <c r="BS27">
        <v>26030</v>
      </c>
      <c r="BT27">
        <v>0</v>
      </c>
      <c r="BU27">
        <v>0</v>
      </c>
      <c r="BV27">
        <v>2130</v>
      </c>
      <c r="BW27">
        <v>0</v>
      </c>
      <c r="BX27">
        <v>0</v>
      </c>
      <c r="BY27">
        <v>0</v>
      </c>
      <c r="BZ27">
        <v>0</v>
      </c>
      <c r="CA27">
        <v>0</v>
      </c>
      <c r="CB27">
        <v>27760.000000000004</v>
      </c>
    </row>
    <row r="28" spans="2:80">
      <c r="B28">
        <v>26</v>
      </c>
      <c r="C28" s="1" t="s">
        <v>16</v>
      </c>
      <c r="D28" s="1" t="s">
        <v>16</v>
      </c>
      <c r="E28" t="s">
        <v>123</v>
      </c>
      <c r="F28" t="s">
        <v>124</v>
      </c>
      <c r="G28">
        <v>1167990</v>
      </c>
      <c r="H28">
        <v>14789094</v>
      </c>
      <c r="I28">
        <v>315037.84000000003</v>
      </c>
      <c r="J28">
        <v>174922.89</v>
      </c>
      <c r="K28">
        <v>55527.85</v>
      </c>
      <c r="L28">
        <v>186240.67</v>
      </c>
      <c r="M28">
        <v>0</v>
      </c>
      <c r="N28">
        <v>-2686.7469999999998</v>
      </c>
      <c r="O28">
        <v>-1110.0920000000001</v>
      </c>
      <c r="P28">
        <v>0</v>
      </c>
      <c r="Q28">
        <v>-1368.5840000000001</v>
      </c>
      <c r="R28">
        <v>-2999.9720000000002</v>
      </c>
      <c r="S28">
        <v>-9452.6970000000001</v>
      </c>
      <c r="T28">
        <v>1203.1510000000001</v>
      </c>
      <c r="U28">
        <v>729.65800000000002</v>
      </c>
      <c r="V28">
        <v>2102.1480000000001</v>
      </c>
      <c r="W28">
        <v>2990.7460000000001</v>
      </c>
      <c r="X28">
        <v>0</v>
      </c>
      <c r="Y28">
        <v>-10592.39</v>
      </c>
      <c r="Z28">
        <v>-22201.684000000001</v>
      </c>
      <c r="AA28">
        <v>16165</v>
      </c>
      <c r="AB28">
        <v>0</v>
      </c>
      <c r="AC28">
        <v>1901373</v>
      </c>
      <c r="AD28">
        <v>212554</v>
      </c>
      <c r="AE28">
        <v>7386.8492162430002</v>
      </c>
      <c r="AF28">
        <v>0</v>
      </c>
      <c r="AG28">
        <v>10979.398406116001</v>
      </c>
      <c r="AH28">
        <v>32.583615043000002</v>
      </c>
      <c r="AI28">
        <v>4090.5798652600001</v>
      </c>
      <c r="AJ28">
        <v>162.999986471</v>
      </c>
      <c r="AK28">
        <v>5573.3510732479999</v>
      </c>
      <c r="AL28">
        <v>8821.6204282150011</v>
      </c>
      <c r="AM28">
        <v>0</v>
      </c>
      <c r="AN28">
        <v>0</v>
      </c>
      <c r="AO28">
        <v>4524.3102046869999</v>
      </c>
      <c r="AP28">
        <v>26.549485851</v>
      </c>
      <c r="AQ28">
        <v>0</v>
      </c>
      <c r="AR28">
        <v>0</v>
      </c>
      <c r="AS28">
        <v>0</v>
      </c>
      <c r="AT28">
        <v>23293.5</v>
      </c>
      <c r="AU28">
        <v>0</v>
      </c>
      <c r="AV28">
        <v>0</v>
      </c>
      <c r="AW28">
        <v>887.8</v>
      </c>
      <c r="AX28">
        <v>0</v>
      </c>
      <c r="AY28">
        <v>0</v>
      </c>
      <c r="AZ28">
        <v>0</v>
      </c>
      <c r="BA28">
        <v>0</v>
      </c>
      <c r="BB28">
        <v>0</v>
      </c>
      <c r="BC28">
        <v>2048.9008538319999</v>
      </c>
      <c r="BD28">
        <v>0</v>
      </c>
      <c r="BE28">
        <v>2890.951978481</v>
      </c>
      <c r="BF28">
        <v>18.023889289</v>
      </c>
      <c r="BG28">
        <v>1368.6278727519998</v>
      </c>
      <c r="BH28">
        <v>699.10574402199995</v>
      </c>
      <c r="BI28">
        <v>716.54260264300001</v>
      </c>
      <c r="BJ28">
        <v>2022.5390812760002</v>
      </c>
      <c r="BK28">
        <v>0</v>
      </c>
      <c r="BL28">
        <v>0</v>
      </c>
      <c r="BM28">
        <v>1651.7814328679999</v>
      </c>
      <c r="BN28">
        <v>3.0307164719999999</v>
      </c>
      <c r="BO28">
        <v>10528.405269486999</v>
      </c>
      <c r="BP28">
        <v>0</v>
      </c>
      <c r="BQ28">
        <v>0</v>
      </c>
      <c r="BR28">
        <v>0</v>
      </c>
      <c r="BS28">
        <v>22520</v>
      </c>
      <c r="BT28">
        <v>0</v>
      </c>
      <c r="BU28">
        <v>0</v>
      </c>
      <c r="BV28">
        <v>819.99999999999989</v>
      </c>
      <c r="BW28">
        <v>0</v>
      </c>
      <c r="BX28">
        <v>0</v>
      </c>
      <c r="BY28">
        <v>0</v>
      </c>
      <c r="BZ28">
        <v>0</v>
      </c>
      <c r="CA28">
        <v>0</v>
      </c>
      <c r="CB28">
        <v>22890</v>
      </c>
    </row>
    <row r="29" spans="2:80">
      <c r="B29">
        <v>27</v>
      </c>
      <c r="C29" s="1" t="s">
        <v>16</v>
      </c>
      <c r="D29" s="1" t="s">
        <v>16</v>
      </c>
      <c r="E29" t="s">
        <v>125</v>
      </c>
      <c r="F29" t="s">
        <v>126</v>
      </c>
      <c r="G29">
        <v>1167990</v>
      </c>
      <c r="H29">
        <v>14789094</v>
      </c>
      <c r="I29">
        <v>315037.84000000003</v>
      </c>
      <c r="J29">
        <v>174922.89</v>
      </c>
      <c r="K29">
        <v>55527.85</v>
      </c>
      <c r="L29">
        <v>186240.67</v>
      </c>
      <c r="M29">
        <v>0</v>
      </c>
      <c r="N29">
        <v>-2787.15</v>
      </c>
      <c r="O29">
        <v>-1112.567</v>
      </c>
      <c r="P29">
        <v>0</v>
      </c>
      <c r="Q29">
        <v>-1368.5840000000001</v>
      </c>
      <c r="R29">
        <v>-3133.9690000000001</v>
      </c>
      <c r="S29">
        <v>-9907.3439999999991</v>
      </c>
      <c r="T29">
        <v>1276.18</v>
      </c>
      <c r="U29">
        <v>828.08799999999997</v>
      </c>
      <c r="V29">
        <v>1841.14</v>
      </c>
      <c r="W29">
        <v>3306.1019999999999</v>
      </c>
      <c r="X29">
        <v>0</v>
      </c>
      <c r="Y29">
        <v>-11058.11</v>
      </c>
      <c r="Z29">
        <v>-36287.699000000001</v>
      </c>
      <c r="AA29">
        <v>16250</v>
      </c>
      <c r="AB29">
        <v>0</v>
      </c>
      <c r="AC29">
        <v>1763221</v>
      </c>
      <c r="AD29">
        <v>339162</v>
      </c>
      <c r="AE29">
        <v>5731.5626642120005</v>
      </c>
      <c r="AF29">
        <v>0</v>
      </c>
      <c r="AG29">
        <v>10979.398406116001</v>
      </c>
      <c r="AH29">
        <v>49.078494220000003</v>
      </c>
      <c r="AI29">
        <v>4002.0952309660001</v>
      </c>
      <c r="AJ29">
        <v>192.65186114299999</v>
      </c>
      <c r="AK29">
        <v>5411.6787317180006</v>
      </c>
      <c r="AL29">
        <v>7658.4225725420001</v>
      </c>
      <c r="AM29">
        <v>0</v>
      </c>
      <c r="AN29">
        <v>0</v>
      </c>
      <c r="AO29">
        <v>4524.3102046869999</v>
      </c>
      <c r="AP29">
        <v>26.549485851</v>
      </c>
      <c r="AQ29">
        <v>0</v>
      </c>
      <c r="AR29">
        <v>0</v>
      </c>
      <c r="AS29">
        <v>0</v>
      </c>
      <c r="AT29">
        <v>34647.9</v>
      </c>
      <c r="AU29">
        <v>0</v>
      </c>
      <c r="AV29">
        <v>0</v>
      </c>
      <c r="AW29">
        <v>3937</v>
      </c>
      <c r="AX29">
        <v>0</v>
      </c>
      <c r="AY29">
        <v>0</v>
      </c>
      <c r="AZ29">
        <v>0</v>
      </c>
      <c r="BA29">
        <v>0</v>
      </c>
      <c r="BB29">
        <v>0</v>
      </c>
      <c r="BC29">
        <v>1574.115910304</v>
      </c>
      <c r="BD29">
        <v>0</v>
      </c>
      <c r="BE29">
        <v>2890.951978481</v>
      </c>
      <c r="BF29">
        <v>18.054606010000001</v>
      </c>
      <c r="BG29">
        <v>2388.6755696579999</v>
      </c>
      <c r="BH29">
        <v>1517.5459491290001</v>
      </c>
      <c r="BI29">
        <v>873.90777729499996</v>
      </c>
      <c r="BJ29">
        <v>1802.911113157</v>
      </c>
      <c r="BK29">
        <v>0</v>
      </c>
      <c r="BL29">
        <v>0</v>
      </c>
      <c r="BM29">
        <v>1651.7814328679999</v>
      </c>
      <c r="BN29">
        <v>3.0307164719999999</v>
      </c>
      <c r="BO29">
        <v>11284.261862041001</v>
      </c>
      <c r="BP29">
        <v>0</v>
      </c>
      <c r="BQ29">
        <v>0</v>
      </c>
      <c r="BR29">
        <v>0</v>
      </c>
      <c r="BS29">
        <v>26089.999999999996</v>
      </c>
      <c r="BT29">
        <v>0</v>
      </c>
      <c r="BU29">
        <v>0</v>
      </c>
      <c r="BV29">
        <v>2130</v>
      </c>
      <c r="BW29">
        <v>0</v>
      </c>
      <c r="BX29">
        <v>0</v>
      </c>
      <c r="BY29">
        <v>0</v>
      </c>
      <c r="BZ29">
        <v>0</v>
      </c>
      <c r="CA29">
        <v>0</v>
      </c>
      <c r="CB29">
        <v>27820</v>
      </c>
    </row>
    <row r="30" spans="2:80">
      <c r="B30">
        <v>28</v>
      </c>
      <c r="C30" s="1" t="s">
        <v>16</v>
      </c>
      <c r="D30" s="1" t="s">
        <v>16</v>
      </c>
      <c r="E30" t="s">
        <v>127</v>
      </c>
      <c r="F30" t="s">
        <v>128</v>
      </c>
      <c r="G30">
        <v>1167990</v>
      </c>
      <c r="H30">
        <v>14789094</v>
      </c>
      <c r="I30">
        <v>315037.84000000003</v>
      </c>
      <c r="J30">
        <v>174922.89</v>
      </c>
      <c r="K30">
        <v>55527.85</v>
      </c>
      <c r="L30">
        <v>186240.67</v>
      </c>
      <c r="M30">
        <v>0</v>
      </c>
      <c r="N30">
        <v>-2787.15</v>
      </c>
      <c r="O30">
        <v>-1112.567</v>
      </c>
      <c r="P30">
        <v>0</v>
      </c>
      <c r="Q30">
        <v>-1368.5840000000001</v>
      </c>
      <c r="R30">
        <v>-3133.9690000000001</v>
      </c>
      <c r="S30">
        <v>-9907.3439999999991</v>
      </c>
      <c r="T30">
        <v>1276.18</v>
      </c>
      <c r="U30">
        <v>828.08799999999997</v>
      </c>
      <c r="V30">
        <v>1841.14</v>
      </c>
      <c r="W30">
        <v>3306.1019999999999</v>
      </c>
      <c r="X30">
        <v>0</v>
      </c>
      <c r="Y30">
        <v>-11058.11</v>
      </c>
      <c r="Z30">
        <v>-23192.789000000001</v>
      </c>
      <c r="AA30">
        <v>16247</v>
      </c>
      <c r="AB30">
        <v>0</v>
      </c>
      <c r="AC30">
        <v>1819766</v>
      </c>
      <c r="AD30">
        <v>221323</v>
      </c>
      <c r="AE30">
        <v>5731.5626642120005</v>
      </c>
      <c r="AF30">
        <v>0</v>
      </c>
      <c r="AG30">
        <v>10979.398406116001</v>
      </c>
      <c r="AH30">
        <v>33.986345302000004</v>
      </c>
      <c r="AI30">
        <v>4017.9006904050002</v>
      </c>
      <c r="AJ30">
        <v>151.70988501900001</v>
      </c>
      <c r="AK30">
        <v>5578.0814482820006</v>
      </c>
      <c r="AL30">
        <v>8769.3098523520002</v>
      </c>
      <c r="AM30">
        <v>0</v>
      </c>
      <c r="AN30">
        <v>0</v>
      </c>
      <c r="AO30">
        <v>4524.3102046869999</v>
      </c>
      <c r="AP30">
        <v>26.549485851</v>
      </c>
      <c r="AQ30">
        <v>0</v>
      </c>
      <c r="AR30">
        <v>0</v>
      </c>
      <c r="AS30">
        <v>0</v>
      </c>
      <c r="AT30">
        <v>24291.1</v>
      </c>
      <c r="AU30">
        <v>0</v>
      </c>
      <c r="AV30">
        <v>0</v>
      </c>
      <c r="AW30">
        <v>887.8</v>
      </c>
      <c r="AX30">
        <v>0</v>
      </c>
      <c r="AY30">
        <v>0</v>
      </c>
      <c r="AZ30">
        <v>0</v>
      </c>
      <c r="BA30">
        <v>0</v>
      </c>
      <c r="BB30">
        <v>0</v>
      </c>
      <c r="BC30">
        <v>1574.115910304</v>
      </c>
      <c r="BD30">
        <v>0</v>
      </c>
      <c r="BE30">
        <v>2890.951978481</v>
      </c>
      <c r="BF30">
        <v>18.051193040999998</v>
      </c>
      <c r="BG30">
        <v>1302.508424315</v>
      </c>
      <c r="BH30">
        <v>629.255920468</v>
      </c>
      <c r="BI30">
        <v>716.40267091400005</v>
      </c>
      <c r="BJ30">
        <v>1953.0066638389999</v>
      </c>
      <c r="BK30">
        <v>0</v>
      </c>
      <c r="BL30">
        <v>0</v>
      </c>
      <c r="BM30">
        <v>1651.7814328679999</v>
      </c>
      <c r="BN30">
        <v>3.0307164719999999</v>
      </c>
      <c r="BO30">
        <v>9863.5725601630002</v>
      </c>
      <c r="BP30">
        <v>0</v>
      </c>
      <c r="BQ30">
        <v>0</v>
      </c>
      <c r="BR30">
        <v>0</v>
      </c>
      <c r="BS30">
        <v>22570</v>
      </c>
      <c r="BT30">
        <v>0</v>
      </c>
      <c r="BU30">
        <v>0</v>
      </c>
      <c r="BV30">
        <v>819.99999999999989</v>
      </c>
      <c r="BW30">
        <v>0</v>
      </c>
      <c r="BX30">
        <v>0</v>
      </c>
      <c r="BY30">
        <v>0</v>
      </c>
      <c r="BZ30">
        <v>0</v>
      </c>
      <c r="CA30">
        <v>0</v>
      </c>
      <c r="CB30">
        <v>22940</v>
      </c>
    </row>
    <row r="31" spans="2:80">
      <c r="B31">
        <v>29</v>
      </c>
      <c r="C31" s="1" t="s">
        <v>16</v>
      </c>
      <c r="D31" s="1" t="s">
        <v>16</v>
      </c>
      <c r="E31" t="s">
        <v>129</v>
      </c>
      <c r="F31" t="s">
        <v>130</v>
      </c>
      <c r="G31">
        <v>1167990</v>
      </c>
      <c r="H31">
        <v>14789094</v>
      </c>
      <c r="I31">
        <v>315037.84000000003</v>
      </c>
      <c r="J31">
        <v>174922.89</v>
      </c>
      <c r="K31">
        <v>55527.85</v>
      </c>
      <c r="L31">
        <v>186240.67</v>
      </c>
      <c r="M31">
        <v>0</v>
      </c>
      <c r="N31">
        <v>-2650.875</v>
      </c>
      <c r="O31">
        <v>-1106.92</v>
      </c>
      <c r="P31">
        <v>0</v>
      </c>
      <c r="Q31">
        <v>-1368.5840000000001</v>
      </c>
      <c r="R31">
        <v>-2489.491</v>
      </c>
      <c r="S31">
        <v>-9285.3940000000002</v>
      </c>
      <c r="T31">
        <v>1174.579</v>
      </c>
      <c r="U31">
        <v>695.40800000000002</v>
      </c>
      <c r="V31">
        <v>2021.3720000000001</v>
      </c>
      <c r="W31">
        <v>2878.0219999999999</v>
      </c>
      <c r="X31">
        <v>0</v>
      </c>
      <c r="Y31">
        <v>-10131.879999999999</v>
      </c>
      <c r="Z31">
        <v>-34561.188000000002</v>
      </c>
      <c r="AA31">
        <v>16031</v>
      </c>
      <c r="AB31">
        <v>0</v>
      </c>
      <c r="AC31">
        <v>1845358</v>
      </c>
      <c r="AD31">
        <v>324934</v>
      </c>
      <c r="AE31">
        <v>7386.8492162430002</v>
      </c>
      <c r="AF31">
        <v>0</v>
      </c>
      <c r="AG31">
        <v>10979.398406116001</v>
      </c>
      <c r="AH31">
        <v>47.842999442</v>
      </c>
      <c r="AI31">
        <v>4079.9860094840001</v>
      </c>
      <c r="AJ31">
        <v>205.41977817200001</v>
      </c>
      <c r="AK31">
        <v>5406.8220768310002</v>
      </c>
      <c r="AL31">
        <v>7715.5898032920004</v>
      </c>
      <c r="AM31">
        <v>0</v>
      </c>
      <c r="AN31">
        <v>0</v>
      </c>
      <c r="AO31">
        <v>4524.3102046869999</v>
      </c>
      <c r="AP31">
        <v>26.549485851</v>
      </c>
      <c r="AQ31">
        <v>0</v>
      </c>
      <c r="AR31">
        <v>0</v>
      </c>
      <c r="AS31">
        <v>0</v>
      </c>
      <c r="AT31">
        <v>33029.300000000003</v>
      </c>
      <c r="AU31">
        <v>0</v>
      </c>
      <c r="AV31">
        <v>0</v>
      </c>
      <c r="AW31">
        <v>3937</v>
      </c>
      <c r="AX31">
        <v>0</v>
      </c>
      <c r="AY31">
        <v>0</v>
      </c>
      <c r="AZ31">
        <v>0</v>
      </c>
      <c r="BA31">
        <v>0</v>
      </c>
      <c r="BB31">
        <v>0</v>
      </c>
      <c r="BC31">
        <v>2048.9008538319999</v>
      </c>
      <c r="BD31">
        <v>0</v>
      </c>
      <c r="BE31">
        <v>2890.951978481</v>
      </c>
      <c r="BF31">
        <v>17.999998506000001</v>
      </c>
      <c r="BG31">
        <v>2437.0373403879998</v>
      </c>
      <c r="BH31">
        <v>1515.358236</v>
      </c>
      <c r="BI31">
        <v>875.06136081699992</v>
      </c>
      <c r="BJ31">
        <v>1876.9759534259997</v>
      </c>
      <c r="BK31">
        <v>0</v>
      </c>
      <c r="BL31">
        <v>0</v>
      </c>
      <c r="BM31">
        <v>1651.7814328679999</v>
      </c>
      <c r="BN31">
        <v>3.0307164719999999</v>
      </c>
      <c r="BO31">
        <v>11932.357371389</v>
      </c>
      <c r="BP31">
        <v>0</v>
      </c>
      <c r="BQ31">
        <v>0</v>
      </c>
      <c r="BR31">
        <v>0</v>
      </c>
      <c r="BS31">
        <v>25770</v>
      </c>
      <c r="BT31">
        <v>0</v>
      </c>
      <c r="BU31">
        <v>0</v>
      </c>
      <c r="BV31">
        <v>2130</v>
      </c>
      <c r="BW31">
        <v>0</v>
      </c>
      <c r="BX31">
        <v>0</v>
      </c>
      <c r="BY31">
        <v>0</v>
      </c>
      <c r="BZ31">
        <v>0</v>
      </c>
      <c r="CA31">
        <v>0</v>
      </c>
      <c r="CB31">
        <v>27489.999999999996</v>
      </c>
    </row>
    <row r="32" spans="2:80">
      <c r="B32">
        <v>30</v>
      </c>
      <c r="C32" s="1" t="s">
        <v>16</v>
      </c>
      <c r="D32" s="1" t="s">
        <v>16</v>
      </c>
      <c r="E32" t="s">
        <v>131</v>
      </c>
      <c r="F32" t="s">
        <v>132</v>
      </c>
      <c r="G32">
        <v>1167990</v>
      </c>
      <c r="H32">
        <v>14789094</v>
      </c>
      <c r="I32">
        <v>315037.84000000003</v>
      </c>
      <c r="J32">
        <v>174922.89</v>
      </c>
      <c r="K32">
        <v>55527.85</v>
      </c>
      <c r="L32">
        <v>186240.67</v>
      </c>
      <c r="M32">
        <v>0</v>
      </c>
      <c r="N32">
        <v>-2650.875</v>
      </c>
      <c r="O32">
        <v>-1106.92</v>
      </c>
      <c r="P32">
        <v>0</v>
      </c>
      <c r="Q32">
        <v>-1368.5840000000001</v>
      </c>
      <c r="R32">
        <v>-2489.491</v>
      </c>
      <c r="S32">
        <v>-9285.3940000000002</v>
      </c>
      <c r="T32">
        <v>1174.579</v>
      </c>
      <c r="U32">
        <v>695.40800000000002</v>
      </c>
      <c r="V32">
        <v>2021.3720000000001</v>
      </c>
      <c r="W32">
        <v>2878.0219999999999</v>
      </c>
      <c r="X32">
        <v>0</v>
      </c>
      <c r="Y32">
        <v>-10131.879999999999</v>
      </c>
      <c r="Z32">
        <v>-21468.625</v>
      </c>
      <c r="AA32">
        <v>16029</v>
      </c>
      <c r="AB32">
        <v>0</v>
      </c>
      <c r="AC32">
        <v>1901633</v>
      </c>
      <c r="AD32">
        <v>206329</v>
      </c>
      <c r="AE32">
        <v>7386.8492162430002</v>
      </c>
      <c r="AF32">
        <v>0</v>
      </c>
      <c r="AG32">
        <v>10979.398406116001</v>
      </c>
      <c r="AH32">
        <v>32.006823281999999</v>
      </c>
      <c r="AI32">
        <v>4092.3921517990002</v>
      </c>
      <c r="AJ32">
        <v>164.60066893199999</v>
      </c>
      <c r="AK32">
        <v>5571.429571701</v>
      </c>
      <c r="AL32">
        <v>8826.391758877</v>
      </c>
      <c r="AM32">
        <v>0</v>
      </c>
      <c r="AN32">
        <v>0</v>
      </c>
      <c r="AO32">
        <v>4524.3102046869999</v>
      </c>
      <c r="AP32">
        <v>26.549485851</v>
      </c>
      <c r="AQ32">
        <v>0</v>
      </c>
      <c r="AR32">
        <v>0</v>
      </c>
      <c r="AS32">
        <v>0</v>
      </c>
      <c r="AT32">
        <v>22585.3</v>
      </c>
      <c r="AU32">
        <v>0</v>
      </c>
      <c r="AV32">
        <v>0</v>
      </c>
      <c r="AW32">
        <v>887.8</v>
      </c>
      <c r="AX32">
        <v>0</v>
      </c>
      <c r="AY32">
        <v>0</v>
      </c>
      <c r="AZ32">
        <v>0</v>
      </c>
      <c r="BA32">
        <v>0</v>
      </c>
      <c r="BB32">
        <v>0</v>
      </c>
      <c r="BC32">
        <v>2048.9008538319999</v>
      </c>
      <c r="BD32">
        <v>0</v>
      </c>
      <c r="BE32">
        <v>2890.951978481</v>
      </c>
      <c r="BF32">
        <v>18.040954134</v>
      </c>
      <c r="BG32">
        <v>1355.4538124120002</v>
      </c>
      <c r="BH32">
        <v>686.798577808</v>
      </c>
      <c r="BI32">
        <v>716.34123747199999</v>
      </c>
      <c r="BJ32">
        <v>2027.3547805349999</v>
      </c>
      <c r="BK32">
        <v>0</v>
      </c>
      <c r="BL32">
        <v>0</v>
      </c>
      <c r="BM32">
        <v>1651.7814328679999</v>
      </c>
      <c r="BN32">
        <v>3.0307164719999999</v>
      </c>
      <c r="BO32">
        <v>10517.838717462999</v>
      </c>
      <c r="BP32">
        <v>0</v>
      </c>
      <c r="BQ32">
        <v>0</v>
      </c>
      <c r="BR32">
        <v>0</v>
      </c>
      <c r="BS32">
        <v>22330</v>
      </c>
      <c r="BT32">
        <v>0</v>
      </c>
      <c r="BU32">
        <v>0</v>
      </c>
      <c r="BV32">
        <v>819.99999999999989</v>
      </c>
      <c r="BW32">
        <v>0</v>
      </c>
      <c r="BX32">
        <v>0</v>
      </c>
      <c r="BY32">
        <v>0</v>
      </c>
      <c r="BZ32">
        <v>0</v>
      </c>
      <c r="CA32">
        <v>0</v>
      </c>
      <c r="CB32">
        <v>22690</v>
      </c>
    </row>
    <row r="33" spans="2:80">
      <c r="B33">
        <v>31</v>
      </c>
      <c r="C33" s="1" t="s">
        <v>16</v>
      </c>
      <c r="D33" s="1" t="s">
        <v>16</v>
      </c>
      <c r="E33" t="s">
        <v>133</v>
      </c>
      <c r="F33" t="s">
        <v>134</v>
      </c>
      <c r="G33">
        <v>1167990</v>
      </c>
      <c r="H33">
        <v>14789094</v>
      </c>
      <c r="I33">
        <v>315037.84000000003</v>
      </c>
      <c r="J33">
        <v>174922.89</v>
      </c>
      <c r="K33">
        <v>55527.85</v>
      </c>
      <c r="L33">
        <v>186240.67</v>
      </c>
      <c r="M33">
        <v>0</v>
      </c>
      <c r="N33">
        <v>-2750.431</v>
      </c>
      <c r="O33">
        <v>-1109.7860000000001</v>
      </c>
      <c r="P33">
        <v>0</v>
      </c>
      <c r="Q33">
        <v>-1368.5840000000001</v>
      </c>
      <c r="R33">
        <v>-2601.2359999999999</v>
      </c>
      <c r="S33">
        <v>-9733.0069999999996</v>
      </c>
      <c r="T33">
        <v>1244.3130000000001</v>
      </c>
      <c r="U33">
        <v>789.06899999999996</v>
      </c>
      <c r="V33">
        <v>1772.7339999999999</v>
      </c>
      <c r="W33">
        <v>3180.7069999999999</v>
      </c>
      <c r="X33">
        <v>0</v>
      </c>
      <c r="Y33">
        <v>-10576.22</v>
      </c>
      <c r="Z33">
        <v>-35542.328000000001</v>
      </c>
      <c r="AA33">
        <v>16105</v>
      </c>
      <c r="AB33">
        <v>0</v>
      </c>
      <c r="AC33">
        <v>1763351</v>
      </c>
      <c r="AD33">
        <v>333061</v>
      </c>
      <c r="AE33">
        <v>5731.5626642120005</v>
      </c>
      <c r="AF33">
        <v>0</v>
      </c>
      <c r="AG33">
        <v>10979.398406116001</v>
      </c>
      <c r="AH33">
        <v>48.593852622</v>
      </c>
      <c r="AI33">
        <v>4001.7812378180001</v>
      </c>
      <c r="AJ33">
        <v>193.68257778099999</v>
      </c>
      <c r="AK33">
        <v>5410.4364110020006</v>
      </c>
      <c r="AL33">
        <v>7662.2450978220004</v>
      </c>
      <c r="AM33">
        <v>0</v>
      </c>
      <c r="AN33">
        <v>0</v>
      </c>
      <c r="AO33">
        <v>4524.3102046869999</v>
      </c>
      <c r="AP33">
        <v>26.549485851</v>
      </c>
      <c r="AQ33">
        <v>0</v>
      </c>
      <c r="AR33">
        <v>0</v>
      </c>
      <c r="AS33">
        <v>0</v>
      </c>
      <c r="AT33">
        <v>33953.9</v>
      </c>
      <c r="AU33">
        <v>0</v>
      </c>
      <c r="AV33">
        <v>0</v>
      </c>
      <c r="AW33">
        <v>3937</v>
      </c>
      <c r="AX33">
        <v>0</v>
      </c>
      <c r="AY33">
        <v>0</v>
      </c>
      <c r="AZ33">
        <v>0</v>
      </c>
      <c r="BA33">
        <v>0</v>
      </c>
      <c r="BB33">
        <v>0</v>
      </c>
      <c r="BC33">
        <v>1574.115910304</v>
      </c>
      <c r="BD33">
        <v>0</v>
      </c>
      <c r="BE33">
        <v>2890.951978481</v>
      </c>
      <c r="BF33">
        <v>18.037541165</v>
      </c>
      <c r="BG33">
        <v>2375.5356390080001</v>
      </c>
      <c r="BH33">
        <v>1499.5425376539999</v>
      </c>
      <c r="BI33">
        <v>872.989688634</v>
      </c>
      <c r="BJ33">
        <v>1807.5527509970002</v>
      </c>
      <c r="BK33">
        <v>0</v>
      </c>
      <c r="BL33">
        <v>0</v>
      </c>
      <c r="BM33">
        <v>1651.7814328679999</v>
      </c>
      <c r="BN33">
        <v>3.0307164719999999</v>
      </c>
      <c r="BO33">
        <v>11276.118518006999</v>
      </c>
      <c r="BP33">
        <v>0</v>
      </c>
      <c r="BQ33">
        <v>0</v>
      </c>
      <c r="BR33">
        <v>0</v>
      </c>
      <c r="BS33">
        <v>25830</v>
      </c>
      <c r="BT33">
        <v>0</v>
      </c>
      <c r="BU33">
        <v>0</v>
      </c>
      <c r="BV33">
        <v>2130</v>
      </c>
      <c r="BW33">
        <v>0</v>
      </c>
      <c r="BX33">
        <v>0</v>
      </c>
      <c r="BY33">
        <v>0</v>
      </c>
      <c r="BZ33">
        <v>0</v>
      </c>
      <c r="CA33">
        <v>0</v>
      </c>
      <c r="CB33">
        <v>27550</v>
      </c>
    </row>
    <row r="34" spans="2:80">
      <c r="B34">
        <v>32</v>
      </c>
      <c r="C34" s="1" t="s">
        <v>16</v>
      </c>
      <c r="D34" s="1" t="s">
        <v>16</v>
      </c>
      <c r="E34" t="s">
        <v>135</v>
      </c>
      <c r="F34" t="s">
        <v>136</v>
      </c>
      <c r="G34">
        <v>1167990</v>
      </c>
      <c r="H34">
        <v>14789094</v>
      </c>
      <c r="I34">
        <v>315037.84000000003</v>
      </c>
      <c r="J34">
        <v>174922.89</v>
      </c>
      <c r="K34">
        <v>55527.85</v>
      </c>
      <c r="L34">
        <v>186240.67</v>
      </c>
      <c r="M34">
        <v>0</v>
      </c>
      <c r="N34">
        <v>-2750.431</v>
      </c>
      <c r="O34">
        <v>-1109.7860000000001</v>
      </c>
      <c r="P34">
        <v>0</v>
      </c>
      <c r="Q34">
        <v>-1368.5840000000001</v>
      </c>
      <c r="R34">
        <v>-2601.2359999999999</v>
      </c>
      <c r="S34">
        <v>-9733.0069999999996</v>
      </c>
      <c r="T34">
        <v>1244.3130000000001</v>
      </c>
      <c r="U34">
        <v>789.06899999999996</v>
      </c>
      <c r="V34">
        <v>1772.7339999999999</v>
      </c>
      <c r="W34">
        <v>3180.7069999999999</v>
      </c>
      <c r="X34">
        <v>0</v>
      </c>
      <c r="Y34">
        <v>-10576.22</v>
      </c>
      <c r="Z34">
        <v>-22447.778999999999</v>
      </c>
      <c r="AA34">
        <v>16103</v>
      </c>
      <c r="AB34">
        <v>0</v>
      </c>
      <c r="AC34">
        <v>1819921</v>
      </c>
      <c r="AD34">
        <v>214976</v>
      </c>
      <c r="AE34">
        <v>5731.5626642120005</v>
      </c>
      <c r="AF34">
        <v>0</v>
      </c>
      <c r="AG34">
        <v>10979.398406116001</v>
      </c>
      <c r="AH34">
        <v>33.341294161</v>
      </c>
      <c r="AI34">
        <v>4019.1088814310001</v>
      </c>
      <c r="AJ34">
        <v>152.648451494</v>
      </c>
      <c r="AK34">
        <v>5576.1804245490002</v>
      </c>
      <c r="AL34">
        <v>8773.1084868489997</v>
      </c>
      <c r="AM34">
        <v>0</v>
      </c>
      <c r="AN34">
        <v>0</v>
      </c>
      <c r="AO34">
        <v>4524.3102046869999</v>
      </c>
      <c r="AP34">
        <v>26.549485851</v>
      </c>
      <c r="AQ34">
        <v>0</v>
      </c>
      <c r="AR34">
        <v>0</v>
      </c>
      <c r="AS34">
        <v>0</v>
      </c>
      <c r="AT34">
        <v>23569.1</v>
      </c>
      <c r="AU34">
        <v>0</v>
      </c>
      <c r="AV34">
        <v>0</v>
      </c>
      <c r="AW34">
        <v>887.8</v>
      </c>
      <c r="AX34">
        <v>0</v>
      </c>
      <c r="AY34">
        <v>0</v>
      </c>
      <c r="AZ34">
        <v>0</v>
      </c>
      <c r="BA34">
        <v>0</v>
      </c>
      <c r="BB34">
        <v>0</v>
      </c>
      <c r="BC34">
        <v>1574.115910304</v>
      </c>
      <c r="BD34">
        <v>0</v>
      </c>
      <c r="BE34">
        <v>2890.951978481</v>
      </c>
      <c r="BF34">
        <v>18.047780072000002</v>
      </c>
      <c r="BG34">
        <v>1288.750746276</v>
      </c>
      <c r="BH34">
        <v>618.20131387700008</v>
      </c>
      <c r="BI34">
        <v>716.20130574300003</v>
      </c>
      <c r="BJ34">
        <v>1957.6551276169998</v>
      </c>
      <c r="BK34">
        <v>0</v>
      </c>
      <c r="BL34">
        <v>0</v>
      </c>
      <c r="BM34">
        <v>1651.7814328679999</v>
      </c>
      <c r="BN34">
        <v>3.0307164719999999</v>
      </c>
      <c r="BO34">
        <v>9855.238089864999</v>
      </c>
      <c r="BP34">
        <v>0</v>
      </c>
      <c r="BQ34">
        <v>0</v>
      </c>
      <c r="BR34">
        <v>0</v>
      </c>
      <c r="BS34">
        <v>22380</v>
      </c>
      <c r="BT34">
        <v>0</v>
      </c>
      <c r="BU34">
        <v>0</v>
      </c>
      <c r="BV34">
        <v>819.99999999999989</v>
      </c>
      <c r="BW34">
        <v>0</v>
      </c>
      <c r="BX34">
        <v>0</v>
      </c>
      <c r="BY34">
        <v>0</v>
      </c>
      <c r="BZ34">
        <v>0</v>
      </c>
      <c r="CA34">
        <v>0</v>
      </c>
      <c r="CB34">
        <v>22740</v>
      </c>
    </row>
    <row r="35" spans="2:80">
      <c r="B35">
        <v>33</v>
      </c>
      <c r="C35" s="1" t="s">
        <v>16</v>
      </c>
      <c r="D35" s="1" t="s">
        <v>16</v>
      </c>
      <c r="E35" t="s">
        <v>137</v>
      </c>
      <c r="F35" t="s">
        <v>138</v>
      </c>
      <c r="G35">
        <v>1167990</v>
      </c>
      <c r="H35">
        <v>14789094</v>
      </c>
      <c r="I35">
        <v>315037.84000000003</v>
      </c>
      <c r="J35">
        <v>174922.89</v>
      </c>
      <c r="K35">
        <v>55527.85</v>
      </c>
      <c r="L35">
        <v>186240.67</v>
      </c>
      <c r="M35">
        <v>0</v>
      </c>
      <c r="N35">
        <v>-2487.4780000000001</v>
      </c>
      <c r="O35">
        <v>-1105.9179999999999</v>
      </c>
      <c r="P35">
        <v>0</v>
      </c>
      <c r="Q35">
        <v>-1368.5840000000001</v>
      </c>
      <c r="R35">
        <v>-2699.953</v>
      </c>
      <c r="S35">
        <v>-6244.5410000000002</v>
      </c>
      <c r="T35">
        <v>988.08299999999997</v>
      </c>
      <c r="U35">
        <v>567.60799999999995</v>
      </c>
      <c r="V35">
        <v>1692.615</v>
      </c>
      <c r="W35">
        <v>2400.9769999999999</v>
      </c>
      <c r="X35">
        <v>0</v>
      </c>
      <c r="Y35">
        <v>-8257.1929999999993</v>
      </c>
      <c r="Z35">
        <v>-32329.039000000001</v>
      </c>
      <c r="AA35">
        <v>15916</v>
      </c>
      <c r="AB35">
        <v>0</v>
      </c>
      <c r="AC35">
        <v>1847646</v>
      </c>
      <c r="AD35">
        <v>306575</v>
      </c>
      <c r="AE35">
        <v>7386.8492162430002</v>
      </c>
      <c r="AF35">
        <v>0</v>
      </c>
      <c r="AG35">
        <v>10979.398406116001</v>
      </c>
      <c r="AH35">
        <v>46.986344223000003</v>
      </c>
      <c r="AI35">
        <v>4102.9279871019999</v>
      </c>
      <c r="AJ35">
        <v>211.97267865200001</v>
      </c>
      <c r="AK35">
        <v>5403.0063774890004</v>
      </c>
      <c r="AL35">
        <v>7740.8048182640005</v>
      </c>
      <c r="AM35">
        <v>0</v>
      </c>
      <c r="AN35">
        <v>0</v>
      </c>
      <c r="AO35">
        <v>4524.3102046869999</v>
      </c>
      <c r="AP35">
        <v>26.549485851</v>
      </c>
      <c r="AQ35">
        <v>0</v>
      </c>
      <c r="AR35">
        <v>0</v>
      </c>
      <c r="AS35">
        <v>0</v>
      </c>
      <c r="AT35">
        <v>30940.799999999999</v>
      </c>
      <c r="AU35">
        <v>0</v>
      </c>
      <c r="AV35">
        <v>0</v>
      </c>
      <c r="AW35">
        <v>3937</v>
      </c>
      <c r="AX35">
        <v>0</v>
      </c>
      <c r="AY35">
        <v>0</v>
      </c>
      <c r="AZ35">
        <v>0</v>
      </c>
      <c r="BA35">
        <v>0</v>
      </c>
      <c r="BB35">
        <v>0</v>
      </c>
      <c r="BC35">
        <v>2048.9008538319999</v>
      </c>
      <c r="BD35">
        <v>0</v>
      </c>
      <c r="BE35">
        <v>2890.951978481</v>
      </c>
      <c r="BF35">
        <v>18.047780072000002</v>
      </c>
      <c r="BG35">
        <v>2454.5083286990002</v>
      </c>
      <c r="BH35">
        <v>1515.358236</v>
      </c>
      <c r="BI35">
        <v>876.13644605200011</v>
      </c>
      <c r="BJ35">
        <v>1898.1909687299999</v>
      </c>
      <c r="BK35">
        <v>0</v>
      </c>
      <c r="BL35">
        <v>0</v>
      </c>
      <c r="BM35">
        <v>1651.7814328679999</v>
      </c>
      <c r="BN35">
        <v>3.0307164719999999</v>
      </c>
      <c r="BO35">
        <v>12007.705488001999</v>
      </c>
      <c r="BP35">
        <v>0</v>
      </c>
      <c r="BQ35">
        <v>0</v>
      </c>
      <c r="BR35">
        <v>0</v>
      </c>
      <c r="BS35">
        <v>24990</v>
      </c>
      <c r="BT35">
        <v>0</v>
      </c>
      <c r="BU35">
        <v>0</v>
      </c>
      <c r="BV35">
        <v>2130</v>
      </c>
      <c r="BW35">
        <v>0</v>
      </c>
      <c r="BX35">
        <v>0</v>
      </c>
      <c r="BY35">
        <v>0</v>
      </c>
      <c r="BZ35">
        <v>0</v>
      </c>
      <c r="CA35">
        <v>0</v>
      </c>
      <c r="CB35">
        <v>26710.000000000004</v>
      </c>
    </row>
    <row r="36" spans="2:80">
      <c r="B36">
        <v>34</v>
      </c>
      <c r="C36" s="1" t="s">
        <v>16</v>
      </c>
      <c r="D36" s="1" t="s">
        <v>16</v>
      </c>
      <c r="E36" t="s">
        <v>139</v>
      </c>
      <c r="F36" t="s">
        <v>140</v>
      </c>
      <c r="G36">
        <v>1167990</v>
      </c>
      <c r="H36">
        <v>14789094</v>
      </c>
      <c r="I36">
        <v>315037.84000000003</v>
      </c>
      <c r="J36">
        <v>174922.89</v>
      </c>
      <c r="K36">
        <v>55527.85</v>
      </c>
      <c r="L36">
        <v>186240.67</v>
      </c>
      <c r="M36">
        <v>0</v>
      </c>
      <c r="N36">
        <v>-2487.4780000000001</v>
      </c>
      <c r="O36">
        <v>-1105.9179999999999</v>
      </c>
      <c r="P36">
        <v>0</v>
      </c>
      <c r="Q36">
        <v>-1368.5840000000001</v>
      </c>
      <c r="R36">
        <v>-2699.953</v>
      </c>
      <c r="S36">
        <v>-6244.5410000000002</v>
      </c>
      <c r="T36">
        <v>988.08299999999997</v>
      </c>
      <c r="U36">
        <v>567.60799999999995</v>
      </c>
      <c r="V36">
        <v>1692.615</v>
      </c>
      <c r="W36">
        <v>2400.9769999999999</v>
      </c>
      <c r="X36">
        <v>0</v>
      </c>
      <c r="Y36">
        <v>-8257.1929999999993</v>
      </c>
      <c r="Z36">
        <v>-19239.437999999998</v>
      </c>
      <c r="AA36">
        <v>15913</v>
      </c>
      <c r="AB36">
        <v>0</v>
      </c>
      <c r="AC36">
        <v>1903784</v>
      </c>
      <c r="AD36">
        <v>187012</v>
      </c>
      <c r="AE36">
        <v>7386.8492162430002</v>
      </c>
      <c r="AF36">
        <v>0</v>
      </c>
      <c r="AG36">
        <v>10979.398406116001</v>
      </c>
      <c r="AH36">
        <v>29.522181849999999</v>
      </c>
      <c r="AI36">
        <v>4116.5116037220005</v>
      </c>
      <c r="AJ36">
        <v>170.563125775</v>
      </c>
      <c r="AK36">
        <v>5565.7435653470002</v>
      </c>
      <c r="AL36">
        <v>8851.5214496240005</v>
      </c>
      <c r="AM36">
        <v>0</v>
      </c>
      <c r="AN36">
        <v>0</v>
      </c>
      <c r="AO36">
        <v>4524.3102046869999</v>
      </c>
      <c r="AP36">
        <v>26.549485851</v>
      </c>
      <c r="AQ36">
        <v>0</v>
      </c>
      <c r="AR36">
        <v>0</v>
      </c>
      <c r="AS36">
        <v>0</v>
      </c>
      <c r="AT36">
        <v>20387.599999999999</v>
      </c>
      <c r="AU36">
        <v>0</v>
      </c>
      <c r="AV36">
        <v>0</v>
      </c>
      <c r="AW36">
        <v>887.8</v>
      </c>
      <c r="AX36">
        <v>0</v>
      </c>
      <c r="AY36">
        <v>0</v>
      </c>
      <c r="AZ36">
        <v>0</v>
      </c>
      <c r="BA36">
        <v>0</v>
      </c>
      <c r="BB36">
        <v>0</v>
      </c>
      <c r="BC36">
        <v>2048.9008538319999</v>
      </c>
      <c r="BD36">
        <v>0</v>
      </c>
      <c r="BE36">
        <v>2890.951978481</v>
      </c>
      <c r="BF36">
        <v>17.996585536999998</v>
      </c>
      <c r="BG36">
        <v>1374.5050053699999</v>
      </c>
      <c r="BH36">
        <v>704.50847394899995</v>
      </c>
      <c r="BI36">
        <v>715.35147646200005</v>
      </c>
      <c r="BJ36">
        <v>2048.7233794439999</v>
      </c>
      <c r="BK36">
        <v>0</v>
      </c>
      <c r="BL36">
        <v>0</v>
      </c>
      <c r="BM36">
        <v>1651.7814328679999</v>
      </c>
      <c r="BN36">
        <v>3.0307164719999999</v>
      </c>
      <c r="BO36">
        <v>10597.234615309999</v>
      </c>
      <c r="BP36">
        <v>0</v>
      </c>
      <c r="BQ36">
        <v>0</v>
      </c>
      <c r="BR36">
        <v>0</v>
      </c>
      <c r="BS36">
        <v>21640</v>
      </c>
      <c r="BT36">
        <v>0</v>
      </c>
      <c r="BU36">
        <v>0</v>
      </c>
      <c r="BV36">
        <v>819.99999999999989</v>
      </c>
      <c r="BW36">
        <v>0</v>
      </c>
      <c r="BX36">
        <v>0</v>
      </c>
      <c r="BY36">
        <v>0</v>
      </c>
      <c r="BZ36">
        <v>0</v>
      </c>
      <c r="CA36">
        <v>0</v>
      </c>
      <c r="CB36">
        <v>22000</v>
      </c>
    </row>
    <row r="37" spans="2:80">
      <c r="B37">
        <v>35</v>
      </c>
      <c r="C37" s="1" t="s">
        <v>16</v>
      </c>
      <c r="D37" s="1" t="s">
        <v>16</v>
      </c>
      <c r="E37" t="s">
        <v>141</v>
      </c>
      <c r="F37" t="s">
        <v>142</v>
      </c>
      <c r="G37">
        <v>1167990</v>
      </c>
      <c r="H37">
        <v>14789094</v>
      </c>
      <c r="I37">
        <v>315037.84000000003</v>
      </c>
      <c r="J37">
        <v>174922.89</v>
      </c>
      <c r="K37">
        <v>55527.85</v>
      </c>
      <c r="L37">
        <v>186240.67</v>
      </c>
      <c r="M37">
        <v>0</v>
      </c>
      <c r="N37">
        <v>-2576.924</v>
      </c>
      <c r="O37">
        <v>-1109.172</v>
      </c>
      <c r="P37">
        <v>0</v>
      </c>
      <c r="Q37">
        <v>-1368.5840000000001</v>
      </c>
      <c r="R37">
        <v>-2817.203</v>
      </c>
      <c r="S37">
        <v>-6532.4129999999996</v>
      </c>
      <c r="T37">
        <v>1045.7539999999999</v>
      </c>
      <c r="U37">
        <v>633.64099999999996</v>
      </c>
      <c r="V37">
        <v>1483.308</v>
      </c>
      <c r="W37">
        <v>2629.8409999999999</v>
      </c>
      <c r="X37">
        <v>0</v>
      </c>
      <c r="Y37">
        <v>-8611.7530000000006</v>
      </c>
      <c r="Z37">
        <v>-33259.870999999999</v>
      </c>
      <c r="AA37">
        <v>15994</v>
      </c>
      <c r="AB37">
        <v>0</v>
      </c>
      <c r="AC37">
        <v>1765155</v>
      </c>
      <c r="AD37">
        <v>314413</v>
      </c>
      <c r="AE37">
        <v>5731.5626642120005</v>
      </c>
      <c r="AF37">
        <v>0</v>
      </c>
      <c r="AG37">
        <v>10979.398406116001</v>
      </c>
      <c r="AH37">
        <v>47.696241775000004</v>
      </c>
      <c r="AI37">
        <v>4020.8187788999999</v>
      </c>
      <c r="AJ37">
        <v>198.778140498</v>
      </c>
      <c r="AK37">
        <v>5405.9415308289999</v>
      </c>
      <c r="AL37">
        <v>7682.9720585590003</v>
      </c>
      <c r="AM37">
        <v>0</v>
      </c>
      <c r="AN37">
        <v>0</v>
      </c>
      <c r="AO37">
        <v>4524.3102046869999</v>
      </c>
      <c r="AP37">
        <v>26.549485851</v>
      </c>
      <c r="AQ37">
        <v>0</v>
      </c>
      <c r="AR37">
        <v>0</v>
      </c>
      <c r="AS37">
        <v>0</v>
      </c>
      <c r="AT37">
        <v>31832.400000000001</v>
      </c>
      <c r="AU37">
        <v>0</v>
      </c>
      <c r="AV37">
        <v>0</v>
      </c>
      <c r="AW37">
        <v>3937</v>
      </c>
      <c r="AX37">
        <v>0</v>
      </c>
      <c r="AY37">
        <v>0</v>
      </c>
      <c r="AZ37">
        <v>0</v>
      </c>
      <c r="BA37">
        <v>0</v>
      </c>
      <c r="BB37">
        <v>0</v>
      </c>
      <c r="BC37">
        <v>1574.115910304</v>
      </c>
      <c r="BD37">
        <v>0</v>
      </c>
      <c r="BE37">
        <v>2890.951978481</v>
      </c>
      <c r="BF37">
        <v>18.075083824</v>
      </c>
      <c r="BG37">
        <v>2391.6585045639999</v>
      </c>
      <c r="BH37">
        <v>1521.7746177199999</v>
      </c>
      <c r="BI37">
        <v>874.00334042700013</v>
      </c>
      <c r="BJ37">
        <v>1827.924762958</v>
      </c>
      <c r="BK37">
        <v>0</v>
      </c>
      <c r="BL37">
        <v>0</v>
      </c>
      <c r="BM37">
        <v>1651.7814328679999</v>
      </c>
      <c r="BN37">
        <v>3.0307164719999999</v>
      </c>
      <c r="BO37">
        <v>11345.947863746998</v>
      </c>
      <c r="BP37">
        <v>0</v>
      </c>
      <c r="BQ37">
        <v>0</v>
      </c>
      <c r="BR37">
        <v>0</v>
      </c>
      <c r="BS37">
        <v>25070</v>
      </c>
      <c r="BT37">
        <v>0</v>
      </c>
      <c r="BU37">
        <v>0</v>
      </c>
      <c r="BV37">
        <v>2130</v>
      </c>
      <c r="BW37">
        <v>0</v>
      </c>
      <c r="BX37">
        <v>0</v>
      </c>
      <c r="BY37">
        <v>0</v>
      </c>
      <c r="BZ37">
        <v>0</v>
      </c>
      <c r="CA37">
        <v>0</v>
      </c>
      <c r="CB37">
        <v>26789.999999999996</v>
      </c>
    </row>
    <row r="38" spans="2:80">
      <c r="B38">
        <v>36</v>
      </c>
      <c r="C38" s="1" t="s">
        <v>16</v>
      </c>
      <c r="D38" s="1" t="s">
        <v>16</v>
      </c>
      <c r="E38" t="s">
        <v>143</v>
      </c>
      <c r="F38" t="s">
        <v>144</v>
      </c>
      <c r="G38">
        <v>1167990</v>
      </c>
      <c r="H38">
        <v>14789094</v>
      </c>
      <c r="I38">
        <v>315037.84000000003</v>
      </c>
      <c r="J38">
        <v>174922.89</v>
      </c>
      <c r="K38">
        <v>55527.85</v>
      </c>
      <c r="L38">
        <v>186240.67</v>
      </c>
      <c r="M38">
        <v>0</v>
      </c>
      <c r="N38">
        <v>-2576.924</v>
      </c>
      <c r="O38">
        <v>-1109.172</v>
      </c>
      <c r="P38">
        <v>0</v>
      </c>
      <c r="Q38">
        <v>-1368.5840000000001</v>
      </c>
      <c r="R38">
        <v>-2817.203</v>
      </c>
      <c r="S38">
        <v>-6532.4129999999996</v>
      </c>
      <c r="T38">
        <v>1045.7539999999999</v>
      </c>
      <c r="U38">
        <v>633.64099999999996</v>
      </c>
      <c r="V38">
        <v>1483.308</v>
      </c>
      <c r="W38">
        <v>2629.8409999999999</v>
      </c>
      <c r="X38">
        <v>0</v>
      </c>
      <c r="Y38">
        <v>-8611.7530000000006</v>
      </c>
      <c r="Z38">
        <v>-20167.469000000001</v>
      </c>
      <c r="AA38">
        <v>15991</v>
      </c>
      <c r="AB38">
        <v>0</v>
      </c>
      <c r="AC38">
        <v>1821665</v>
      </c>
      <c r="AD38">
        <v>195432</v>
      </c>
      <c r="AE38">
        <v>5731.5626642120005</v>
      </c>
      <c r="AF38">
        <v>0</v>
      </c>
      <c r="AG38">
        <v>10979.398406116001</v>
      </c>
      <c r="AH38">
        <v>31.119451342000001</v>
      </c>
      <c r="AI38">
        <v>4039.4160469809999</v>
      </c>
      <c r="AJ38">
        <v>158.003399855</v>
      </c>
      <c r="AK38">
        <v>5570.0336673800002</v>
      </c>
      <c r="AL38">
        <v>8793.9787922840005</v>
      </c>
      <c r="AM38">
        <v>0</v>
      </c>
      <c r="AN38">
        <v>0</v>
      </c>
      <c r="AO38">
        <v>4524.3102046869999</v>
      </c>
      <c r="AP38">
        <v>26.549485851</v>
      </c>
      <c r="AQ38">
        <v>0</v>
      </c>
      <c r="AR38">
        <v>0</v>
      </c>
      <c r="AS38">
        <v>0</v>
      </c>
      <c r="AT38">
        <v>21345.599999999999</v>
      </c>
      <c r="AU38">
        <v>0</v>
      </c>
      <c r="AV38">
        <v>0</v>
      </c>
      <c r="AW38">
        <v>887.8</v>
      </c>
      <c r="AX38">
        <v>0</v>
      </c>
      <c r="AY38">
        <v>0</v>
      </c>
      <c r="AZ38">
        <v>0</v>
      </c>
      <c r="BA38">
        <v>0</v>
      </c>
      <c r="BB38">
        <v>0</v>
      </c>
      <c r="BC38">
        <v>1574.115910304</v>
      </c>
      <c r="BD38">
        <v>0</v>
      </c>
      <c r="BE38">
        <v>2890.951978481</v>
      </c>
      <c r="BF38">
        <v>18.023889289</v>
      </c>
      <c r="BG38">
        <v>1305.6722465780001</v>
      </c>
      <c r="BH38">
        <v>634.12281426200002</v>
      </c>
      <c r="BI38">
        <v>714.84294408100004</v>
      </c>
      <c r="BJ38">
        <v>1978.091985989</v>
      </c>
      <c r="BK38">
        <v>0</v>
      </c>
      <c r="BL38">
        <v>0</v>
      </c>
      <c r="BM38">
        <v>1651.7814328679999</v>
      </c>
      <c r="BN38">
        <v>3.0307164719999999</v>
      </c>
      <c r="BO38">
        <v>9927.5554900059997</v>
      </c>
      <c r="BP38">
        <v>0</v>
      </c>
      <c r="BQ38">
        <v>0</v>
      </c>
      <c r="BR38">
        <v>0</v>
      </c>
      <c r="BS38">
        <v>21710</v>
      </c>
      <c r="BT38">
        <v>0</v>
      </c>
      <c r="BU38">
        <v>0</v>
      </c>
      <c r="BV38">
        <v>819.99999999999989</v>
      </c>
      <c r="BW38">
        <v>0</v>
      </c>
      <c r="BX38">
        <v>0</v>
      </c>
      <c r="BY38">
        <v>0</v>
      </c>
      <c r="BZ38">
        <v>0</v>
      </c>
      <c r="CA38">
        <v>0</v>
      </c>
      <c r="CB38">
        <v>22080</v>
      </c>
    </row>
    <row r="39" spans="2:80">
      <c r="B39">
        <v>37</v>
      </c>
      <c r="C39" s="1" t="s">
        <v>16</v>
      </c>
      <c r="D39" s="1" t="s">
        <v>16</v>
      </c>
      <c r="E39" t="s">
        <v>145</v>
      </c>
      <c r="F39" t="s">
        <v>146</v>
      </c>
      <c r="G39">
        <v>1167990</v>
      </c>
      <c r="H39">
        <v>14789094</v>
      </c>
      <c r="I39">
        <v>315037.84000000003</v>
      </c>
      <c r="J39">
        <v>174922.89</v>
      </c>
      <c r="K39">
        <v>55527.85</v>
      </c>
      <c r="L39">
        <v>186240.67</v>
      </c>
      <c r="M39">
        <v>0</v>
      </c>
      <c r="N39">
        <v>-2453.6320000000001</v>
      </c>
      <c r="O39">
        <v>-1102.213</v>
      </c>
      <c r="P39">
        <v>0</v>
      </c>
      <c r="Q39">
        <v>-1368.5840000000001</v>
      </c>
      <c r="R39">
        <v>-2235.8240000000001</v>
      </c>
      <c r="S39">
        <v>-6131.7290000000003</v>
      </c>
      <c r="T39">
        <v>961.29399999999998</v>
      </c>
      <c r="U39">
        <v>543.12199999999996</v>
      </c>
      <c r="V39">
        <v>1633.018</v>
      </c>
      <c r="W39">
        <v>2314.471</v>
      </c>
      <c r="X39">
        <v>0</v>
      </c>
      <c r="Y39">
        <v>-7840.0770000000002</v>
      </c>
      <c r="Z39">
        <v>-31598.726999999999</v>
      </c>
      <c r="AA39">
        <v>15768</v>
      </c>
      <c r="AB39">
        <v>0</v>
      </c>
      <c r="AC39">
        <v>1848197</v>
      </c>
      <c r="AD39">
        <v>300448</v>
      </c>
      <c r="AE39">
        <v>7386.8492162430002</v>
      </c>
      <c r="AF39">
        <v>0</v>
      </c>
      <c r="AG39">
        <v>10979.398406116001</v>
      </c>
      <c r="AH39">
        <v>46.638221385000001</v>
      </c>
      <c r="AI39">
        <v>4106.5320823660004</v>
      </c>
      <c r="AJ39">
        <v>213.006808259</v>
      </c>
      <c r="AK39">
        <v>5402.0336813240001</v>
      </c>
      <c r="AL39">
        <v>7749.5420189040005</v>
      </c>
      <c r="AM39">
        <v>0</v>
      </c>
      <c r="AN39">
        <v>0</v>
      </c>
      <c r="AO39">
        <v>4524.3102046869999</v>
      </c>
      <c r="AP39">
        <v>26.549485851</v>
      </c>
      <c r="AQ39">
        <v>0</v>
      </c>
      <c r="AR39">
        <v>0</v>
      </c>
      <c r="AS39">
        <v>0</v>
      </c>
      <c r="AT39">
        <v>30243.7</v>
      </c>
      <c r="AU39">
        <v>0</v>
      </c>
      <c r="AV39">
        <v>0</v>
      </c>
      <c r="AW39">
        <v>3937</v>
      </c>
      <c r="AX39">
        <v>0</v>
      </c>
      <c r="AY39">
        <v>0</v>
      </c>
      <c r="AZ39">
        <v>0</v>
      </c>
      <c r="BA39">
        <v>0</v>
      </c>
      <c r="BB39">
        <v>0</v>
      </c>
      <c r="BC39">
        <v>2048.9008538319999</v>
      </c>
      <c r="BD39">
        <v>0</v>
      </c>
      <c r="BE39">
        <v>2890.951978481</v>
      </c>
      <c r="BF39">
        <v>18.037541165</v>
      </c>
      <c r="BG39">
        <v>2440.211401558</v>
      </c>
      <c r="BH39">
        <v>1515.358236</v>
      </c>
      <c r="BI39">
        <v>875.34463724399995</v>
      </c>
      <c r="BJ39">
        <v>1903.0885792450001</v>
      </c>
      <c r="BK39">
        <v>0</v>
      </c>
      <c r="BL39">
        <v>0</v>
      </c>
      <c r="BM39">
        <v>1651.7814328679999</v>
      </c>
      <c r="BN39">
        <v>3.0307164719999999</v>
      </c>
      <c r="BO39">
        <v>11997.824942747</v>
      </c>
      <c r="BP39">
        <v>0</v>
      </c>
      <c r="BQ39">
        <v>0</v>
      </c>
      <c r="BR39">
        <v>0</v>
      </c>
      <c r="BS39">
        <v>24670</v>
      </c>
      <c r="BT39">
        <v>0</v>
      </c>
      <c r="BU39">
        <v>0</v>
      </c>
      <c r="BV39">
        <v>2130</v>
      </c>
      <c r="BW39">
        <v>0</v>
      </c>
      <c r="BX39">
        <v>0</v>
      </c>
      <c r="BY39">
        <v>0</v>
      </c>
      <c r="BZ39">
        <v>0</v>
      </c>
      <c r="CA39">
        <v>0</v>
      </c>
      <c r="CB39">
        <v>26389.999999999996</v>
      </c>
    </row>
    <row r="40" spans="2:80">
      <c r="B40">
        <v>38</v>
      </c>
      <c r="C40" s="1" t="s">
        <v>16</v>
      </c>
      <c r="D40" s="1" t="s">
        <v>16</v>
      </c>
      <c r="E40" t="s">
        <v>147</v>
      </c>
      <c r="F40" t="s">
        <v>148</v>
      </c>
      <c r="G40">
        <v>1167990</v>
      </c>
      <c r="H40">
        <v>14789094</v>
      </c>
      <c r="I40">
        <v>315037.84000000003</v>
      </c>
      <c r="J40">
        <v>174922.89</v>
      </c>
      <c r="K40">
        <v>55527.85</v>
      </c>
      <c r="L40">
        <v>186240.67</v>
      </c>
      <c r="M40">
        <v>0</v>
      </c>
      <c r="N40">
        <v>-2453.6320000000001</v>
      </c>
      <c r="O40">
        <v>-1102.213</v>
      </c>
      <c r="P40">
        <v>0</v>
      </c>
      <c r="Q40">
        <v>-1368.5840000000001</v>
      </c>
      <c r="R40">
        <v>-2235.8240000000001</v>
      </c>
      <c r="S40">
        <v>-6131.7290000000003</v>
      </c>
      <c r="T40">
        <v>961.29399999999998</v>
      </c>
      <c r="U40">
        <v>543.12199999999996</v>
      </c>
      <c r="V40">
        <v>1633.018</v>
      </c>
      <c r="W40">
        <v>2314.471</v>
      </c>
      <c r="X40">
        <v>0</v>
      </c>
      <c r="Y40">
        <v>-7840.0770000000002</v>
      </c>
      <c r="Z40">
        <v>-18510.388999999999</v>
      </c>
      <c r="AA40">
        <v>15766</v>
      </c>
      <c r="AB40">
        <v>0</v>
      </c>
      <c r="AC40">
        <v>1904405</v>
      </c>
      <c r="AD40">
        <v>180585</v>
      </c>
      <c r="AE40">
        <v>7386.8492162430002</v>
      </c>
      <c r="AF40">
        <v>0</v>
      </c>
      <c r="AG40">
        <v>10979.398406116001</v>
      </c>
      <c r="AH40">
        <v>28.624571003</v>
      </c>
      <c r="AI40">
        <v>4121.6208183150002</v>
      </c>
      <c r="AJ40">
        <v>172.46414950799999</v>
      </c>
      <c r="AK40">
        <v>5564.4363982200002</v>
      </c>
      <c r="AL40">
        <v>8860.3064318300003</v>
      </c>
      <c r="AM40">
        <v>0</v>
      </c>
      <c r="AN40">
        <v>0</v>
      </c>
      <c r="AO40">
        <v>4524.3102046869999</v>
      </c>
      <c r="AP40">
        <v>26.549485851</v>
      </c>
      <c r="AQ40">
        <v>0</v>
      </c>
      <c r="AR40">
        <v>0</v>
      </c>
      <c r="AS40">
        <v>0</v>
      </c>
      <c r="AT40">
        <v>19656.5</v>
      </c>
      <c r="AU40">
        <v>0</v>
      </c>
      <c r="AV40">
        <v>0</v>
      </c>
      <c r="AW40">
        <v>887.8</v>
      </c>
      <c r="AX40">
        <v>0</v>
      </c>
      <c r="AY40">
        <v>0</v>
      </c>
      <c r="AZ40">
        <v>0</v>
      </c>
      <c r="BA40">
        <v>0</v>
      </c>
      <c r="BB40">
        <v>0</v>
      </c>
      <c r="BC40">
        <v>2048.9008538319999</v>
      </c>
      <c r="BD40">
        <v>0</v>
      </c>
      <c r="BE40">
        <v>2890.951978481</v>
      </c>
      <c r="BF40">
        <v>18.027302257999999</v>
      </c>
      <c r="BG40">
        <v>1361.3445969060001</v>
      </c>
      <c r="BH40">
        <v>695.63475454899992</v>
      </c>
      <c r="BI40">
        <v>714.16035028099998</v>
      </c>
      <c r="BJ40">
        <v>2053.6585326179998</v>
      </c>
      <c r="BK40">
        <v>0</v>
      </c>
      <c r="BL40">
        <v>0</v>
      </c>
      <c r="BM40">
        <v>1651.7814328679999</v>
      </c>
      <c r="BN40">
        <v>3.0307164719999999</v>
      </c>
      <c r="BO40">
        <v>10586.494001866999</v>
      </c>
      <c r="BP40">
        <v>0</v>
      </c>
      <c r="BQ40">
        <v>0</v>
      </c>
      <c r="BR40">
        <v>0</v>
      </c>
      <c r="BS40">
        <v>21280</v>
      </c>
      <c r="BT40">
        <v>0</v>
      </c>
      <c r="BU40">
        <v>0</v>
      </c>
      <c r="BV40">
        <v>819.99999999999989</v>
      </c>
      <c r="BW40">
        <v>0</v>
      </c>
      <c r="BX40">
        <v>0</v>
      </c>
      <c r="BY40">
        <v>0</v>
      </c>
      <c r="BZ40">
        <v>0</v>
      </c>
      <c r="CA40">
        <v>0</v>
      </c>
      <c r="CB40">
        <v>21640</v>
      </c>
    </row>
    <row r="41" spans="2:80">
      <c r="B41">
        <v>39</v>
      </c>
      <c r="C41" s="1" t="s">
        <v>16</v>
      </c>
      <c r="D41" s="1" t="s">
        <v>16</v>
      </c>
      <c r="E41" t="s">
        <v>149</v>
      </c>
      <c r="F41" t="s">
        <v>150</v>
      </c>
      <c r="G41">
        <v>1167990</v>
      </c>
      <c r="H41">
        <v>14789094</v>
      </c>
      <c r="I41">
        <v>315037.84000000003</v>
      </c>
      <c r="J41">
        <v>174922.89</v>
      </c>
      <c r="K41">
        <v>55527.85</v>
      </c>
      <c r="L41">
        <v>186240.67</v>
      </c>
      <c r="M41">
        <v>0</v>
      </c>
      <c r="N41">
        <v>-2537.2310000000002</v>
      </c>
      <c r="O41">
        <v>-1105.2550000000001</v>
      </c>
      <c r="P41">
        <v>0</v>
      </c>
      <c r="Q41">
        <v>-1368.5840000000001</v>
      </c>
      <c r="R41">
        <v>-2328.2020000000002</v>
      </c>
      <c r="S41">
        <v>-6398.4939999999997</v>
      </c>
      <c r="T41">
        <v>1015.841</v>
      </c>
      <c r="U41">
        <v>601.01400000000001</v>
      </c>
      <c r="V41">
        <v>1424.3969999999999</v>
      </c>
      <c r="W41">
        <v>2518.7979999999998</v>
      </c>
      <c r="X41">
        <v>0</v>
      </c>
      <c r="Y41">
        <v>-8177.7139999999999</v>
      </c>
      <c r="Z41">
        <v>-32512.616999999998</v>
      </c>
      <c r="AA41">
        <v>15846</v>
      </c>
      <c r="AB41">
        <v>0</v>
      </c>
      <c r="AC41">
        <v>1765722</v>
      </c>
      <c r="AD41">
        <v>308219</v>
      </c>
      <c r="AE41">
        <v>5731.5626642120005</v>
      </c>
      <c r="AF41">
        <v>0</v>
      </c>
      <c r="AG41">
        <v>10979.398406116001</v>
      </c>
      <c r="AH41">
        <v>47.392487534000004</v>
      </c>
      <c r="AI41">
        <v>4024.4126352570001</v>
      </c>
      <c r="AJ41">
        <v>200.17063185000001</v>
      </c>
      <c r="AK41">
        <v>5404.8289029349999</v>
      </c>
      <c r="AL41">
        <v>7691.8082353</v>
      </c>
      <c r="AM41">
        <v>0</v>
      </c>
      <c r="AN41">
        <v>0</v>
      </c>
      <c r="AO41">
        <v>4524.3102046869999</v>
      </c>
      <c r="AP41">
        <v>26.549485851</v>
      </c>
      <c r="AQ41">
        <v>0</v>
      </c>
      <c r="AR41">
        <v>0</v>
      </c>
      <c r="AS41">
        <v>0</v>
      </c>
      <c r="AT41">
        <v>31127.7</v>
      </c>
      <c r="AU41">
        <v>0</v>
      </c>
      <c r="AV41">
        <v>0</v>
      </c>
      <c r="AW41">
        <v>3937</v>
      </c>
      <c r="AX41">
        <v>0</v>
      </c>
      <c r="AY41">
        <v>0</v>
      </c>
      <c r="AZ41">
        <v>0</v>
      </c>
      <c r="BA41">
        <v>0</v>
      </c>
      <c r="BB41">
        <v>0</v>
      </c>
      <c r="BC41">
        <v>1574.115910304</v>
      </c>
      <c r="BD41">
        <v>0</v>
      </c>
      <c r="BE41">
        <v>2890.951978481</v>
      </c>
      <c r="BF41">
        <v>18.034128195999998</v>
      </c>
      <c r="BG41">
        <v>2378.5390517280002</v>
      </c>
      <c r="BH41">
        <v>1503.7950970280001</v>
      </c>
      <c r="BI41">
        <v>873.21494458799998</v>
      </c>
      <c r="BJ41">
        <v>1832.6551379919999</v>
      </c>
      <c r="BK41">
        <v>0</v>
      </c>
      <c r="BL41">
        <v>0</v>
      </c>
      <c r="BM41">
        <v>1651.7814328679999</v>
      </c>
      <c r="BN41">
        <v>3.0307164719999999</v>
      </c>
      <c r="BO41">
        <v>11337.647523139</v>
      </c>
      <c r="BP41">
        <v>0</v>
      </c>
      <c r="BQ41">
        <v>0</v>
      </c>
      <c r="BR41">
        <v>0</v>
      </c>
      <c r="BS41">
        <v>24760</v>
      </c>
      <c r="BT41">
        <v>0</v>
      </c>
      <c r="BU41">
        <v>0</v>
      </c>
      <c r="BV41">
        <v>2130</v>
      </c>
      <c r="BW41">
        <v>0</v>
      </c>
      <c r="BX41">
        <v>0</v>
      </c>
      <c r="BY41">
        <v>0</v>
      </c>
      <c r="BZ41">
        <v>0</v>
      </c>
      <c r="CA41">
        <v>0</v>
      </c>
      <c r="CB41">
        <v>26480</v>
      </c>
    </row>
    <row r="42" spans="2:80">
      <c r="B42">
        <v>40</v>
      </c>
      <c r="C42" s="1" t="s">
        <v>16</v>
      </c>
      <c r="D42" s="1" t="s">
        <v>16</v>
      </c>
      <c r="E42" t="s">
        <v>151</v>
      </c>
      <c r="F42" t="s">
        <v>152</v>
      </c>
      <c r="G42">
        <v>1167990</v>
      </c>
      <c r="H42">
        <v>14789094</v>
      </c>
      <c r="I42">
        <v>315037.84000000003</v>
      </c>
      <c r="J42">
        <v>174922.89</v>
      </c>
      <c r="K42">
        <v>55527.85</v>
      </c>
      <c r="L42">
        <v>186240.67</v>
      </c>
      <c r="M42">
        <v>0</v>
      </c>
      <c r="N42">
        <v>-2537.2310000000002</v>
      </c>
      <c r="O42">
        <v>-1105.2550000000001</v>
      </c>
      <c r="P42">
        <v>0</v>
      </c>
      <c r="Q42">
        <v>-1368.5840000000001</v>
      </c>
      <c r="R42">
        <v>-2328.2020000000002</v>
      </c>
      <c r="S42">
        <v>-6398.4939999999997</v>
      </c>
      <c r="T42">
        <v>1015.841</v>
      </c>
      <c r="U42">
        <v>601.01400000000001</v>
      </c>
      <c r="V42">
        <v>1424.3969999999999</v>
      </c>
      <c r="W42">
        <v>2518.7979999999998</v>
      </c>
      <c r="X42">
        <v>0</v>
      </c>
      <c r="Y42">
        <v>-8177.7139999999999</v>
      </c>
      <c r="Z42">
        <v>-19421.285</v>
      </c>
      <c r="AA42">
        <v>15845</v>
      </c>
      <c r="AB42">
        <v>0</v>
      </c>
      <c r="AC42">
        <v>1822226</v>
      </c>
      <c r="AD42">
        <v>188976</v>
      </c>
      <c r="AE42">
        <v>5731.5626642120005</v>
      </c>
      <c r="AF42">
        <v>0</v>
      </c>
      <c r="AG42">
        <v>10979.398406116001</v>
      </c>
      <c r="AH42">
        <v>30.225253464000001</v>
      </c>
      <c r="AI42">
        <v>4044.2931796820003</v>
      </c>
      <c r="AJ42">
        <v>159.44025980399999</v>
      </c>
      <c r="AK42">
        <v>5568.3203569420002</v>
      </c>
      <c r="AL42">
        <v>8802.5316925980005</v>
      </c>
      <c r="AM42">
        <v>0</v>
      </c>
      <c r="AN42">
        <v>0</v>
      </c>
      <c r="AO42">
        <v>4524.3102046869999</v>
      </c>
      <c r="AP42">
        <v>26.549485851</v>
      </c>
      <c r="AQ42">
        <v>0</v>
      </c>
      <c r="AR42">
        <v>0</v>
      </c>
      <c r="AS42">
        <v>0</v>
      </c>
      <c r="AT42">
        <v>20611.2</v>
      </c>
      <c r="AU42">
        <v>0</v>
      </c>
      <c r="AV42">
        <v>0</v>
      </c>
      <c r="AW42">
        <v>887.8</v>
      </c>
      <c r="AX42">
        <v>0</v>
      </c>
      <c r="AY42">
        <v>0</v>
      </c>
      <c r="AZ42">
        <v>0</v>
      </c>
      <c r="BA42">
        <v>0</v>
      </c>
      <c r="BB42">
        <v>0</v>
      </c>
      <c r="BC42">
        <v>1574.115910304</v>
      </c>
      <c r="BD42">
        <v>0</v>
      </c>
      <c r="BE42">
        <v>2890.951978481</v>
      </c>
      <c r="BF42">
        <v>18.047780072000002</v>
      </c>
      <c r="BG42">
        <v>1291.9111555699999</v>
      </c>
      <c r="BH42">
        <v>623.13988002000008</v>
      </c>
      <c r="BI42">
        <v>714.0955038699999</v>
      </c>
      <c r="BJ42">
        <v>1982.836012899</v>
      </c>
      <c r="BK42">
        <v>0</v>
      </c>
      <c r="BL42">
        <v>0</v>
      </c>
      <c r="BM42">
        <v>1651.7814328679999</v>
      </c>
      <c r="BN42">
        <v>3.0307164719999999</v>
      </c>
      <c r="BO42">
        <v>9918.8182893659996</v>
      </c>
      <c r="BP42">
        <v>0</v>
      </c>
      <c r="BQ42">
        <v>0</v>
      </c>
      <c r="BR42">
        <v>0</v>
      </c>
      <c r="BS42">
        <v>21370</v>
      </c>
      <c r="BT42">
        <v>0</v>
      </c>
      <c r="BU42">
        <v>0</v>
      </c>
      <c r="BV42">
        <v>819.99999999999989</v>
      </c>
      <c r="BW42">
        <v>0</v>
      </c>
      <c r="BX42">
        <v>0</v>
      </c>
      <c r="BY42">
        <v>0</v>
      </c>
      <c r="BZ42">
        <v>0</v>
      </c>
      <c r="CA42">
        <v>0</v>
      </c>
      <c r="CB42">
        <v>21740</v>
      </c>
    </row>
    <row r="43" spans="2:80">
      <c r="B43">
        <v>41</v>
      </c>
      <c r="C43" s="1" t="s">
        <v>16</v>
      </c>
      <c r="D43" s="1" t="s">
        <v>16</v>
      </c>
      <c r="E43" t="s">
        <v>153</v>
      </c>
      <c r="F43" t="s">
        <v>154</v>
      </c>
      <c r="G43">
        <v>1167990</v>
      </c>
      <c r="H43">
        <v>14789094</v>
      </c>
      <c r="I43">
        <v>315037.84000000003</v>
      </c>
      <c r="J43">
        <v>174922.89</v>
      </c>
      <c r="K43">
        <v>55527.85</v>
      </c>
      <c r="L43">
        <v>186240.67</v>
      </c>
      <c r="M43">
        <v>0</v>
      </c>
      <c r="N43">
        <v>-2379.674</v>
      </c>
      <c r="O43">
        <v>-1103.6079999999999</v>
      </c>
      <c r="P43">
        <v>0</v>
      </c>
      <c r="Q43">
        <v>-1368.5840000000001</v>
      </c>
      <c r="R43">
        <v>-2542.453</v>
      </c>
      <c r="S43">
        <v>-4809.7079999999996</v>
      </c>
      <c r="T43">
        <v>875.35299999999995</v>
      </c>
      <c r="U43">
        <v>499.18099999999998</v>
      </c>
      <c r="V43">
        <v>1514.865</v>
      </c>
      <c r="W43">
        <v>2137.203</v>
      </c>
      <c r="X43">
        <v>0</v>
      </c>
      <c r="Y43">
        <v>-7177.4250000000002</v>
      </c>
      <c r="Z43">
        <v>-30867.963</v>
      </c>
      <c r="AA43">
        <v>15784</v>
      </c>
      <c r="AB43">
        <v>0</v>
      </c>
      <c r="AC43">
        <v>1849343</v>
      </c>
      <c r="AD43">
        <v>294493</v>
      </c>
      <c r="AE43">
        <v>7386.8492162430002</v>
      </c>
      <c r="AF43">
        <v>0</v>
      </c>
      <c r="AG43">
        <v>10979.398406116001</v>
      </c>
      <c r="AH43">
        <v>46.48463778</v>
      </c>
      <c r="AI43">
        <v>4119.1122861000003</v>
      </c>
      <c r="AJ43">
        <v>216.42660319699999</v>
      </c>
      <c r="AK43">
        <v>5401.078050004</v>
      </c>
      <c r="AL43">
        <v>7759.7331443379999</v>
      </c>
      <c r="AM43">
        <v>0</v>
      </c>
      <c r="AN43">
        <v>0</v>
      </c>
      <c r="AO43">
        <v>4524.3102046869999</v>
      </c>
      <c r="AP43">
        <v>26.549485851</v>
      </c>
      <c r="AQ43">
        <v>0</v>
      </c>
      <c r="AR43">
        <v>0</v>
      </c>
      <c r="AS43">
        <v>0</v>
      </c>
      <c r="AT43">
        <v>29566.2</v>
      </c>
      <c r="AU43">
        <v>0</v>
      </c>
      <c r="AV43">
        <v>0</v>
      </c>
      <c r="AW43">
        <v>3937</v>
      </c>
      <c r="AX43">
        <v>0</v>
      </c>
      <c r="AY43">
        <v>0</v>
      </c>
      <c r="AZ43">
        <v>0</v>
      </c>
      <c r="BA43">
        <v>0</v>
      </c>
      <c r="BB43">
        <v>0</v>
      </c>
      <c r="BC43">
        <v>2048.9008538319999</v>
      </c>
      <c r="BD43">
        <v>0</v>
      </c>
      <c r="BE43">
        <v>2890.951978481</v>
      </c>
      <c r="BF43">
        <v>18.034128195999998</v>
      </c>
      <c r="BG43">
        <v>2456.2216391369998</v>
      </c>
      <c r="BH43">
        <v>1515.358236</v>
      </c>
      <c r="BI43">
        <v>876.27637778100006</v>
      </c>
      <c r="BJ43">
        <v>1911.6312406519999</v>
      </c>
      <c r="BK43">
        <v>0</v>
      </c>
      <c r="BL43">
        <v>0</v>
      </c>
      <c r="BM43">
        <v>1651.7814328679999</v>
      </c>
      <c r="BN43">
        <v>3.0307164719999999</v>
      </c>
      <c r="BO43">
        <v>12041.456338443</v>
      </c>
      <c r="BP43">
        <v>0</v>
      </c>
      <c r="BQ43">
        <v>0</v>
      </c>
      <c r="BR43">
        <v>0</v>
      </c>
      <c r="BS43">
        <v>24340</v>
      </c>
      <c r="BT43">
        <v>0</v>
      </c>
      <c r="BU43">
        <v>0</v>
      </c>
      <c r="BV43">
        <v>2130</v>
      </c>
      <c r="BW43">
        <v>0</v>
      </c>
      <c r="BX43">
        <v>0</v>
      </c>
      <c r="BY43">
        <v>0</v>
      </c>
      <c r="BZ43">
        <v>0</v>
      </c>
      <c r="CA43">
        <v>0</v>
      </c>
      <c r="CB43">
        <v>26060.000000000004</v>
      </c>
    </row>
    <row r="44" spans="2:80">
      <c r="B44">
        <v>42</v>
      </c>
      <c r="C44" s="1" t="s">
        <v>16</v>
      </c>
      <c r="D44" s="1" t="s">
        <v>16</v>
      </c>
      <c r="E44" t="s">
        <v>155</v>
      </c>
      <c r="F44" t="s">
        <v>156</v>
      </c>
      <c r="G44">
        <v>1167990</v>
      </c>
      <c r="H44">
        <v>14789094</v>
      </c>
      <c r="I44">
        <v>315037.84000000003</v>
      </c>
      <c r="J44">
        <v>174922.89</v>
      </c>
      <c r="K44">
        <v>55527.85</v>
      </c>
      <c r="L44">
        <v>186240.67</v>
      </c>
      <c r="M44">
        <v>0</v>
      </c>
      <c r="N44">
        <v>-2379.674</v>
      </c>
      <c r="O44">
        <v>-1103.6079999999999</v>
      </c>
      <c r="P44">
        <v>0</v>
      </c>
      <c r="Q44">
        <v>-1368.5840000000001</v>
      </c>
      <c r="R44">
        <v>-2542.453</v>
      </c>
      <c r="S44">
        <v>-4809.7079999999996</v>
      </c>
      <c r="T44">
        <v>875.35299999999995</v>
      </c>
      <c r="U44">
        <v>499.18099999999998</v>
      </c>
      <c r="V44">
        <v>1514.865</v>
      </c>
      <c r="W44">
        <v>2137.203</v>
      </c>
      <c r="X44">
        <v>0</v>
      </c>
      <c r="Y44">
        <v>-7177.4250000000002</v>
      </c>
      <c r="Z44">
        <v>-17781.289000000001</v>
      </c>
      <c r="AA44">
        <v>15781</v>
      </c>
      <c r="AB44">
        <v>0</v>
      </c>
      <c r="AC44">
        <v>1905412</v>
      </c>
      <c r="AD44">
        <v>174154</v>
      </c>
      <c r="AE44">
        <v>7386.8492162430002</v>
      </c>
      <c r="AF44">
        <v>0</v>
      </c>
      <c r="AG44">
        <v>10979.398406116001</v>
      </c>
      <c r="AH44">
        <v>27.709895311</v>
      </c>
      <c r="AI44">
        <v>4133.1430016590002</v>
      </c>
      <c r="AJ44">
        <v>175.402715817</v>
      </c>
      <c r="AK44">
        <v>5562.811824976</v>
      </c>
      <c r="AL44">
        <v>8870.4122330390001</v>
      </c>
      <c r="AM44">
        <v>0</v>
      </c>
      <c r="AN44">
        <v>0</v>
      </c>
      <c r="AO44">
        <v>4524.3102046869999</v>
      </c>
      <c r="AP44">
        <v>26.549485851</v>
      </c>
      <c r="AQ44">
        <v>0</v>
      </c>
      <c r="AR44">
        <v>0</v>
      </c>
      <c r="AS44">
        <v>0</v>
      </c>
      <c r="AT44">
        <v>18924.900000000001</v>
      </c>
      <c r="AU44">
        <v>0</v>
      </c>
      <c r="AV44">
        <v>0</v>
      </c>
      <c r="AW44">
        <v>887.8</v>
      </c>
      <c r="AX44">
        <v>0</v>
      </c>
      <c r="AY44">
        <v>0</v>
      </c>
      <c r="AZ44">
        <v>0</v>
      </c>
      <c r="BA44">
        <v>0</v>
      </c>
      <c r="BB44">
        <v>0</v>
      </c>
      <c r="BC44">
        <v>2048.9008538319999</v>
      </c>
      <c r="BD44">
        <v>0</v>
      </c>
      <c r="BE44">
        <v>2890.951978481</v>
      </c>
      <c r="BF44">
        <v>18.047780072000002</v>
      </c>
      <c r="BG44">
        <v>1377.631284974</v>
      </c>
      <c r="BH44">
        <v>725.04089545300008</v>
      </c>
      <c r="BI44">
        <v>715.38560615200004</v>
      </c>
      <c r="BJ44">
        <v>2062.2694534050001</v>
      </c>
      <c r="BK44">
        <v>0</v>
      </c>
      <c r="BL44">
        <v>0</v>
      </c>
      <c r="BM44">
        <v>1651.7814328679999</v>
      </c>
      <c r="BN44">
        <v>3.0307164719999999</v>
      </c>
      <c r="BO44">
        <v>10632.801165258999</v>
      </c>
      <c r="BP44">
        <v>0</v>
      </c>
      <c r="BQ44">
        <v>0</v>
      </c>
      <c r="BR44">
        <v>0</v>
      </c>
      <c r="BS44">
        <v>20920</v>
      </c>
      <c r="BT44">
        <v>0</v>
      </c>
      <c r="BU44">
        <v>0</v>
      </c>
      <c r="BV44">
        <v>819.99999999999989</v>
      </c>
      <c r="BW44">
        <v>0</v>
      </c>
      <c r="BX44">
        <v>0</v>
      </c>
      <c r="BY44">
        <v>0</v>
      </c>
      <c r="BZ44">
        <v>0</v>
      </c>
      <c r="CA44">
        <v>0</v>
      </c>
      <c r="CB44">
        <v>21290</v>
      </c>
    </row>
    <row r="45" spans="2:80">
      <c r="B45">
        <v>43</v>
      </c>
      <c r="C45" s="1" t="s">
        <v>16</v>
      </c>
      <c r="D45" s="1" t="s">
        <v>16</v>
      </c>
      <c r="E45" t="s">
        <v>157</v>
      </c>
      <c r="F45" t="s">
        <v>158</v>
      </c>
      <c r="G45">
        <v>1167990</v>
      </c>
      <c r="H45">
        <v>14789094</v>
      </c>
      <c r="I45">
        <v>315037.84000000003</v>
      </c>
      <c r="J45">
        <v>174922.89</v>
      </c>
      <c r="K45">
        <v>55527.85</v>
      </c>
      <c r="L45">
        <v>186240.67</v>
      </c>
      <c r="M45">
        <v>0</v>
      </c>
      <c r="N45">
        <v>-2466.0259999999998</v>
      </c>
      <c r="O45">
        <v>-1106.7739999999999</v>
      </c>
      <c r="P45">
        <v>0</v>
      </c>
      <c r="Q45">
        <v>-1368.5840000000001</v>
      </c>
      <c r="R45">
        <v>-2650.19</v>
      </c>
      <c r="S45">
        <v>-5027.2510000000002</v>
      </c>
      <c r="T45">
        <v>925.34500000000003</v>
      </c>
      <c r="U45">
        <v>554.59400000000005</v>
      </c>
      <c r="V45">
        <v>1328.4010000000001</v>
      </c>
      <c r="W45">
        <v>2325.7550000000001</v>
      </c>
      <c r="X45">
        <v>0</v>
      </c>
      <c r="Y45">
        <v>-7484.73</v>
      </c>
      <c r="Z45">
        <v>-31757.905999999999</v>
      </c>
      <c r="AA45">
        <v>15856</v>
      </c>
      <c r="AB45">
        <v>0</v>
      </c>
      <c r="AC45">
        <v>1766714</v>
      </c>
      <c r="AD45">
        <v>301968</v>
      </c>
      <c r="AE45">
        <v>5731.5626642120005</v>
      </c>
      <c r="AF45">
        <v>0</v>
      </c>
      <c r="AG45">
        <v>10979.398406116001</v>
      </c>
      <c r="AH45">
        <v>47.064842509999998</v>
      </c>
      <c r="AI45">
        <v>4035.1907913590003</v>
      </c>
      <c r="AJ45">
        <v>203.45732099700001</v>
      </c>
      <c r="AK45">
        <v>5403.4091078310003</v>
      </c>
      <c r="AL45">
        <v>7701.1904870810004</v>
      </c>
      <c r="AM45">
        <v>0</v>
      </c>
      <c r="AN45">
        <v>0</v>
      </c>
      <c r="AO45">
        <v>4524.3102046869999</v>
      </c>
      <c r="AP45">
        <v>26.549485851</v>
      </c>
      <c r="AQ45">
        <v>0</v>
      </c>
      <c r="AR45">
        <v>0</v>
      </c>
      <c r="AS45">
        <v>0</v>
      </c>
      <c r="AT45">
        <v>30416.6</v>
      </c>
      <c r="AU45">
        <v>0</v>
      </c>
      <c r="AV45">
        <v>0</v>
      </c>
      <c r="AW45">
        <v>3937</v>
      </c>
      <c r="AX45">
        <v>0</v>
      </c>
      <c r="AY45">
        <v>0</v>
      </c>
      <c r="AZ45">
        <v>0</v>
      </c>
      <c r="BA45">
        <v>0</v>
      </c>
      <c r="BB45">
        <v>0</v>
      </c>
      <c r="BC45">
        <v>1574.115910304</v>
      </c>
      <c r="BD45">
        <v>0</v>
      </c>
      <c r="BE45">
        <v>2890.951978481</v>
      </c>
      <c r="BF45">
        <v>18.088735699999997</v>
      </c>
      <c r="BG45">
        <v>2393.3513371879999</v>
      </c>
      <c r="BH45">
        <v>1523.907723345</v>
      </c>
      <c r="BI45">
        <v>874.09890355899995</v>
      </c>
      <c r="BJ45">
        <v>1840.904284065</v>
      </c>
      <c r="BK45">
        <v>0</v>
      </c>
      <c r="BL45">
        <v>0</v>
      </c>
      <c r="BM45">
        <v>1651.7814328679999</v>
      </c>
      <c r="BN45">
        <v>3.0307164719999999</v>
      </c>
      <c r="BO45">
        <v>11377.729431075</v>
      </c>
      <c r="BP45">
        <v>0</v>
      </c>
      <c r="BQ45">
        <v>0</v>
      </c>
      <c r="BR45">
        <v>0</v>
      </c>
      <c r="BS45">
        <v>24430</v>
      </c>
      <c r="BT45">
        <v>0</v>
      </c>
      <c r="BU45">
        <v>0</v>
      </c>
      <c r="BV45">
        <v>2130</v>
      </c>
      <c r="BW45">
        <v>0</v>
      </c>
      <c r="BX45">
        <v>0</v>
      </c>
      <c r="BY45">
        <v>0</v>
      </c>
      <c r="BZ45">
        <v>0</v>
      </c>
      <c r="CA45">
        <v>0</v>
      </c>
      <c r="CB45">
        <v>26160.000000000004</v>
      </c>
    </row>
    <row r="46" spans="2:80">
      <c r="B46">
        <v>44</v>
      </c>
      <c r="C46" s="1" t="s">
        <v>16</v>
      </c>
      <c r="D46" s="1" t="s">
        <v>16</v>
      </c>
      <c r="E46" t="s">
        <v>159</v>
      </c>
      <c r="F46" t="s">
        <v>160</v>
      </c>
      <c r="G46">
        <v>1167990</v>
      </c>
      <c r="H46">
        <v>14789094</v>
      </c>
      <c r="I46">
        <v>315037.84000000003</v>
      </c>
      <c r="J46">
        <v>174922.89</v>
      </c>
      <c r="K46">
        <v>55527.85</v>
      </c>
      <c r="L46">
        <v>186240.67</v>
      </c>
      <c r="M46">
        <v>0</v>
      </c>
      <c r="N46">
        <v>-2466.0259999999998</v>
      </c>
      <c r="O46">
        <v>-1106.7739999999999</v>
      </c>
      <c r="P46">
        <v>0</v>
      </c>
      <c r="Q46">
        <v>-1368.5840000000001</v>
      </c>
      <c r="R46">
        <v>-2650.19</v>
      </c>
      <c r="S46">
        <v>-5027.2510000000002</v>
      </c>
      <c r="T46">
        <v>925.34500000000003</v>
      </c>
      <c r="U46">
        <v>554.59400000000005</v>
      </c>
      <c r="V46">
        <v>1328.4010000000001</v>
      </c>
      <c r="W46">
        <v>2325.7550000000001</v>
      </c>
      <c r="X46">
        <v>0</v>
      </c>
      <c r="Y46">
        <v>-7484.73</v>
      </c>
      <c r="Z46">
        <v>-18667.866999999998</v>
      </c>
      <c r="AA46">
        <v>15854</v>
      </c>
      <c r="AB46">
        <v>0</v>
      </c>
      <c r="AC46">
        <v>1823108</v>
      </c>
      <c r="AD46">
        <v>182290</v>
      </c>
      <c r="AE46">
        <v>5731.5626642120005</v>
      </c>
      <c r="AF46">
        <v>0</v>
      </c>
      <c r="AG46">
        <v>10979.398406116001</v>
      </c>
      <c r="AH46">
        <v>29.334468555000001</v>
      </c>
      <c r="AI46">
        <v>4054.8870354579999</v>
      </c>
      <c r="AJ46">
        <v>161.52899683199999</v>
      </c>
      <c r="AK46">
        <v>5566.4671147750005</v>
      </c>
      <c r="AL46">
        <v>8811.9037054720011</v>
      </c>
      <c r="AM46">
        <v>0</v>
      </c>
      <c r="AN46">
        <v>0</v>
      </c>
      <c r="AO46">
        <v>4524.3102046869999</v>
      </c>
      <c r="AP46">
        <v>26.549485851</v>
      </c>
      <c r="AQ46">
        <v>0</v>
      </c>
      <c r="AR46">
        <v>0</v>
      </c>
      <c r="AS46">
        <v>0</v>
      </c>
      <c r="AT46">
        <v>19850.400000000001</v>
      </c>
      <c r="AU46">
        <v>0</v>
      </c>
      <c r="AV46">
        <v>0</v>
      </c>
      <c r="AW46">
        <v>887.8</v>
      </c>
      <c r="AX46">
        <v>0</v>
      </c>
      <c r="AY46">
        <v>0</v>
      </c>
      <c r="AZ46">
        <v>0</v>
      </c>
      <c r="BA46">
        <v>0</v>
      </c>
      <c r="BB46">
        <v>0</v>
      </c>
      <c r="BC46">
        <v>1574.115910304</v>
      </c>
      <c r="BD46">
        <v>0</v>
      </c>
      <c r="BE46">
        <v>2890.951978481</v>
      </c>
      <c r="BF46">
        <v>18.037541165</v>
      </c>
      <c r="BG46">
        <v>1307.4674682720001</v>
      </c>
      <c r="BH46">
        <v>636.81223383400004</v>
      </c>
      <c r="BI46">
        <v>713.60403633400006</v>
      </c>
      <c r="BJ46">
        <v>1991.1295275689997</v>
      </c>
      <c r="BK46">
        <v>0</v>
      </c>
      <c r="BL46">
        <v>0</v>
      </c>
      <c r="BM46">
        <v>1651.7814328679999</v>
      </c>
      <c r="BN46">
        <v>3.0307164719999999</v>
      </c>
      <c r="BO46">
        <v>9960.6783541509994</v>
      </c>
      <c r="BP46">
        <v>0</v>
      </c>
      <c r="BQ46">
        <v>0</v>
      </c>
      <c r="BR46">
        <v>0</v>
      </c>
      <c r="BS46">
        <v>21030</v>
      </c>
      <c r="BT46">
        <v>0</v>
      </c>
      <c r="BU46">
        <v>0</v>
      </c>
      <c r="BV46">
        <v>819.99999999999989</v>
      </c>
      <c r="BW46">
        <v>0</v>
      </c>
      <c r="BX46">
        <v>0</v>
      </c>
      <c r="BY46">
        <v>0</v>
      </c>
      <c r="BZ46">
        <v>0</v>
      </c>
      <c r="CA46">
        <v>0</v>
      </c>
      <c r="CB46">
        <v>21400</v>
      </c>
    </row>
    <row r="47" spans="2:80">
      <c r="B47">
        <v>45</v>
      </c>
      <c r="C47" s="1" t="s">
        <v>16</v>
      </c>
      <c r="D47" s="1" t="s">
        <v>16</v>
      </c>
      <c r="E47" t="s">
        <v>161</v>
      </c>
      <c r="F47" t="s">
        <v>162</v>
      </c>
      <c r="G47">
        <v>1167990</v>
      </c>
      <c r="H47">
        <v>14789094</v>
      </c>
      <c r="I47">
        <v>315037.84000000003</v>
      </c>
      <c r="J47">
        <v>174922.89</v>
      </c>
      <c r="K47">
        <v>55527.85</v>
      </c>
      <c r="L47">
        <v>186240.67</v>
      </c>
      <c r="M47">
        <v>0</v>
      </c>
      <c r="N47">
        <v>-2340.7199999999998</v>
      </c>
      <c r="O47">
        <v>-1099.367</v>
      </c>
      <c r="P47">
        <v>0</v>
      </c>
      <c r="Q47">
        <v>-1368.5840000000001</v>
      </c>
      <c r="R47">
        <v>-2093.9549999999999</v>
      </c>
      <c r="S47">
        <v>-4702.7610000000004</v>
      </c>
      <c r="T47">
        <v>846.96799999999996</v>
      </c>
      <c r="U47">
        <v>474.036</v>
      </c>
      <c r="V47">
        <v>1453.5070000000001</v>
      </c>
      <c r="W47">
        <v>2047.615</v>
      </c>
      <c r="X47">
        <v>0</v>
      </c>
      <c r="Y47">
        <v>-6783.2619999999997</v>
      </c>
      <c r="Z47">
        <v>-30145.794999999998</v>
      </c>
      <c r="AA47">
        <v>15633</v>
      </c>
      <c r="AB47">
        <v>0</v>
      </c>
      <c r="AC47">
        <v>1850063</v>
      </c>
      <c r="AD47">
        <v>288599</v>
      </c>
      <c r="AE47">
        <v>7386.8492162430002</v>
      </c>
      <c r="AF47">
        <v>0</v>
      </c>
      <c r="AG47">
        <v>10979.398406116001</v>
      </c>
      <c r="AH47">
        <v>46.307163392</v>
      </c>
      <c r="AI47">
        <v>4123.3784973499996</v>
      </c>
      <c r="AJ47">
        <v>218.48803647299999</v>
      </c>
      <c r="AK47">
        <v>5400.3647394830004</v>
      </c>
      <c r="AL47">
        <v>7770.0505496249998</v>
      </c>
      <c r="AM47">
        <v>0</v>
      </c>
      <c r="AN47">
        <v>0</v>
      </c>
      <c r="AO47">
        <v>4524.3102046869999</v>
      </c>
      <c r="AP47">
        <v>26.549485851</v>
      </c>
      <c r="AQ47">
        <v>0</v>
      </c>
      <c r="AR47">
        <v>0</v>
      </c>
      <c r="AS47">
        <v>0</v>
      </c>
      <c r="AT47">
        <v>28895.599999999999</v>
      </c>
      <c r="AU47">
        <v>0</v>
      </c>
      <c r="AV47">
        <v>0</v>
      </c>
      <c r="AW47">
        <v>3937</v>
      </c>
      <c r="AX47">
        <v>0</v>
      </c>
      <c r="AY47">
        <v>0</v>
      </c>
      <c r="AZ47">
        <v>0</v>
      </c>
      <c r="BA47">
        <v>0</v>
      </c>
      <c r="BB47">
        <v>0</v>
      </c>
      <c r="BC47">
        <v>2048.9008538319999</v>
      </c>
      <c r="BD47">
        <v>0</v>
      </c>
      <c r="BE47">
        <v>2890.951978481</v>
      </c>
      <c r="BF47">
        <v>18.034128195999998</v>
      </c>
      <c r="BG47">
        <v>2441.9520157479997</v>
      </c>
      <c r="BH47">
        <v>1515.358236</v>
      </c>
      <c r="BI47">
        <v>875.48798194199992</v>
      </c>
      <c r="BJ47">
        <v>1916.661956958</v>
      </c>
      <c r="BK47">
        <v>0</v>
      </c>
      <c r="BL47">
        <v>0</v>
      </c>
      <c r="BM47">
        <v>1651.7814328679999</v>
      </c>
      <c r="BN47">
        <v>3.0307164719999999</v>
      </c>
      <c r="BO47">
        <v>12031.534837559999</v>
      </c>
      <c r="BP47">
        <v>0</v>
      </c>
      <c r="BQ47">
        <v>0</v>
      </c>
      <c r="BR47">
        <v>0</v>
      </c>
      <c r="BS47">
        <v>23960</v>
      </c>
      <c r="BT47">
        <v>0</v>
      </c>
      <c r="BU47">
        <v>0</v>
      </c>
      <c r="BV47">
        <v>2130</v>
      </c>
      <c r="BW47">
        <v>0</v>
      </c>
      <c r="BX47">
        <v>0</v>
      </c>
      <c r="BY47">
        <v>0</v>
      </c>
      <c r="BZ47">
        <v>0</v>
      </c>
      <c r="CA47">
        <v>0</v>
      </c>
      <c r="CB47">
        <v>25680</v>
      </c>
    </row>
    <row r="48" spans="2:80">
      <c r="B48">
        <v>46</v>
      </c>
      <c r="C48" s="1" t="s">
        <v>16</v>
      </c>
      <c r="D48" s="1" t="s">
        <v>16</v>
      </c>
      <c r="E48" t="s">
        <v>163</v>
      </c>
      <c r="F48" t="s">
        <v>164</v>
      </c>
      <c r="G48">
        <v>1167990</v>
      </c>
      <c r="H48">
        <v>14789094</v>
      </c>
      <c r="I48">
        <v>315037.84000000003</v>
      </c>
      <c r="J48">
        <v>174922.89</v>
      </c>
      <c r="K48">
        <v>55527.85</v>
      </c>
      <c r="L48">
        <v>186240.67</v>
      </c>
      <c r="M48">
        <v>0</v>
      </c>
      <c r="N48">
        <v>-2340.7199999999998</v>
      </c>
      <c r="O48">
        <v>-1099.367</v>
      </c>
      <c r="P48">
        <v>0</v>
      </c>
      <c r="Q48">
        <v>-1368.5840000000001</v>
      </c>
      <c r="R48">
        <v>-2093.9549999999999</v>
      </c>
      <c r="S48">
        <v>-4702.7610000000004</v>
      </c>
      <c r="T48">
        <v>846.96799999999996</v>
      </c>
      <c r="U48">
        <v>474.036</v>
      </c>
      <c r="V48">
        <v>1453.5070000000001</v>
      </c>
      <c r="W48">
        <v>2047.615</v>
      </c>
      <c r="X48">
        <v>0</v>
      </c>
      <c r="Y48">
        <v>-6783.2619999999997</v>
      </c>
      <c r="Z48">
        <v>-17060.82</v>
      </c>
      <c r="AA48">
        <v>15632</v>
      </c>
      <c r="AB48">
        <v>0</v>
      </c>
      <c r="AC48">
        <v>1906145</v>
      </c>
      <c r="AD48">
        <v>167817</v>
      </c>
      <c r="AE48">
        <v>7386.8492162430002</v>
      </c>
      <c r="AF48">
        <v>0</v>
      </c>
      <c r="AG48">
        <v>10979.398406116001</v>
      </c>
      <c r="AH48">
        <v>26.798632588</v>
      </c>
      <c r="AI48">
        <v>4139.064502874</v>
      </c>
      <c r="AJ48">
        <v>177.33104330200001</v>
      </c>
      <c r="AK48">
        <v>5561.3715520579999</v>
      </c>
      <c r="AL48">
        <v>8880.9617202179998</v>
      </c>
      <c r="AM48">
        <v>0</v>
      </c>
      <c r="AN48">
        <v>0</v>
      </c>
      <c r="AO48">
        <v>4524.3102046869999</v>
      </c>
      <c r="AP48">
        <v>26.549485851</v>
      </c>
      <c r="AQ48">
        <v>0</v>
      </c>
      <c r="AR48">
        <v>0</v>
      </c>
      <c r="AS48">
        <v>0</v>
      </c>
      <c r="AT48">
        <v>18203.900000000001</v>
      </c>
      <c r="AU48">
        <v>0</v>
      </c>
      <c r="AV48">
        <v>0</v>
      </c>
      <c r="AW48">
        <v>887.8</v>
      </c>
      <c r="AX48">
        <v>0</v>
      </c>
      <c r="AY48">
        <v>0</v>
      </c>
      <c r="AZ48">
        <v>0</v>
      </c>
      <c r="BA48">
        <v>0</v>
      </c>
      <c r="BB48">
        <v>0</v>
      </c>
      <c r="BC48">
        <v>2048.9008538319999</v>
      </c>
      <c r="BD48">
        <v>0</v>
      </c>
      <c r="BE48">
        <v>2890.951978481</v>
      </c>
      <c r="BF48">
        <v>17.993172568000002</v>
      </c>
      <c r="BG48">
        <v>1364.484528386</v>
      </c>
      <c r="BH48">
        <v>722.55284105199996</v>
      </c>
      <c r="BI48">
        <v>714.19789293999997</v>
      </c>
      <c r="BJ48">
        <v>2067.3581901839998</v>
      </c>
      <c r="BK48">
        <v>0</v>
      </c>
      <c r="BL48">
        <v>0</v>
      </c>
      <c r="BM48">
        <v>1651.7814328679999</v>
      </c>
      <c r="BN48">
        <v>3.0307164719999999</v>
      </c>
      <c r="BO48">
        <v>10621.930858994001</v>
      </c>
      <c r="BP48">
        <v>0</v>
      </c>
      <c r="BQ48">
        <v>0</v>
      </c>
      <c r="BR48">
        <v>0</v>
      </c>
      <c r="BS48">
        <v>20480</v>
      </c>
      <c r="BT48">
        <v>0</v>
      </c>
      <c r="BU48">
        <v>0</v>
      </c>
      <c r="BV48">
        <v>819.99999999999989</v>
      </c>
      <c r="BW48">
        <v>0</v>
      </c>
      <c r="BX48">
        <v>0</v>
      </c>
      <c r="BY48">
        <v>0</v>
      </c>
      <c r="BZ48">
        <v>0</v>
      </c>
      <c r="CA48">
        <v>0</v>
      </c>
      <c r="CB48">
        <v>20850</v>
      </c>
    </row>
    <row r="49" spans="2:80">
      <c r="B49">
        <v>47</v>
      </c>
      <c r="C49" s="1" t="s">
        <v>16</v>
      </c>
      <c r="D49" s="1" t="s">
        <v>16</v>
      </c>
      <c r="E49" t="s">
        <v>165</v>
      </c>
      <c r="F49" t="s">
        <v>166</v>
      </c>
      <c r="G49">
        <v>1167990</v>
      </c>
      <c r="H49">
        <v>14789094</v>
      </c>
      <c r="I49">
        <v>315037.84000000003</v>
      </c>
      <c r="J49">
        <v>174922.89</v>
      </c>
      <c r="K49">
        <v>55527.85</v>
      </c>
      <c r="L49">
        <v>186240.67</v>
      </c>
      <c r="M49">
        <v>0</v>
      </c>
      <c r="N49">
        <v>-2426.5709999999999</v>
      </c>
      <c r="O49">
        <v>-1102.7080000000001</v>
      </c>
      <c r="P49">
        <v>0</v>
      </c>
      <c r="Q49">
        <v>-1368.5840000000001</v>
      </c>
      <c r="R49">
        <v>-2185.1819999999998</v>
      </c>
      <c r="S49">
        <v>-4918.8190000000004</v>
      </c>
      <c r="T49">
        <v>895.93200000000002</v>
      </c>
      <c r="U49">
        <v>526.38900000000001</v>
      </c>
      <c r="V49">
        <v>1277.2560000000001</v>
      </c>
      <c r="W49">
        <v>2228.1990000000001</v>
      </c>
      <c r="X49">
        <v>0</v>
      </c>
      <c r="Y49">
        <v>-7074.0870000000004</v>
      </c>
      <c r="Z49">
        <v>-31013.620999999999</v>
      </c>
      <c r="AA49">
        <v>15692</v>
      </c>
      <c r="AB49">
        <v>0</v>
      </c>
      <c r="AC49">
        <v>1767354</v>
      </c>
      <c r="AD49">
        <v>295831</v>
      </c>
      <c r="AE49">
        <v>5731.5626642120005</v>
      </c>
      <c r="AF49">
        <v>0</v>
      </c>
      <c r="AG49">
        <v>10979.398406116001</v>
      </c>
      <c r="AH49">
        <v>46.750849362000004</v>
      </c>
      <c r="AI49">
        <v>4039.1327705540002</v>
      </c>
      <c r="AJ49">
        <v>205.03411267500002</v>
      </c>
      <c r="AK49">
        <v>5402.4841932320005</v>
      </c>
      <c r="AL49">
        <v>7710.9037968550001</v>
      </c>
      <c r="AM49">
        <v>0</v>
      </c>
      <c r="AN49">
        <v>0</v>
      </c>
      <c r="AO49">
        <v>4524.3102046869999</v>
      </c>
      <c r="AP49">
        <v>26.549485851</v>
      </c>
      <c r="AQ49">
        <v>0</v>
      </c>
      <c r="AR49">
        <v>0</v>
      </c>
      <c r="AS49">
        <v>0</v>
      </c>
      <c r="AT49">
        <v>29718.400000000001</v>
      </c>
      <c r="AU49">
        <v>0</v>
      </c>
      <c r="AV49">
        <v>0</v>
      </c>
      <c r="AW49">
        <v>3937</v>
      </c>
      <c r="AX49">
        <v>0</v>
      </c>
      <c r="AY49">
        <v>0</v>
      </c>
      <c r="AZ49">
        <v>0</v>
      </c>
      <c r="BA49">
        <v>0</v>
      </c>
      <c r="BB49">
        <v>0</v>
      </c>
      <c r="BC49">
        <v>1574.115910304</v>
      </c>
      <c r="BD49">
        <v>0</v>
      </c>
      <c r="BE49">
        <v>2890.951978481</v>
      </c>
      <c r="BF49">
        <v>18.02047632</v>
      </c>
      <c r="BG49">
        <v>2380.3069696699999</v>
      </c>
      <c r="BH49">
        <v>1505.9145507769999</v>
      </c>
      <c r="BI49">
        <v>873.35828928599994</v>
      </c>
      <c r="BJ49">
        <v>1845.818959425</v>
      </c>
      <c r="BK49">
        <v>0</v>
      </c>
      <c r="BL49">
        <v>0</v>
      </c>
      <c r="BM49">
        <v>1651.7814328679999</v>
      </c>
      <c r="BN49">
        <v>3.0307164719999999</v>
      </c>
      <c r="BO49">
        <v>11369.562196258001</v>
      </c>
      <c r="BP49">
        <v>0</v>
      </c>
      <c r="BQ49">
        <v>0</v>
      </c>
      <c r="BR49">
        <v>0</v>
      </c>
      <c r="BS49">
        <v>24060</v>
      </c>
      <c r="BT49">
        <v>0</v>
      </c>
      <c r="BU49">
        <v>0</v>
      </c>
      <c r="BV49">
        <v>2130</v>
      </c>
      <c r="BW49">
        <v>0</v>
      </c>
      <c r="BX49">
        <v>0</v>
      </c>
      <c r="BY49">
        <v>0</v>
      </c>
      <c r="BZ49">
        <v>0</v>
      </c>
      <c r="CA49">
        <v>0</v>
      </c>
      <c r="CB49">
        <v>25780</v>
      </c>
    </row>
    <row r="50" spans="2:80">
      <c r="B50">
        <v>48</v>
      </c>
      <c r="C50" s="1" t="s">
        <v>16</v>
      </c>
      <c r="D50" s="1" t="s">
        <v>16</v>
      </c>
      <c r="E50" t="s">
        <v>167</v>
      </c>
      <c r="F50" t="s">
        <v>168</v>
      </c>
      <c r="G50">
        <v>1167990</v>
      </c>
      <c r="H50">
        <v>14789094</v>
      </c>
      <c r="I50">
        <v>315037.84000000003</v>
      </c>
      <c r="J50">
        <v>174922.89</v>
      </c>
      <c r="K50">
        <v>55527.85</v>
      </c>
      <c r="L50">
        <v>186240.67</v>
      </c>
      <c r="M50">
        <v>0</v>
      </c>
      <c r="N50">
        <v>-2426.5709999999999</v>
      </c>
      <c r="O50">
        <v>-1102.7080000000001</v>
      </c>
      <c r="P50">
        <v>0</v>
      </c>
      <c r="Q50">
        <v>-1368.5840000000001</v>
      </c>
      <c r="R50">
        <v>-2185.1819999999998</v>
      </c>
      <c r="S50">
        <v>-4918.8190000000004</v>
      </c>
      <c r="T50">
        <v>895.93200000000002</v>
      </c>
      <c r="U50">
        <v>526.38900000000001</v>
      </c>
      <c r="V50">
        <v>1277.2560000000001</v>
      </c>
      <c r="W50">
        <v>2228.1990000000001</v>
      </c>
      <c r="X50">
        <v>0</v>
      </c>
      <c r="Y50">
        <v>-7074.0870000000004</v>
      </c>
      <c r="Z50">
        <v>-17924.758000000002</v>
      </c>
      <c r="AA50">
        <v>15690</v>
      </c>
      <c r="AB50">
        <v>0</v>
      </c>
      <c r="AC50">
        <v>1823765</v>
      </c>
      <c r="AD50">
        <v>175719</v>
      </c>
      <c r="AE50">
        <v>5731.5626642120005</v>
      </c>
      <c r="AF50">
        <v>0</v>
      </c>
      <c r="AG50">
        <v>10979.398406116001</v>
      </c>
      <c r="AH50">
        <v>28.351533483000001</v>
      </c>
      <c r="AI50">
        <v>4060.368263672</v>
      </c>
      <c r="AJ50">
        <v>162.999986471</v>
      </c>
      <c r="AK50">
        <v>5564.9756473220004</v>
      </c>
      <c r="AL50">
        <v>8821.7876636960009</v>
      </c>
      <c r="AM50">
        <v>0</v>
      </c>
      <c r="AN50">
        <v>0</v>
      </c>
      <c r="AO50">
        <v>4524.3102046869999</v>
      </c>
      <c r="AP50">
        <v>26.549485851</v>
      </c>
      <c r="AQ50">
        <v>0</v>
      </c>
      <c r="AR50">
        <v>0</v>
      </c>
      <c r="AS50">
        <v>0</v>
      </c>
      <c r="AT50">
        <v>19102.900000000001</v>
      </c>
      <c r="AU50">
        <v>0</v>
      </c>
      <c r="AV50">
        <v>0</v>
      </c>
      <c r="AW50">
        <v>887.8</v>
      </c>
      <c r="AX50">
        <v>0</v>
      </c>
      <c r="AY50">
        <v>0</v>
      </c>
      <c r="AZ50">
        <v>0</v>
      </c>
      <c r="BA50">
        <v>0</v>
      </c>
      <c r="BB50">
        <v>0</v>
      </c>
      <c r="BC50">
        <v>1574.115910304</v>
      </c>
      <c r="BD50">
        <v>0</v>
      </c>
      <c r="BE50">
        <v>2890.951978481</v>
      </c>
      <c r="BF50">
        <v>17.982933661000001</v>
      </c>
      <c r="BG50">
        <v>1293.7643977369999</v>
      </c>
      <c r="BH50">
        <v>634.90097119400002</v>
      </c>
      <c r="BI50">
        <v>712.47093062599993</v>
      </c>
      <c r="BJ50">
        <v>1996.0646807429998</v>
      </c>
      <c r="BK50">
        <v>0</v>
      </c>
      <c r="BL50">
        <v>0</v>
      </c>
      <c r="BM50">
        <v>1651.7814328679999</v>
      </c>
      <c r="BN50">
        <v>3.0307164719999999</v>
      </c>
      <c r="BO50">
        <v>9952.0913241470007</v>
      </c>
      <c r="BP50">
        <v>0</v>
      </c>
      <c r="BQ50">
        <v>0</v>
      </c>
      <c r="BR50">
        <v>0</v>
      </c>
      <c r="BS50">
        <v>20600</v>
      </c>
      <c r="BT50">
        <v>0</v>
      </c>
      <c r="BU50">
        <v>0</v>
      </c>
      <c r="BV50">
        <v>819.99999999999989</v>
      </c>
      <c r="BW50">
        <v>0</v>
      </c>
      <c r="BX50">
        <v>0</v>
      </c>
      <c r="BY50">
        <v>0</v>
      </c>
      <c r="BZ50">
        <v>0</v>
      </c>
      <c r="CA50">
        <v>0</v>
      </c>
      <c r="CB50">
        <v>20970</v>
      </c>
    </row>
    <row r="51" spans="2:80">
      <c r="B51">
        <v>49</v>
      </c>
      <c r="C51" s="1" t="s">
        <v>16</v>
      </c>
      <c r="D51" s="1" t="s">
        <v>16</v>
      </c>
      <c r="E51" t="s">
        <v>169</v>
      </c>
      <c r="F51" t="s">
        <v>170</v>
      </c>
      <c r="G51">
        <v>1167990</v>
      </c>
      <c r="H51">
        <v>14789094</v>
      </c>
      <c r="I51">
        <v>315037.84000000003</v>
      </c>
      <c r="J51">
        <v>174922.89</v>
      </c>
      <c r="K51">
        <v>55527.85</v>
      </c>
      <c r="L51">
        <v>186240.67</v>
      </c>
      <c r="M51">
        <v>0</v>
      </c>
      <c r="N51">
        <v>-2061.7339999999999</v>
      </c>
      <c r="O51">
        <v>-1109.454</v>
      </c>
      <c r="P51">
        <v>0</v>
      </c>
      <c r="Q51">
        <v>-1368.5840000000001</v>
      </c>
      <c r="R51">
        <v>-2933.3820000000001</v>
      </c>
      <c r="S51">
        <v>-9236.5460000000003</v>
      </c>
      <c r="T51">
        <v>1162.8330000000001</v>
      </c>
      <c r="U51">
        <v>685.56799999999998</v>
      </c>
      <c r="V51">
        <v>1996.693</v>
      </c>
      <c r="W51">
        <v>2846.5479999999998</v>
      </c>
      <c r="X51">
        <v>0</v>
      </c>
      <c r="Y51">
        <v>-10018.06</v>
      </c>
      <c r="Z51">
        <v>-34575.945</v>
      </c>
      <c r="AA51">
        <v>16118</v>
      </c>
      <c r="AB51">
        <v>0</v>
      </c>
      <c r="AC51">
        <v>1845109</v>
      </c>
      <c r="AD51">
        <v>325094</v>
      </c>
      <c r="AE51">
        <v>7386.8492162430002</v>
      </c>
      <c r="AF51">
        <v>0</v>
      </c>
      <c r="AG51">
        <v>10979.398406116001</v>
      </c>
      <c r="AH51">
        <v>47.955627419000002</v>
      </c>
      <c r="AI51">
        <v>4080.2692859110002</v>
      </c>
      <c r="AJ51">
        <v>205.25595566000001</v>
      </c>
      <c r="AK51">
        <v>5406.5661041559997</v>
      </c>
      <c r="AL51">
        <v>7710.156356644</v>
      </c>
      <c r="AM51">
        <v>0</v>
      </c>
      <c r="AN51">
        <v>0</v>
      </c>
      <c r="AO51">
        <v>4524.3102046869999</v>
      </c>
      <c r="AP51">
        <v>26.549485851</v>
      </c>
      <c r="AQ51">
        <v>0</v>
      </c>
      <c r="AR51">
        <v>0</v>
      </c>
      <c r="AS51">
        <v>0</v>
      </c>
      <c r="AT51">
        <v>33047.599999999999</v>
      </c>
      <c r="AU51">
        <v>0</v>
      </c>
      <c r="AV51">
        <v>0</v>
      </c>
      <c r="AW51">
        <v>3937</v>
      </c>
      <c r="AX51">
        <v>0</v>
      </c>
      <c r="AY51">
        <v>0</v>
      </c>
      <c r="AZ51">
        <v>0</v>
      </c>
      <c r="BA51">
        <v>0</v>
      </c>
      <c r="BB51">
        <v>0</v>
      </c>
      <c r="BC51">
        <v>2048.9008538319999</v>
      </c>
      <c r="BD51">
        <v>0</v>
      </c>
      <c r="BE51">
        <v>2890.951978481</v>
      </c>
      <c r="BF51">
        <v>18.030715227000002</v>
      </c>
      <c r="BG51">
        <v>2451.6516736459998</v>
      </c>
      <c r="BH51">
        <v>1515.358236</v>
      </c>
      <c r="BI51">
        <v>875.97944947799988</v>
      </c>
      <c r="BJ51">
        <v>1870.6551348379999</v>
      </c>
      <c r="BK51">
        <v>0</v>
      </c>
      <c r="BL51">
        <v>0</v>
      </c>
      <c r="BM51">
        <v>1651.7814328679999</v>
      </c>
      <c r="BN51">
        <v>3.0307164719999999</v>
      </c>
      <c r="BO51">
        <v>11943.039964359001</v>
      </c>
      <c r="BP51">
        <v>0</v>
      </c>
      <c r="BQ51">
        <v>0</v>
      </c>
      <c r="BR51">
        <v>0</v>
      </c>
      <c r="BS51">
        <v>25780</v>
      </c>
      <c r="BT51">
        <v>0</v>
      </c>
      <c r="BU51">
        <v>0</v>
      </c>
      <c r="BV51">
        <v>2130</v>
      </c>
      <c r="BW51">
        <v>0</v>
      </c>
      <c r="BX51">
        <v>0</v>
      </c>
      <c r="BY51">
        <v>0</v>
      </c>
      <c r="BZ51">
        <v>0</v>
      </c>
      <c r="CA51">
        <v>0</v>
      </c>
      <c r="CB51">
        <v>27510.000000000004</v>
      </c>
    </row>
    <row r="52" spans="2:80">
      <c r="B52">
        <v>50</v>
      </c>
      <c r="C52" s="1" t="s">
        <v>16</v>
      </c>
      <c r="D52" s="1" t="s">
        <v>16</v>
      </c>
      <c r="E52" t="s">
        <v>171</v>
      </c>
      <c r="F52" t="s">
        <v>172</v>
      </c>
      <c r="G52">
        <v>1167990</v>
      </c>
      <c r="H52">
        <v>14789094</v>
      </c>
      <c r="I52">
        <v>315037.84000000003</v>
      </c>
      <c r="J52">
        <v>174922.89</v>
      </c>
      <c r="K52">
        <v>55527.85</v>
      </c>
      <c r="L52">
        <v>186240.67</v>
      </c>
      <c r="M52">
        <v>0</v>
      </c>
      <c r="N52">
        <v>-2061.7339999999999</v>
      </c>
      <c r="O52">
        <v>-1109.454</v>
      </c>
      <c r="P52">
        <v>0</v>
      </c>
      <c r="Q52">
        <v>-1368.5840000000001</v>
      </c>
      <c r="R52">
        <v>-2933.3820000000001</v>
      </c>
      <c r="S52">
        <v>-9236.5460000000003</v>
      </c>
      <c r="T52">
        <v>1162.8330000000001</v>
      </c>
      <c r="U52">
        <v>685.56799999999998</v>
      </c>
      <c r="V52">
        <v>1996.693</v>
      </c>
      <c r="W52">
        <v>2846.5479999999998</v>
      </c>
      <c r="X52">
        <v>0</v>
      </c>
      <c r="Y52">
        <v>-10018.06</v>
      </c>
      <c r="Z52">
        <v>-21483.166000000001</v>
      </c>
      <c r="AA52">
        <v>16114</v>
      </c>
      <c r="AB52">
        <v>0</v>
      </c>
      <c r="AC52">
        <v>1901290</v>
      </c>
      <c r="AD52">
        <v>206428</v>
      </c>
      <c r="AE52">
        <v>7386.8492162430002</v>
      </c>
      <c r="AF52">
        <v>0</v>
      </c>
      <c r="AG52">
        <v>10979.398406116001</v>
      </c>
      <c r="AH52">
        <v>32.109212352</v>
      </c>
      <c r="AI52">
        <v>4091.545735487</v>
      </c>
      <c r="AJ52">
        <v>163.63479870500001</v>
      </c>
      <c r="AK52">
        <v>5571.1906638709997</v>
      </c>
      <c r="AL52">
        <v>8820.8456842520009</v>
      </c>
      <c r="AM52">
        <v>0</v>
      </c>
      <c r="AN52">
        <v>0</v>
      </c>
      <c r="AO52">
        <v>4524.3102046869999</v>
      </c>
      <c r="AP52">
        <v>26.549485851</v>
      </c>
      <c r="AQ52">
        <v>0</v>
      </c>
      <c r="AR52">
        <v>0</v>
      </c>
      <c r="AS52">
        <v>0</v>
      </c>
      <c r="AT52">
        <v>22596.6</v>
      </c>
      <c r="AU52">
        <v>0</v>
      </c>
      <c r="AV52">
        <v>0</v>
      </c>
      <c r="AW52">
        <v>887.8</v>
      </c>
      <c r="AX52">
        <v>0</v>
      </c>
      <c r="AY52">
        <v>0</v>
      </c>
      <c r="AZ52">
        <v>0</v>
      </c>
      <c r="BA52">
        <v>0</v>
      </c>
      <c r="BB52">
        <v>0</v>
      </c>
      <c r="BC52">
        <v>2048.9008538319999</v>
      </c>
      <c r="BD52">
        <v>0</v>
      </c>
      <c r="BE52">
        <v>2890.951978481</v>
      </c>
      <c r="BF52">
        <v>18.034128195999998</v>
      </c>
      <c r="BG52">
        <v>1369.4333334360001</v>
      </c>
      <c r="BH52">
        <v>699.84977126399997</v>
      </c>
      <c r="BI52">
        <v>716.47434326299992</v>
      </c>
      <c r="BJ52">
        <v>2021.0066581949998</v>
      </c>
      <c r="BK52">
        <v>0</v>
      </c>
      <c r="BL52">
        <v>0</v>
      </c>
      <c r="BM52">
        <v>1651.7814328679999</v>
      </c>
      <c r="BN52">
        <v>3.0307164719999999</v>
      </c>
      <c r="BO52">
        <v>10529.183426419</v>
      </c>
      <c r="BP52">
        <v>0</v>
      </c>
      <c r="BQ52">
        <v>0</v>
      </c>
      <c r="BR52">
        <v>0</v>
      </c>
      <c r="BS52">
        <v>22340</v>
      </c>
      <c r="BT52">
        <v>0</v>
      </c>
      <c r="BU52">
        <v>0</v>
      </c>
      <c r="BV52">
        <v>819.99999999999989</v>
      </c>
      <c r="BW52">
        <v>0</v>
      </c>
      <c r="BX52">
        <v>0</v>
      </c>
      <c r="BY52">
        <v>0</v>
      </c>
      <c r="BZ52">
        <v>0</v>
      </c>
      <c r="CA52">
        <v>0</v>
      </c>
      <c r="CB52">
        <v>22710</v>
      </c>
    </row>
    <row r="53" spans="2:80">
      <c r="B53">
        <v>51</v>
      </c>
      <c r="C53" s="1" t="s">
        <v>16</v>
      </c>
      <c r="D53" s="1" t="s">
        <v>16</v>
      </c>
      <c r="E53" t="s">
        <v>173</v>
      </c>
      <c r="F53" t="s">
        <v>174</v>
      </c>
      <c r="G53">
        <v>1167990</v>
      </c>
      <c r="H53">
        <v>14789094</v>
      </c>
      <c r="I53">
        <v>315037.84000000003</v>
      </c>
      <c r="J53">
        <v>174922.89</v>
      </c>
      <c r="K53">
        <v>55527.85</v>
      </c>
      <c r="L53">
        <v>186240.67</v>
      </c>
      <c r="M53">
        <v>0</v>
      </c>
      <c r="N53">
        <v>-2132.6999999999998</v>
      </c>
      <c r="O53">
        <v>-1112.068</v>
      </c>
      <c r="P53">
        <v>0</v>
      </c>
      <c r="Q53">
        <v>-1368.5840000000001</v>
      </c>
      <c r="R53">
        <v>-3066.5410000000002</v>
      </c>
      <c r="S53">
        <v>-9686.3940000000002</v>
      </c>
      <c r="T53">
        <v>1232.1790000000001</v>
      </c>
      <c r="U53">
        <v>778.36</v>
      </c>
      <c r="V53">
        <v>1753.213</v>
      </c>
      <c r="W53">
        <v>3146.58</v>
      </c>
      <c r="X53">
        <v>0</v>
      </c>
      <c r="Y53">
        <v>-10455.950000000001</v>
      </c>
      <c r="Z53">
        <v>-35559.190999999999</v>
      </c>
      <c r="AA53">
        <v>16182</v>
      </c>
      <c r="AB53">
        <v>0</v>
      </c>
      <c r="AC53">
        <v>1763195</v>
      </c>
      <c r="AD53">
        <v>333257</v>
      </c>
      <c r="AE53">
        <v>5731.5626642120005</v>
      </c>
      <c r="AF53">
        <v>0</v>
      </c>
      <c r="AG53">
        <v>10979.398406116001</v>
      </c>
      <c r="AH53">
        <v>48.754262165</v>
      </c>
      <c r="AI53">
        <v>4003.0133196269999</v>
      </c>
      <c r="AJ53">
        <v>193.38906244700001</v>
      </c>
      <c r="AK53">
        <v>5410.2248069240004</v>
      </c>
      <c r="AL53">
        <v>7657.9686476650004</v>
      </c>
      <c r="AM53">
        <v>0</v>
      </c>
      <c r="AN53">
        <v>0</v>
      </c>
      <c r="AO53">
        <v>4524.3102046869999</v>
      </c>
      <c r="AP53">
        <v>26.549485851</v>
      </c>
      <c r="AQ53">
        <v>0</v>
      </c>
      <c r="AR53">
        <v>0</v>
      </c>
      <c r="AS53">
        <v>0</v>
      </c>
      <c r="AT53">
        <v>33976.199999999997</v>
      </c>
      <c r="AU53">
        <v>0</v>
      </c>
      <c r="AV53">
        <v>0</v>
      </c>
      <c r="AW53">
        <v>3937</v>
      </c>
      <c r="AX53">
        <v>0</v>
      </c>
      <c r="AY53">
        <v>0</v>
      </c>
      <c r="AZ53">
        <v>0</v>
      </c>
      <c r="BA53">
        <v>0</v>
      </c>
      <c r="BB53">
        <v>0</v>
      </c>
      <c r="BC53">
        <v>1574.115910304</v>
      </c>
      <c r="BD53">
        <v>0</v>
      </c>
      <c r="BE53">
        <v>2890.951978481</v>
      </c>
      <c r="BF53">
        <v>18.037541165</v>
      </c>
      <c r="BG53">
        <v>2388.7711327899997</v>
      </c>
      <c r="BH53">
        <v>1517.7029457030001</v>
      </c>
      <c r="BI53">
        <v>873.85658276000004</v>
      </c>
      <c r="BJ53">
        <v>1801.259236161</v>
      </c>
      <c r="BK53">
        <v>0</v>
      </c>
      <c r="BL53">
        <v>0</v>
      </c>
      <c r="BM53">
        <v>1651.7814328679999</v>
      </c>
      <c r="BN53">
        <v>3.0307164719999999</v>
      </c>
      <c r="BO53">
        <v>11284.43592346</v>
      </c>
      <c r="BP53">
        <v>0</v>
      </c>
      <c r="BQ53">
        <v>0</v>
      </c>
      <c r="BR53">
        <v>0</v>
      </c>
      <c r="BS53">
        <v>25850</v>
      </c>
      <c r="BT53">
        <v>0</v>
      </c>
      <c r="BU53">
        <v>0</v>
      </c>
      <c r="BV53">
        <v>2130</v>
      </c>
      <c r="BW53">
        <v>0</v>
      </c>
      <c r="BX53">
        <v>0</v>
      </c>
      <c r="BY53">
        <v>0</v>
      </c>
      <c r="BZ53">
        <v>0</v>
      </c>
      <c r="CA53">
        <v>0</v>
      </c>
      <c r="CB53">
        <v>27570</v>
      </c>
    </row>
    <row r="54" spans="2:80">
      <c r="B54">
        <v>52</v>
      </c>
      <c r="C54" s="1" t="s">
        <v>16</v>
      </c>
      <c r="D54" s="1" t="s">
        <v>16</v>
      </c>
      <c r="E54" t="s">
        <v>175</v>
      </c>
      <c r="F54" t="s">
        <v>176</v>
      </c>
      <c r="G54">
        <v>1167990</v>
      </c>
      <c r="H54">
        <v>14789094</v>
      </c>
      <c r="I54">
        <v>315037.84000000003</v>
      </c>
      <c r="J54">
        <v>174922.89</v>
      </c>
      <c r="K54">
        <v>55527.85</v>
      </c>
      <c r="L54">
        <v>186240.67</v>
      </c>
      <c r="M54">
        <v>0</v>
      </c>
      <c r="N54">
        <v>-2132.6999999999998</v>
      </c>
      <c r="O54">
        <v>-1112.068</v>
      </c>
      <c r="P54">
        <v>0</v>
      </c>
      <c r="Q54">
        <v>-1368.5840000000001</v>
      </c>
      <c r="R54">
        <v>-3066.5410000000002</v>
      </c>
      <c r="S54">
        <v>-9686.3940000000002</v>
      </c>
      <c r="T54">
        <v>1232.1790000000001</v>
      </c>
      <c r="U54">
        <v>778.36</v>
      </c>
      <c r="V54">
        <v>1753.213</v>
      </c>
      <c r="W54">
        <v>3146.58</v>
      </c>
      <c r="X54">
        <v>0</v>
      </c>
      <c r="Y54">
        <v>-10455.950000000001</v>
      </c>
      <c r="Z54">
        <v>-22464.572</v>
      </c>
      <c r="AA54">
        <v>16180</v>
      </c>
      <c r="AB54">
        <v>0</v>
      </c>
      <c r="AC54">
        <v>1819699</v>
      </c>
      <c r="AD54">
        <v>215170</v>
      </c>
      <c r="AE54">
        <v>5731.5626642120005</v>
      </c>
      <c r="AF54">
        <v>0</v>
      </c>
      <c r="AG54">
        <v>10979.398406116001</v>
      </c>
      <c r="AH54">
        <v>33.450509169</v>
      </c>
      <c r="AI54">
        <v>4019.0235572060001</v>
      </c>
      <c r="AJ54">
        <v>152.33445834599999</v>
      </c>
      <c r="AK54">
        <v>5576.00636313</v>
      </c>
      <c r="AL54">
        <v>8768.6818660560002</v>
      </c>
      <c r="AM54">
        <v>0</v>
      </c>
      <c r="AN54">
        <v>0</v>
      </c>
      <c r="AO54">
        <v>4524.3102046869999</v>
      </c>
      <c r="AP54">
        <v>26.549485851</v>
      </c>
      <c r="AQ54">
        <v>0</v>
      </c>
      <c r="AR54">
        <v>0</v>
      </c>
      <c r="AS54">
        <v>0</v>
      </c>
      <c r="AT54">
        <v>23591.1</v>
      </c>
      <c r="AU54">
        <v>0</v>
      </c>
      <c r="AV54">
        <v>0</v>
      </c>
      <c r="AW54">
        <v>887.8</v>
      </c>
      <c r="AX54">
        <v>0</v>
      </c>
      <c r="AY54">
        <v>0</v>
      </c>
      <c r="AZ54">
        <v>0</v>
      </c>
      <c r="BA54">
        <v>0</v>
      </c>
      <c r="BB54">
        <v>0</v>
      </c>
      <c r="BC54">
        <v>1574.115910304</v>
      </c>
      <c r="BD54">
        <v>0</v>
      </c>
      <c r="BE54">
        <v>2890.951978481</v>
      </c>
      <c r="BF54">
        <v>18.054606010000001</v>
      </c>
      <c r="BG54">
        <v>1302.6381171369999</v>
      </c>
      <c r="BH54">
        <v>629.74056206600005</v>
      </c>
      <c r="BI54">
        <v>716.22519652599999</v>
      </c>
      <c r="BJ54">
        <v>1951.3411349670002</v>
      </c>
      <c r="BK54">
        <v>0</v>
      </c>
      <c r="BL54">
        <v>0</v>
      </c>
      <c r="BM54">
        <v>1651.7814328679999</v>
      </c>
      <c r="BN54">
        <v>3.0307164719999999</v>
      </c>
      <c r="BO54">
        <v>9863.6749492329982</v>
      </c>
      <c r="BP54">
        <v>0</v>
      </c>
      <c r="BQ54">
        <v>0</v>
      </c>
      <c r="BR54">
        <v>0</v>
      </c>
      <c r="BS54">
        <v>22390</v>
      </c>
      <c r="BT54">
        <v>0</v>
      </c>
      <c r="BU54">
        <v>0</v>
      </c>
      <c r="BV54">
        <v>819.99999999999989</v>
      </c>
      <c r="BW54">
        <v>0</v>
      </c>
      <c r="BX54">
        <v>0</v>
      </c>
      <c r="BY54">
        <v>0</v>
      </c>
      <c r="BZ54">
        <v>0</v>
      </c>
      <c r="CA54">
        <v>0</v>
      </c>
      <c r="CB54">
        <v>22760</v>
      </c>
    </row>
    <row r="55" spans="2:80">
      <c r="B55">
        <v>53</v>
      </c>
      <c r="C55" s="1" t="s">
        <v>16</v>
      </c>
      <c r="D55" s="1" t="s">
        <v>16</v>
      </c>
      <c r="E55" t="s">
        <v>177</v>
      </c>
      <c r="F55" t="s">
        <v>178</v>
      </c>
      <c r="G55">
        <v>1167990</v>
      </c>
      <c r="H55">
        <v>14789094</v>
      </c>
      <c r="I55">
        <v>315037.84000000003</v>
      </c>
      <c r="J55">
        <v>174922.89</v>
      </c>
      <c r="K55">
        <v>55527.85</v>
      </c>
      <c r="L55">
        <v>186240.67</v>
      </c>
      <c r="M55">
        <v>0</v>
      </c>
      <c r="N55">
        <v>-2035.671</v>
      </c>
      <c r="O55">
        <v>-1105.962</v>
      </c>
      <c r="P55">
        <v>0</v>
      </c>
      <c r="Q55">
        <v>-1368.5840000000001</v>
      </c>
      <c r="R55">
        <v>-2432.857</v>
      </c>
      <c r="S55">
        <v>-9069.1219999999994</v>
      </c>
      <c r="T55">
        <v>1132.8900000000001</v>
      </c>
      <c r="U55">
        <v>652.86599999999999</v>
      </c>
      <c r="V55">
        <v>1919.6479999999999</v>
      </c>
      <c r="W55">
        <v>2738.8870000000002</v>
      </c>
      <c r="X55">
        <v>0</v>
      </c>
      <c r="Y55">
        <v>-9567.9040000000005</v>
      </c>
      <c r="Z55">
        <v>-33840.516000000003</v>
      </c>
      <c r="AA55">
        <v>15977</v>
      </c>
      <c r="AB55">
        <v>0</v>
      </c>
      <c r="AC55">
        <v>1845441</v>
      </c>
      <c r="AD55">
        <v>319114</v>
      </c>
      <c r="AE55">
        <v>7386.8492162430002</v>
      </c>
      <c r="AF55">
        <v>0</v>
      </c>
      <c r="AG55">
        <v>10979.398406116001</v>
      </c>
      <c r="AH55">
        <v>47.703067713000003</v>
      </c>
      <c r="AI55">
        <v>4081.9621185350002</v>
      </c>
      <c r="AJ55">
        <v>206.10919791000001</v>
      </c>
      <c r="AK55">
        <v>5405.3715650060003</v>
      </c>
      <c r="AL55">
        <v>7716.3270045959998</v>
      </c>
      <c r="AM55">
        <v>0</v>
      </c>
      <c r="AN55">
        <v>0</v>
      </c>
      <c r="AO55">
        <v>4524.3102046869999</v>
      </c>
      <c r="AP55">
        <v>26.549485851</v>
      </c>
      <c r="AQ55">
        <v>0</v>
      </c>
      <c r="AR55">
        <v>0</v>
      </c>
      <c r="AS55">
        <v>0</v>
      </c>
      <c r="AT55">
        <v>32367.200000000001</v>
      </c>
      <c r="AU55">
        <v>0</v>
      </c>
      <c r="AV55">
        <v>0</v>
      </c>
      <c r="AW55">
        <v>3937</v>
      </c>
      <c r="AX55">
        <v>0</v>
      </c>
      <c r="AY55">
        <v>0</v>
      </c>
      <c r="AZ55">
        <v>0</v>
      </c>
      <c r="BA55">
        <v>0</v>
      </c>
      <c r="BB55">
        <v>0</v>
      </c>
      <c r="BC55">
        <v>2048.9008538319999</v>
      </c>
      <c r="BD55">
        <v>0</v>
      </c>
      <c r="BE55">
        <v>2890.951978481</v>
      </c>
      <c r="BF55">
        <v>18.040954134</v>
      </c>
      <c r="BG55">
        <v>2437.3103779079997</v>
      </c>
      <c r="BH55">
        <v>1515.358236</v>
      </c>
      <c r="BI55">
        <v>875.02381815800004</v>
      </c>
      <c r="BJ55">
        <v>1875.443530345</v>
      </c>
      <c r="BK55">
        <v>0</v>
      </c>
      <c r="BL55">
        <v>0</v>
      </c>
      <c r="BM55">
        <v>1651.7814328679999</v>
      </c>
      <c r="BN55">
        <v>3.0307164719999999</v>
      </c>
      <c r="BO55">
        <v>11933.196961763</v>
      </c>
      <c r="BP55">
        <v>0</v>
      </c>
      <c r="BQ55">
        <v>0</v>
      </c>
      <c r="BR55">
        <v>0</v>
      </c>
      <c r="BS55">
        <v>25520</v>
      </c>
      <c r="BT55">
        <v>0</v>
      </c>
      <c r="BU55">
        <v>0</v>
      </c>
      <c r="BV55">
        <v>2130</v>
      </c>
      <c r="BW55">
        <v>0</v>
      </c>
      <c r="BX55">
        <v>0</v>
      </c>
      <c r="BY55">
        <v>0</v>
      </c>
      <c r="BZ55">
        <v>0</v>
      </c>
      <c r="CA55">
        <v>0</v>
      </c>
      <c r="CB55">
        <v>27239.999999999996</v>
      </c>
    </row>
    <row r="56" spans="2:80">
      <c r="B56">
        <v>54</v>
      </c>
      <c r="C56" s="1" t="s">
        <v>16</v>
      </c>
      <c r="D56" s="1" t="s">
        <v>16</v>
      </c>
      <c r="E56" t="s">
        <v>179</v>
      </c>
      <c r="F56" t="s">
        <v>180</v>
      </c>
      <c r="G56">
        <v>1167990</v>
      </c>
      <c r="H56">
        <v>14789094</v>
      </c>
      <c r="I56">
        <v>315037.84000000003</v>
      </c>
      <c r="J56">
        <v>174922.89</v>
      </c>
      <c r="K56">
        <v>55527.85</v>
      </c>
      <c r="L56">
        <v>186240.67</v>
      </c>
      <c r="M56">
        <v>0</v>
      </c>
      <c r="N56">
        <v>-2035.671</v>
      </c>
      <c r="O56">
        <v>-1105.962</v>
      </c>
      <c r="P56">
        <v>0</v>
      </c>
      <c r="Q56">
        <v>-1368.5840000000001</v>
      </c>
      <c r="R56">
        <v>-2432.857</v>
      </c>
      <c r="S56">
        <v>-9069.1219999999994</v>
      </c>
      <c r="T56">
        <v>1132.8900000000001</v>
      </c>
      <c r="U56">
        <v>652.86599999999999</v>
      </c>
      <c r="V56">
        <v>1919.6479999999999</v>
      </c>
      <c r="W56">
        <v>2738.8870000000002</v>
      </c>
      <c r="X56">
        <v>0</v>
      </c>
      <c r="Y56">
        <v>-9567.9040000000005</v>
      </c>
      <c r="Z56">
        <v>-20748.57</v>
      </c>
      <c r="AA56">
        <v>15974</v>
      </c>
      <c r="AB56">
        <v>0</v>
      </c>
      <c r="AC56">
        <v>1901665</v>
      </c>
      <c r="AD56">
        <v>200078</v>
      </c>
      <c r="AE56">
        <v>7386.8492162430002</v>
      </c>
      <c r="AF56">
        <v>0</v>
      </c>
      <c r="AG56">
        <v>10979.398406116001</v>
      </c>
      <c r="AH56">
        <v>31.177471815000001</v>
      </c>
      <c r="AI56">
        <v>4094.5457352379999</v>
      </c>
      <c r="AJ56">
        <v>165.361761019</v>
      </c>
      <c r="AK56">
        <v>5569.5285479680006</v>
      </c>
      <c r="AL56">
        <v>8826.9002912579999</v>
      </c>
      <c r="AM56">
        <v>0</v>
      </c>
      <c r="AN56">
        <v>0</v>
      </c>
      <c r="AO56">
        <v>4524.3102046869999</v>
      </c>
      <c r="AP56">
        <v>26.549485851</v>
      </c>
      <c r="AQ56">
        <v>0</v>
      </c>
      <c r="AR56">
        <v>0</v>
      </c>
      <c r="AS56">
        <v>0</v>
      </c>
      <c r="AT56">
        <v>21874.2</v>
      </c>
      <c r="AU56">
        <v>0</v>
      </c>
      <c r="AV56">
        <v>0</v>
      </c>
      <c r="AW56">
        <v>887.8</v>
      </c>
      <c r="AX56">
        <v>0</v>
      </c>
      <c r="AY56">
        <v>0</v>
      </c>
      <c r="AZ56">
        <v>0</v>
      </c>
      <c r="BA56">
        <v>0</v>
      </c>
      <c r="BB56">
        <v>0</v>
      </c>
      <c r="BC56">
        <v>2048.9008538319999</v>
      </c>
      <c r="BD56">
        <v>0</v>
      </c>
      <c r="BE56">
        <v>2890.951978481</v>
      </c>
      <c r="BF56">
        <v>18.051193040999998</v>
      </c>
      <c r="BG56">
        <v>1356.24562122</v>
      </c>
      <c r="BH56">
        <v>687.48117160799995</v>
      </c>
      <c r="BI56">
        <v>716.08185182800003</v>
      </c>
      <c r="BJ56">
        <v>2025.812118547</v>
      </c>
      <c r="BK56">
        <v>0</v>
      </c>
      <c r="BL56">
        <v>0</v>
      </c>
      <c r="BM56">
        <v>1651.7814328679999</v>
      </c>
      <c r="BN56">
        <v>3.0307164719999999</v>
      </c>
      <c r="BO56">
        <v>10518.630526270999</v>
      </c>
      <c r="BP56">
        <v>0</v>
      </c>
      <c r="BQ56">
        <v>0</v>
      </c>
      <c r="BR56">
        <v>0</v>
      </c>
      <c r="BS56">
        <v>22110</v>
      </c>
      <c r="BT56">
        <v>0</v>
      </c>
      <c r="BU56">
        <v>0</v>
      </c>
      <c r="BV56">
        <v>819.99999999999989</v>
      </c>
      <c r="BW56">
        <v>0</v>
      </c>
      <c r="BX56">
        <v>0</v>
      </c>
      <c r="BY56">
        <v>0</v>
      </c>
      <c r="BZ56">
        <v>0</v>
      </c>
      <c r="CA56">
        <v>0</v>
      </c>
      <c r="CB56">
        <v>22480</v>
      </c>
    </row>
    <row r="57" spans="2:80">
      <c r="B57">
        <v>55</v>
      </c>
      <c r="C57" s="1" t="s">
        <v>16</v>
      </c>
      <c r="D57" s="1" t="s">
        <v>16</v>
      </c>
      <c r="E57" t="s">
        <v>181</v>
      </c>
      <c r="F57" t="s">
        <v>182</v>
      </c>
      <c r="G57">
        <v>1167990</v>
      </c>
      <c r="H57">
        <v>14789094</v>
      </c>
      <c r="I57">
        <v>315037.84000000003</v>
      </c>
      <c r="J57">
        <v>174922.89</v>
      </c>
      <c r="K57">
        <v>55527.85</v>
      </c>
      <c r="L57">
        <v>186240.67</v>
      </c>
      <c r="M57">
        <v>0</v>
      </c>
      <c r="N57">
        <v>-2106.2669999999998</v>
      </c>
      <c r="O57">
        <v>-1109.0820000000001</v>
      </c>
      <c r="P57">
        <v>0</v>
      </c>
      <c r="Q57">
        <v>-1368.5840000000001</v>
      </c>
      <c r="R57">
        <v>-2542.893</v>
      </c>
      <c r="S57">
        <v>-9507.8259999999991</v>
      </c>
      <c r="T57">
        <v>1201.8920000000001</v>
      </c>
      <c r="U57">
        <v>739.84199999999998</v>
      </c>
      <c r="V57">
        <v>1685.9110000000001</v>
      </c>
      <c r="W57">
        <v>3022.0810000000001</v>
      </c>
      <c r="X57">
        <v>0</v>
      </c>
      <c r="Y57">
        <v>-9984.9279999999999</v>
      </c>
      <c r="Z57">
        <v>-34811.031000000003</v>
      </c>
      <c r="AA57">
        <v>16042</v>
      </c>
      <c r="AB57">
        <v>0</v>
      </c>
      <c r="AC57">
        <v>1763399</v>
      </c>
      <c r="AD57">
        <v>327171</v>
      </c>
      <c r="AE57">
        <v>5731.5626642120005</v>
      </c>
      <c r="AF57">
        <v>0</v>
      </c>
      <c r="AG57">
        <v>10979.398406116001</v>
      </c>
      <c r="AH57">
        <v>48.361770730000003</v>
      </c>
      <c r="AI57">
        <v>4003.5628076359999</v>
      </c>
      <c r="AJ57">
        <v>194.50510331000001</v>
      </c>
      <c r="AK57">
        <v>5408.8357285410002</v>
      </c>
      <c r="AL57">
        <v>7662.5590909700004</v>
      </c>
      <c r="AM57">
        <v>0</v>
      </c>
      <c r="AN57">
        <v>0</v>
      </c>
      <c r="AO57">
        <v>4524.3102046869999</v>
      </c>
      <c r="AP57">
        <v>26.549485851</v>
      </c>
      <c r="AQ57">
        <v>0</v>
      </c>
      <c r="AR57">
        <v>0</v>
      </c>
      <c r="AS57">
        <v>0</v>
      </c>
      <c r="AT57">
        <v>33283.9</v>
      </c>
      <c r="AU57">
        <v>0</v>
      </c>
      <c r="AV57">
        <v>0</v>
      </c>
      <c r="AW57">
        <v>3937</v>
      </c>
      <c r="AX57">
        <v>0</v>
      </c>
      <c r="AY57">
        <v>0</v>
      </c>
      <c r="AZ57">
        <v>0</v>
      </c>
      <c r="BA57">
        <v>0</v>
      </c>
      <c r="BB57">
        <v>0</v>
      </c>
      <c r="BC57">
        <v>1574.115910304</v>
      </c>
      <c r="BD57">
        <v>0</v>
      </c>
      <c r="BE57">
        <v>2890.951978481</v>
      </c>
      <c r="BF57">
        <v>18.054606010000001</v>
      </c>
      <c r="BG57">
        <v>2375.6209632330001</v>
      </c>
      <c r="BH57">
        <v>1499.6892953209999</v>
      </c>
      <c r="BI57">
        <v>872.93849409899997</v>
      </c>
      <c r="BJ57">
        <v>1805.8906350939999</v>
      </c>
      <c r="BK57">
        <v>0</v>
      </c>
      <c r="BL57">
        <v>0</v>
      </c>
      <c r="BM57">
        <v>1651.7814328679999</v>
      </c>
      <c r="BN57">
        <v>3.0307164719999999</v>
      </c>
      <c r="BO57">
        <v>11276.27892755</v>
      </c>
      <c r="BP57">
        <v>0</v>
      </c>
      <c r="BQ57">
        <v>0</v>
      </c>
      <c r="BR57">
        <v>0</v>
      </c>
      <c r="BS57">
        <v>25580</v>
      </c>
      <c r="BT57">
        <v>0</v>
      </c>
      <c r="BU57">
        <v>0</v>
      </c>
      <c r="BV57">
        <v>2130</v>
      </c>
      <c r="BW57">
        <v>0</v>
      </c>
      <c r="BX57">
        <v>0</v>
      </c>
      <c r="BY57">
        <v>0</v>
      </c>
      <c r="BZ57">
        <v>0</v>
      </c>
      <c r="CA57">
        <v>0</v>
      </c>
      <c r="CB57">
        <v>27300</v>
      </c>
    </row>
    <row r="58" spans="2:80">
      <c r="B58">
        <v>56</v>
      </c>
      <c r="C58" s="1" t="s">
        <v>16</v>
      </c>
      <c r="D58" s="1" t="s">
        <v>16</v>
      </c>
      <c r="E58" t="s">
        <v>183</v>
      </c>
      <c r="F58" t="s">
        <v>184</v>
      </c>
      <c r="G58">
        <v>1167990</v>
      </c>
      <c r="H58">
        <v>14789094</v>
      </c>
      <c r="I58">
        <v>315037.84000000003</v>
      </c>
      <c r="J58">
        <v>174922.89</v>
      </c>
      <c r="K58">
        <v>55527.85</v>
      </c>
      <c r="L58">
        <v>186240.67</v>
      </c>
      <c r="M58">
        <v>0</v>
      </c>
      <c r="N58">
        <v>-2106.2669999999998</v>
      </c>
      <c r="O58">
        <v>-1109.0820000000001</v>
      </c>
      <c r="P58">
        <v>0</v>
      </c>
      <c r="Q58">
        <v>-1368.5840000000001</v>
      </c>
      <c r="R58">
        <v>-2542.893</v>
      </c>
      <c r="S58">
        <v>-9507.8259999999991</v>
      </c>
      <c r="T58">
        <v>1201.8920000000001</v>
      </c>
      <c r="U58">
        <v>739.84199999999998</v>
      </c>
      <c r="V58">
        <v>1685.9110000000001</v>
      </c>
      <c r="W58">
        <v>3022.0810000000001</v>
      </c>
      <c r="X58">
        <v>0</v>
      </c>
      <c r="Y58">
        <v>-9984.9279999999999</v>
      </c>
      <c r="Z58">
        <v>-21716.937999999998</v>
      </c>
      <c r="AA58">
        <v>16040</v>
      </c>
      <c r="AB58">
        <v>0</v>
      </c>
      <c r="AC58">
        <v>1819923</v>
      </c>
      <c r="AD58">
        <v>208802</v>
      </c>
      <c r="AE58">
        <v>5731.5626642120005</v>
      </c>
      <c r="AF58">
        <v>0</v>
      </c>
      <c r="AG58">
        <v>10979.398406116001</v>
      </c>
      <c r="AH58">
        <v>32.771328338000004</v>
      </c>
      <c r="AI58">
        <v>4020.8767993730003</v>
      </c>
      <c r="AJ58">
        <v>153.16722278200001</v>
      </c>
      <c r="AK58">
        <v>5574.2589230020003</v>
      </c>
      <c r="AL58">
        <v>8773.3303298339997</v>
      </c>
      <c r="AM58">
        <v>0</v>
      </c>
      <c r="AN58">
        <v>0</v>
      </c>
      <c r="AO58">
        <v>4524.3102046869999</v>
      </c>
      <c r="AP58">
        <v>26.549485851</v>
      </c>
      <c r="AQ58">
        <v>0</v>
      </c>
      <c r="AR58">
        <v>0</v>
      </c>
      <c r="AS58">
        <v>0</v>
      </c>
      <c r="AT58">
        <v>22866.7</v>
      </c>
      <c r="AU58">
        <v>0</v>
      </c>
      <c r="AV58">
        <v>0</v>
      </c>
      <c r="AW58">
        <v>887.8</v>
      </c>
      <c r="AX58">
        <v>0</v>
      </c>
      <c r="AY58">
        <v>0</v>
      </c>
      <c r="AZ58">
        <v>0</v>
      </c>
      <c r="BA58">
        <v>0</v>
      </c>
      <c r="BB58">
        <v>0</v>
      </c>
      <c r="BC58">
        <v>1574.115910304</v>
      </c>
      <c r="BD58">
        <v>0</v>
      </c>
      <c r="BE58">
        <v>2890.951978481</v>
      </c>
      <c r="BF58">
        <v>18.017063351000001</v>
      </c>
      <c r="BG58">
        <v>1288.853135346</v>
      </c>
      <c r="BH58">
        <v>618.75421485499999</v>
      </c>
      <c r="BI58">
        <v>715.95898494400001</v>
      </c>
      <c r="BJ58">
        <v>1955.9827728069997</v>
      </c>
      <c r="BK58">
        <v>0</v>
      </c>
      <c r="BL58">
        <v>0</v>
      </c>
      <c r="BM58">
        <v>1651.7814328679999</v>
      </c>
      <c r="BN58">
        <v>3.0307164719999999</v>
      </c>
      <c r="BO58">
        <v>9855.3814345629999</v>
      </c>
      <c r="BP58">
        <v>0</v>
      </c>
      <c r="BQ58">
        <v>0</v>
      </c>
      <c r="BR58">
        <v>0</v>
      </c>
      <c r="BS58">
        <v>22170</v>
      </c>
      <c r="BT58">
        <v>0</v>
      </c>
      <c r="BU58">
        <v>0</v>
      </c>
      <c r="BV58">
        <v>819.99999999999989</v>
      </c>
      <c r="BW58">
        <v>0</v>
      </c>
      <c r="BX58">
        <v>0</v>
      </c>
      <c r="BY58">
        <v>0</v>
      </c>
      <c r="BZ58">
        <v>0</v>
      </c>
      <c r="CA58">
        <v>0</v>
      </c>
      <c r="CB58">
        <v>22540</v>
      </c>
    </row>
    <row r="59" spans="2:80">
      <c r="B59">
        <v>57</v>
      </c>
      <c r="C59" s="1" t="s">
        <v>16</v>
      </c>
      <c r="D59" s="1" t="s">
        <v>16</v>
      </c>
      <c r="E59" t="s">
        <v>185</v>
      </c>
      <c r="F59" t="s">
        <v>186</v>
      </c>
      <c r="G59">
        <v>1167990</v>
      </c>
      <c r="H59">
        <v>14789094</v>
      </c>
      <c r="I59">
        <v>315037.84000000003</v>
      </c>
      <c r="J59">
        <v>174922.89</v>
      </c>
      <c r="K59">
        <v>55527.85</v>
      </c>
      <c r="L59">
        <v>186240.67</v>
      </c>
      <c r="M59">
        <v>0</v>
      </c>
      <c r="N59">
        <v>-1919.807</v>
      </c>
      <c r="O59">
        <v>-1105.069</v>
      </c>
      <c r="P59">
        <v>0</v>
      </c>
      <c r="Q59">
        <v>-1368.5840000000001</v>
      </c>
      <c r="R59">
        <v>-2635.7860000000001</v>
      </c>
      <c r="S59">
        <v>-6090.3630000000003</v>
      </c>
      <c r="T59">
        <v>944.85199999999998</v>
      </c>
      <c r="U59">
        <v>536.35500000000002</v>
      </c>
      <c r="V59">
        <v>1614.4349999999999</v>
      </c>
      <c r="W59">
        <v>2288.1080000000002</v>
      </c>
      <c r="X59">
        <v>0</v>
      </c>
      <c r="Y59">
        <v>-7735.8580000000002</v>
      </c>
      <c r="Z59">
        <v>-31616.396000000001</v>
      </c>
      <c r="AA59">
        <v>15854</v>
      </c>
      <c r="AB59">
        <v>0</v>
      </c>
      <c r="AC59">
        <v>1847741</v>
      </c>
      <c r="AD59">
        <v>300614</v>
      </c>
      <c r="AE59">
        <v>7386.8492162430002</v>
      </c>
      <c r="AF59">
        <v>0</v>
      </c>
      <c r="AG59">
        <v>10979.398406116001</v>
      </c>
      <c r="AH59">
        <v>46.723545610000002</v>
      </c>
      <c r="AI59">
        <v>4105.3477821229999</v>
      </c>
      <c r="AJ59">
        <v>212.679163235</v>
      </c>
      <c r="AK59">
        <v>5401.6889714549998</v>
      </c>
      <c r="AL59">
        <v>7741.3645451800003</v>
      </c>
      <c r="AM59">
        <v>0</v>
      </c>
      <c r="AN59">
        <v>0</v>
      </c>
      <c r="AO59">
        <v>4524.3102046869999</v>
      </c>
      <c r="AP59">
        <v>26.549485851</v>
      </c>
      <c r="AQ59">
        <v>0</v>
      </c>
      <c r="AR59">
        <v>0</v>
      </c>
      <c r="AS59">
        <v>0</v>
      </c>
      <c r="AT59">
        <v>30262.5</v>
      </c>
      <c r="AU59">
        <v>0</v>
      </c>
      <c r="AV59">
        <v>0</v>
      </c>
      <c r="AW59">
        <v>3937</v>
      </c>
      <c r="AX59">
        <v>0</v>
      </c>
      <c r="AY59">
        <v>0</v>
      </c>
      <c r="AZ59">
        <v>0</v>
      </c>
      <c r="BA59">
        <v>0</v>
      </c>
      <c r="BB59">
        <v>0</v>
      </c>
      <c r="BC59">
        <v>2048.9008538319999</v>
      </c>
      <c r="BD59">
        <v>0</v>
      </c>
      <c r="BE59">
        <v>2890.951978481</v>
      </c>
      <c r="BF59">
        <v>18.013650381999998</v>
      </c>
      <c r="BG59">
        <v>2454.7643013739998</v>
      </c>
      <c r="BH59">
        <v>1515.358236</v>
      </c>
      <c r="BI59">
        <v>876.1023163619999</v>
      </c>
      <c r="BJ59">
        <v>1896.675610494</v>
      </c>
      <c r="BK59">
        <v>0</v>
      </c>
      <c r="BL59">
        <v>0</v>
      </c>
      <c r="BM59">
        <v>1651.7814328679999</v>
      </c>
      <c r="BN59">
        <v>3.0307164719999999</v>
      </c>
      <c r="BO59">
        <v>12008.688423074</v>
      </c>
      <c r="BP59">
        <v>0</v>
      </c>
      <c r="BQ59">
        <v>0</v>
      </c>
      <c r="BR59">
        <v>0</v>
      </c>
      <c r="BS59">
        <v>24680</v>
      </c>
      <c r="BT59">
        <v>0</v>
      </c>
      <c r="BU59">
        <v>0</v>
      </c>
      <c r="BV59">
        <v>2130</v>
      </c>
      <c r="BW59">
        <v>0</v>
      </c>
      <c r="BX59">
        <v>0</v>
      </c>
      <c r="BY59">
        <v>0</v>
      </c>
      <c r="BZ59">
        <v>0</v>
      </c>
      <c r="CA59">
        <v>0</v>
      </c>
      <c r="CB59">
        <v>26400</v>
      </c>
    </row>
    <row r="60" spans="2:80">
      <c r="B60">
        <v>58</v>
      </c>
      <c r="C60" s="1" t="s">
        <v>16</v>
      </c>
      <c r="D60" s="1" t="s">
        <v>16</v>
      </c>
      <c r="E60" t="s">
        <v>187</v>
      </c>
      <c r="F60" t="s">
        <v>188</v>
      </c>
      <c r="G60">
        <v>1167990</v>
      </c>
      <c r="H60">
        <v>14789094</v>
      </c>
      <c r="I60">
        <v>315037.84000000003</v>
      </c>
      <c r="J60">
        <v>174922.89</v>
      </c>
      <c r="K60">
        <v>55527.85</v>
      </c>
      <c r="L60">
        <v>186240.67</v>
      </c>
      <c r="M60">
        <v>0</v>
      </c>
      <c r="N60">
        <v>-1919.807</v>
      </c>
      <c r="O60">
        <v>-1105.069</v>
      </c>
      <c r="P60">
        <v>0</v>
      </c>
      <c r="Q60">
        <v>-1368.5840000000001</v>
      </c>
      <c r="R60">
        <v>-2635.7860000000001</v>
      </c>
      <c r="S60">
        <v>-6090.3630000000003</v>
      </c>
      <c r="T60">
        <v>944.85199999999998</v>
      </c>
      <c r="U60">
        <v>536.35500000000002</v>
      </c>
      <c r="V60">
        <v>1614.4349999999999</v>
      </c>
      <c r="W60">
        <v>2288.1080000000002</v>
      </c>
      <c r="X60">
        <v>0</v>
      </c>
      <c r="Y60">
        <v>-7735.8580000000002</v>
      </c>
      <c r="Z60">
        <v>-18527.842000000001</v>
      </c>
      <c r="AA60">
        <v>15851</v>
      </c>
      <c r="AB60">
        <v>0</v>
      </c>
      <c r="AC60">
        <v>1903887</v>
      </c>
      <c r="AD60">
        <v>180729</v>
      </c>
      <c r="AE60">
        <v>7386.8492162430002</v>
      </c>
      <c r="AF60">
        <v>0</v>
      </c>
      <c r="AG60">
        <v>10979.398406116001</v>
      </c>
      <c r="AH60">
        <v>28.703069290000002</v>
      </c>
      <c r="AI60">
        <v>4119.4058014339998</v>
      </c>
      <c r="AJ60">
        <v>171.71329632800001</v>
      </c>
      <c r="AK60">
        <v>5564.2247941420001</v>
      </c>
      <c r="AL60">
        <v>8852.0914154470011</v>
      </c>
      <c r="AM60">
        <v>0</v>
      </c>
      <c r="AN60">
        <v>0</v>
      </c>
      <c r="AO60">
        <v>4524.3102046869999</v>
      </c>
      <c r="AP60">
        <v>26.549485851</v>
      </c>
      <c r="AQ60">
        <v>0</v>
      </c>
      <c r="AR60">
        <v>0</v>
      </c>
      <c r="AS60">
        <v>0</v>
      </c>
      <c r="AT60">
        <v>19672.900000000001</v>
      </c>
      <c r="AU60">
        <v>0</v>
      </c>
      <c r="AV60">
        <v>0</v>
      </c>
      <c r="AW60">
        <v>887.8</v>
      </c>
      <c r="AX60">
        <v>0</v>
      </c>
      <c r="AY60">
        <v>0</v>
      </c>
      <c r="AZ60">
        <v>0</v>
      </c>
      <c r="BA60">
        <v>0</v>
      </c>
      <c r="BB60">
        <v>0</v>
      </c>
      <c r="BC60">
        <v>2048.9008538319999</v>
      </c>
      <c r="BD60">
        <v>0</v>
      </c>
      <c r="BE60">
        <v>2890.951978481</v>
      </c>
      <c r="BF60">
        <v>18.054606010000001</v>
      </c>
      <c r="BG60">
        <v>1375.293401209</v>
      </c>
      <c r="BH60">
        <v>709.63475338700005</v>
      </c>
      <c r="BI60">
        <v>715.31734677199995</v>
      </c>
      <c r="BJ60">
        <v>2047.194369332</v>
      </c>
      <c r="BK60">
        <v>0</v>
      </c>
      <c r="BL60">
        <v>0</v>
      </c>
      <c r="BM60">
        <v>1651.7814328679999</v>
      </c>
      <c r="BN60">
        <v>3.0307164719999999</v>
      </c>
      <c r="BO60">
        <v>10598.217550382</v>
      </c>
      <c r="BP60">
        <v>0</v>
      </c>
      <c r="BQ60">
        <v>0</v>
      </c>
      <c r="BR60">
        <v>0</v>
      </c>
      <c r="BS60">
        <v>21300</v>
      </c>
      <c r="BT60">
        <v>0</v>
      </c>
      <c r="BU60">
        <v>0</v>
      </c>
      <c r="BV60">
        <v>819.99999999999989</v>
      </c>
      <c r="BW60">
        <v>0</v>
      </c>
      <c r="BX60">
        <v>0</v>
      </c>
      <c r="BY60">
        <v>0</v>
      </c>
      <c r="BZ60">
        <v>0</v>
      </c>
      <c r="CA60">
        <v>0</v>
      </c>
      <c r="CB60">
        <v>21670</v>
      </c>
    </row>
    <row r="61" spans="2:80">
      <c r="B61">
        <v>59</v>
      </c>
      <c r="C61" s="1" t="s">
        <v>16</v>
      </c>
      <c r="D61" s="1" t="s">
        <v>16</v>
      </c>
      <c r="E61" t="s">
        <v>189</v>
      </c>
      <c r="F61" t="s">
        <v>190</v>
      </c>
      <c r="G61">
        <v>1167990</v>
      </c>
      <c r="H61">
        <v>14789094</v>
      </c>
      <c r="I61">
        <v>315037.84000000003</v>
      </c>
      <c r="J61">
        <v>174922.89</v>
      </c>
      <c r="K61">
        <v>55527.85</v>
      </c>
      <c r="L61">
        <v>186240.67</v>
      </c>
      <c r="M61">
        <v>0</v>
      </c>
      <c r="N61">
        <v>-1980.672</v>
      </c>
      <c r="O61">
        <v>-1108.2760000000001</v>
      </c>
      <c r="P61">
        <v>0</v>
      </c>
      <c r="Q61">
        <v>-1368.5840000000001</v>
      </c>
      <c r="R61">
        <v>-2743.4720000000002</v>
      </c>
      <c r="S61">
        <v>-6354.567</v>
      </c>
      <c r="T61">
        <v>999.91899999999998</v>
      </c>
      <c r="U61">
        <v>592.93600000000004</v>
      </c>
      <c r="V61">
        <v>1407.0509999999999</v>
      </c>
      <c r="W61">
        <v>2487.569</v>
      </c>
      <c r="X61">
        <v>0</v>
      </c>
      <c r="Y61">
        <v>-8068.0969999999998</v>
      </c>
      <c r="Z61">
        <v>-32531.974999999999</v>
      </c>
      <c r="AA61">
        <v>15928</v>
      </c>
      <c r="AB61">
        <v>0</v>
      </c>
      <c r="AC61">
        <v>1765318</v>
      </c>
      <c r="AD61">
        <v>308418</v>
      </c>
      <c r="AE61">
        <v>5731.5626642120005</v>
      </c>
      <c r="AF61">
        <v>0</v>
      </c>
      <c r="AG61">
        <v>10979.398406116001</v>
      </c>
      <c r="AH61">
        <v>47.481224728000001</v>
      </c>
      <c r="AI61">
        <v>4023.5320892550003</v>
      </c>
      <c r="AJ61">
        <v>200.07506871800001</v>
      </c>
      <c r="AK61">
        <v>5404.3681521200006</v>
      </c>
      <c r="AL61">
        <v>7684.3133553759999</v>
      </c>
      <c r="AM61">
        <v>0</v>
      </c>
      <c r="AN61">
        <v>0</v>
      </c>
      <c r="AO61">
        <v>4524.3102046869999</v>
      </c>
      <c r="AP61">
        <v>26.549485851</v>
      </c>
      <c r="AQ61">
        <v>0</v>
      </c>
      <c r="AR61">
        <v>0</v>
      </c>
      <c r="AS61">
        <v>0</v>
      </c>
      <c r="AT61">
        <v>31150.400000000001</v>
      </c>
      <c r="AU61">
        <v>0</v>
      </c>
      <c r="AV61">
        <v>0</v>
      </c>
      <c r="AW61">
        <v>3937</v>
      </c>
      <c r="AX61">
        <v>0</v>
      </c>
      <c r="AY61">
        <v>0</v>
      </c>
      <c r="AZ61">
        <v>0</v>
      </c>
      <c r="BA61">
        <v>0</v>
      </c>
      <c r="BB61">
        <v>0</v>
      </c>
      <c r="BC61">
        <v>1574.115910304</v>
      </c>
      <c r="BD61">
        <v>0</v>
      </c>
      <c r="BE61">
        <v>2890.951978481</v>
      </c>
      <c r="BF61">
        <v>18.051193040999998</v>
      </c>
      <c r="BG61">
        <v>2391.7267639439997</v>
      </c>
      <c r="BH61">
        <v>1521.5971433319999</v>
      </c>
      <c r="BI61">
        <v>873.95555886099999</v>
      </c>
      <c r="BJ61">
        <v>1826.2797118999999</v>
      </c>
      <c r="BK61">
        <v>0</v>
      </c>
      <c r="BL61">
        <v>0</v>
      </c>
      <c r="BM61">
        <v>1651.7814328679999</v>
      </c>
      <c r="BN61">
        <v>3.0307164719999999</v>
      </c>
      <c r="BO61">
        <v>11346.292573616</v>
      </c>
      <c r="BP61">
        <v>0</v>
      </c>
      <c r="BQ61">
        <v>0</v>
      </c>
      <c r="BR61">
        <v>0</v>
      </c>
      <c r="BS61">
        <v>24760</v>
      </c>
      <c r="BT61">
        <v>0</v>
      </c>
      <c r="BU61">
        <v>0</v>
      </c>
      <c r="BV61">
        <v>2130</v>
      </c>
      <c r="BW61">
        <v>0</v>
      </c>
      <c r="BX61">
        <v>0</v>
      </c>
      <c r="BY61">
        <v>0</v>
      </c>
      <c r="BZ61">
        <v>0</v>
      </c>
      <c r="CA61">
        <v>0</v>
      </c>
      <c r="CB61">
        <v>26489.999999999996</v>
      </c>
    </row>
    <row r="62" spans="2:80">
      <c r="B62">
        <v>60</v>
      </c>
      <c r="C62" s="1" t="s">
        <v>16</v>
      </c>
      <c r="D62" s="1" t="s">
        <v>16</v>
      </c>
      <c r="E62" t="s">
        <v>191</v>
      </c>
      <c r="F62" t="s">
        <v>192</v>
      </c>
      <c r="G62">
        <v>1167990</v>
      </c>
      <c r="H62">
        <v>14789094</v>
      </c>
      <c r="I62">
        <v>315037.84000000003</v>
      </c>
      <c r="J62">
        <v>174922.89</v>
      </c>
      <c r="K62">
        <v>55527.85</v>
      </c>
      <c r="L62">
        <v>186240.67</v>
      </c>
      <c r="M62">
        <v>0</v>
      </c>
      <c r="N62">
        <v>-1980.672</v>
      </c>
      <c r="O62">
        <v>-1108.2760000000001</v>
      </c>
      <c r="P62">
        <v>0</v>
      </c>
      <c r="Q62">
        <v>-1368.5840000000001</v>
      </c>
      <c r="R62">
        <v>-2743.4720000000002</v>
      </c>
      <c r="S62">
        <v>-6354.567</v>
      </c>
      <c r="T62">
        <v>999.91899999999998</v>
      </c>
      <c r="U62">
        <v>592.93600000000004</v>
      </c>
      <c r="V62">
        <v>1407.0509999999999</v>
      </c>
      <c r="W62">
        <v>2487.569</v>
      </c>
      <c r="X62">
        <v>0</v>
      </c>
      <c r="Y62">
        <v>-8068.0969999999998</v>
      </c>
      <c r="Z62">
        <v>-19440.263999999999</v>
      </c>
      <c r="AA62">
        <v>15925</v>
      </c>
      <c r="AB62">
        <v>0</v>
      </c>
      <c r="AC62">
        <v>1821769</v>
      </c>
      <c r="AD62">
        <v>189123</v>
      </c>
      <c r="AE62">
        <v>5731.5626642120005</v>
      </c>
      <c r="AF62">
        <v>0</v>
      </c>
      <c r="AG62">
        <v>10979.398406116001</v>
      </c>
      <c r="AH62">
        <v>30.331055503000002</v>
      </c>
      <c r="AI62">
        <v>4042.5218487709999</v>
      </c>
      <c r="AJ62">
        <v>158.56653974</v>
      </c>
      <c r="AK62">
        <v>5568.1087528640001</v>
      </c>
      <c r="AL62">
        <v>8795.2893723800007</v>
      </c>
      <c r="AM62">
        <v>0</v>
      </c>
      <c r="AN62">
        <v>0</v>
      </c>
      <c r="AO62">
        <v>4524.3102046869999</v>
      </c>
      <c r="AP62">
        <v>26.549485851</v>
      </c>
      <c r="AQ62">
        <v>0</v>
      </c>
      <c r="AR62">
        <v>0</v>
      </c>
      <c r="AS62">
        <v>0</v>
      </c>
      <c r="AT62">
        <v>20627.900000000001</v>
      </c>
      <c r="AU62">
        <v>0</v>
      </c>
      <c r="AV62">
        <v>0</v>
      </c>
      <c r="AW62">
        <v>887.8</v>
      </c>
      <c r="AX62">
        <v>0</v>
      </c>
      <c r="AY62">
        <v>0</v>
      </c>
      <c r="AZ62">
        <v>0</v>
      </c>
      <c r="BA62">
        <v>0</v>
      </c>
      <c r="BB62">
        <v>0</v>
      </c>
      <c r="BC62">
        <v>1574.115910304</v>
      </c>
      <c r="BD62">
        <v>0</v>
      </c>
      <c r="BE62">
        <v>2890.951978481</v>
      </c>
      <c r="BF62">
        <v>18.044367102999999</v>
      </c>
      <c r="BG62">
        <v>1305.788287524</v>
      </c>
      <c r="BH62">
        <v>634.64158554999995</v>
      </c>
      <c r="BI62">
        <v>714.07161308700006</v>
      </c>
      <c r="BJ62">
        <v>1976.440108993</v>
      </c>
      <c r="BK62">
        <v>0</v>
      </c>
      <c r="BL62">
        <v>0</v>
      </c>
      <c r="BM62">
        <v>1651.7814328679999</v>
      </c>
      <c r="BN62">
        <v>3.0307164719999999</v>
      </c>
      <c r="BO62">
        <v>9927.913851751</v>
      </c>
      <c r="BP62">
        <v>0</v>
      </c>
      <c r="BQ62">
        <v>0</v>
      </c>
      <c r="BR62">
        <v>0</v>
      </c>
      <c r="BS62">
        <v>21400</v>
      </c>
      <c r="BT62">
        <v>0</v>
      </c>
      <c r="BU62">
        <v>0</v>
      </c>
      <c r="BV62">
        <v>819.99999999999989</v>
      </c>
      <c r="BW62">
        <v>0</v>
      </c>
      <c r="BX62">
        <v>0</v>
      </c>
      <c r="BY62">
        <v>0</v>
      </c>
      <c r="BZ62">
        <v>0</v>
      </c>
      <c r="CA62">
        <v>0</v>
      </c>
      <c r="CB62">
        <v>21770</v>
      </c>
    </row>
    <row r="63" spans="2:80">
      <c r="B63">
        <v>61</v>
      </c>
      <c r="C63" s="1" t="s">
        <v>16</v>
      </c>
      <c r="D63" s="1" t="s">
        <v>16</v>
      </c>
      <c r="E63" t="s">
        <v>193</v>
      </c>
      <c r="F63" t="s">
        <v>194</v>
      </c>
      <c r="G63">
        <v>1167990</v>
      </c>
      <c r="H63">
        <v>14789094</v>
      </c>
      <c r="I63">
        <v>315037.84000000003</v>
      </c>
      <c r="J63">
        <v>174922.89</v>
      </c>
      <c r="K63">
        <v>55527.85</v>
      </c>
      <c r="L63">
        <v>186240.67</v>
      </c>
      <c r="M63">
        <v>0</v>
      </c>
      <c r="N63">
        <v>-1890.9670000000001</v>
      </c>
      <c r="O63">
        <v>-1101.0329999999999</v>
      </c>
      <c r="P63">
        <v>0</v>
      </c>
      <c r="Q63">
        <v>-1368.5840000000001</v>
      </c>
      <c r="R63">
        <v>-2175.5140000000001</v>
      </c>
      <c r="S63">
        <v>-5960.7030000000004</v>
      </c>
      <c r="T63">
        <v>915.14400000000001</v>
      </c>
      <c r="U63">
        <v>509.03399999999999</v>
      </c>
      <c r="V63">
        <v>1549.085</v>
      </c>
      <c r="W63">
        <v>2194.663</v>
      </c>
      <c r="X63">
        <v>0</v>
      </c>
      <c r="Y63">
        <v>-7328.8739999999998</v>
      </c>
      <c r="Z63">
        <v>-30886.877</v>
      </c>
      <c r="AA63">
        <v>15705</v>
      </c>
      <c r="AB63">
        <v>0</v>
      </c>
      <c r="AC63">
        <v>1848407</v>
      </c>
      <c r="AD63">
        <v>294632</v>
      </c>
      <c r="AE63">
        <v>7386.8492162430002</v>
      </c>
      <c r="AF63">
        <v>0</v>
      </c>
      <c r="AG63">
        <v>10979.398406116001</v>
      </c>
      <c r="AH63">
        <v>46.488050749000003</v>
      </c>
      <c r="AI63">
        <v>4109.8665530790004</v>
      </c>
      <c r="AJ63">
        <v>214.43684227</v>
      </c>
      <c r="AK63">
        <v>5400.9756609340002</v>
      </c>
      <c r="AL63">
        <v>7750.5829744490002</v>
      </c>
      <c r="AM63">
        <v>0</v>
      </c>
      <c r="AN63">
        <v>0</v>
      </c>
      <c r="AO63">
        <v>4524.3102046869999</v>
      </c>
      <c r="AP63">
        <v>26.549485851</v>
      </c>
      <c r="AQ63">
        <v>0</v>
      </c>
      <c r="AR63">
        <v>0</v>
      </c>
      <c r="AS63">
        <v>0</v>
      </c>
      <c r="AT63">
        <v>29582</v>
      </c>
      <c r="AU63">
        <v>0</v>
      </c>
      <c r="AV63">
        <v>0</v>
      </c>
      <c r="AW63">
        <v>3937</v>
      </c>
      <c r="AX63">
        <v>0</v>
      </c>
      <c r="AY63">
        <v>0</v>
      </c>
      <c r="AZ63">
        <v>0</v>
      </c>
      <c r="BA63">
        <v>0</v>
      </c>
      <c r="BB63">
        <v>0</v>
      </c>
      <c r="BC63">
        <v>2048.9008538319999</v>
      </c>
      <c r="BD63">
        <v>0</v>
      </c>
      <c r="BE63">
        <v>2890.951978481</v>
      </c>
      <c r="BF63">
        <v>18.054606010000001</v>
      </c>
      <c r="BG63">
        <v>2440.4742001709997</v>
      </c>
      <c r="BH63">
        <v>1515.358236</v>
      </c>
      <c r="BI63">
        <v>875.31392052299998</v>
      </c>
      <c r="BJ63">
        <v>1901.5902858540001</v>
      </c>
      <c r="BK63">
        <v>0</v>
      </c>
      <c r="BL63">
        <v>0</v>
      </c>
      <c r="BM63">
        <v>1651.7814328679999</v>
      </c>
      <c r="BN63">
        <v>3.0307164719999999</v>
      </c>
      <c r="BO63">
        <v>11998.855659384999</v>
      </c>
      <c r="BP63">
        <v>0</v>
      </c>
      <c r="BQ63">
        <v>0</v>
      </c>
      <c r="BR63">
        <v>0</v>
      </c>
      <c r="BS63">
        <v>24330</v>
      </c>
      <c r="BT63">
        <v>0</v>
      </c>
      <c r="BU63">
        <v>0</v>
      </c>
      <c r="BV63">
        <v>2130</v>
      </c>
      <c r="BW63">
        <v>0</v>
      </c>
      <c r="BX63">
        <v>0</v>
      </c>
      <c r="BY63">
        <v>0</v>
      </c>
      <c r="BZ63">
        <v>0</v>
      </c>
      <c r="CA63">
        <v>0</v>
      </c>
      <c r="CB63">
        <v>26050</v>
      </c>
    </row>
    <row r="64" spans="2:80">
      <c r="B64">
        <v>62</v>
      </c>
      <c r="C64" s="1" t="s">
        <v>16</v>
      </c>
      <c r="D64" s="1" t="s">
        <v>16</v>
      </c>
      <c r="E64" t="s">
        <v>195</v>
      </c>
      <c r="F64" t="s">
        <v>196</v>
      </c>
      <c r="G64">
        <v>1167990</v>
      </c>
      <c r="H64">
        <v>14789094</v>
      </c>
      <c r="I64">
        <v>315037.84000000003</v>
      </c>
      <c r="J64">
        <v>174922.89</v>
      </c>
      <c r="K64">
        <v>55527.85</v>
      </c>
      <c r="L64">
        <v>186240.67</v>
      </c>
      <c r="M64">
        <v>0</v>
      </c>
      <c r="N64">
        <v>-1890.9670000000001</v>
      </c>
      <c r="O64">
        <v>-1101.0329999999999</v>
      </c>
      <c r="P64">
        <v>0</v>
      </c>
      <c r="Q64">
        <v>-1368.5840000000001</v>
      </c>
      <c r="R64">
        <v>-2175.5140000000001</v>
      </c>
      <c r="S64">
        <v>-5960.7030000000004</v>
      </c>
      <c r="T64">
        <v>915.14400000000001</v>
      </c>
      <c r="U64">
        <v>509.03399999999999</v>
      </c>
      <c r="V64">
        <v>1549.085</v>
      </c>
      <c r="W64">
        <v>2194.663</v>
      </c>
      <c r="X64">
        <v>0</v>
      </c>
      <c r="Y64">
        <v>-7328.8739999999998</v>
      </c>
      <c r="Z64">
        <v>-17799.848000000002</v>
      </c>
      <c r="AA64">
        <v>15704</v>
      </c>
      <c r="AB64">
        <v>0</v>
      </c>
      <c r="AC64">
        <v>1904524</v>
      </c>
      <c r="AD64">
        <v>174327</v>
      </c>
      <c r="AE64">
        <v>7386.8492162430002</v>
      </c>
      <c r="AF64">
        <v>0</v>
      </c>
      <c r="AG64">
        <v>10979.398406116001</v>
      </c>
      <c r="AH64">
        <v>27.764502815</v>
      </c>
      <c r="AI64">
        <v>4124.7505108880005</v>
      </c>
      <c r="AJ64">
        <v>173.48121427000001</v>
      </c>
      <c r="AK64">
        <v>5562.811824976</v>
      </c>
      <c r="AL64">
        <v>8861.2723020570011</v>
      </c>
      <c r="AM64">
        <v>0</v>
      </c>
      <c r="AN64">
        <v>0</v>
      </c>
      <c r="AO64">
        <v>4524.3102046869999</v>
      </c>
      <c r="AP64">
        <v>26.549485851</v>
      </c>
      <c r="AQ64">
        <v>0</v>
      </c>
      <c r="AR64">
        <v>0</v>
      </c>
      <c r="AS64">
        <v>0</v>
      </c>
      <c r="AT64">
        <v>18944.599999999999</v>
      </c>
      <c r="AU64">
        <v>0</v>
      </c>
      <c r="AV64">
        <v>0</v>
      </c>
      <c r="AW64">
        <v>887.8</v>
      </c>
      <c r="AX64">
        <v>0</v>
      </c>
      <c r="AY64">
        <v>0</v>
      </c>
      <c r="AZ64">
        <v>0</v>
      </c>
      <c r="BA64">
        <v>0</v>
      </c>
      <c r="BB64">
        <v>0</v>
      </c>
      <c r="BC64">
        <v>2048.9008538319999</v>
      </c>
      <c r="BD64">
        <v>0</v>
      </c>
      <c r="BE64">
        <v>2890.951978481</v>
      </c>
      <c r="BF64">
        <v>18.044367102999999</v>
      </c>
      <c r="BG64">
        <v>1362.1364057139999</v>
      </c>
      <c r="BH64">
        <v>707.32076040499999</v>
      </c>
      <c r="BI64">
        <v>714.12622059099999</v>
      </c>
      <c r="BJ64">
        <v>2052.1568262579999</v>
      </c>
      <c r="BK64">
        <v>0</v>
      </c>
      <c r="BL64">
        <v>0</v>
      </c>
      <c r="BM64">
        <v>1651.7814328679999</v>
      </c>
      <c r="BN64">
        <v>3.0307164719999999</v>
      </c>
      <c r="BO64">
        <v>10587.54178335</v>
      </c>
      <c r="BP64">
        <v>0</v>
      </c>
      <c r="BQ64">
        <v>0</v>
      </c>
      <c r="BR64">
        <v>0</v>
      </c>
      <c r="BS64">
        <v>20900</v>
      </c>
      <c r="BT64">
        <v>0</v>
      </c>
      <c r="BU64">
        <v>0</v>
      </c>
      <c r="BV64">
        <v>819.99999999999989</v>
      </c>
      <c r="BW64">
        <v>0</v>
      </c>
      <c r="BX64">
        <v>0</v>
      </c>
      <c r="BY64">
        <v>0</v>
      </c>
      <c r="BZ64">
        <v>0</v>
      </c>
      <c r="CA64">
        <v>0</v>
      </c>
      <c r="CB64">
        <v>21270</v>
      </c>
    </row>
    <row r="65" spans="1:80">
      <c r="B65">
        <v>63</v>
      </c>
      <c r="C65" s="1" t="s">
        <v>16</v>
      </c>
      <c r="D65" s="1" t="s">
        <v>16</v>
      </c>
      <c r="E65" t="s">
        <v>197</v>
      </c>
      <c r="F65" t="s">
        <v>198</v>
      </c>
      <c r="G65">
        <v>1167990</v>
      </c>
      <c r="H65">
        <v>14789094</v>
      </c>
      <c r="I65">
        <v>315037.84000000003</v>
      </c>
      <c r="J65">
        <v>174922.89</v>
      </c>
      <c r="K65">
        <v>55527.85</v>
      </c>
      <c r="L65">
        <v>186240.67</v>
      </c>
      <c r="M65">
        <v>0</v>
      </c>
      <c r="N65">
        <v>-1953.508</v>
      </c>
      <c r="O65">
        <v>-1104.2629999999999</v>
      </c>
      <c r="P65">
        <v>0</v>
      </c>
      <c r="Q65">
        <v>-1368.5840000000001</v>
      </c>
      <c r="R65">
        <v>-2267.42</v>
      </c>
      <c r="S65">
        <v>-6226.9889999999996</v>
      </c>
      <c r="T65">
        <v>968.36199999999997</v>
      </c>
      <c r="U65">
        <v>564.53899999999999</v>
      </c>
      <c r="V65">
        <v>1355.3579999999999</v>
      </c>
      <c r="W65">
        <v>2387.511</v>
      </c>
      <c r="X65">
        <v>0</v>
      </c>
      <c r="Y65">
        <v>-7644.9949999999999</v>
      </c>
      <c r="Z65">
        <v>-31783.956999999999</v>
      </c>
      <c r="AA65">
        <v>15779</v>
      </c>
      <c r="AB65">
        <v>0</v>
      </c>
      <c r="AC65">
        <v>1765869</v>
      </c>
      <c r="AD65">
        <v>302184</v>
      </c>
      <c r="AE65">
        <v>5731.5626642120005</v>
      </c>
      <c r="AF65">
        <v>0</v>
      </c>
      <c r="AG65">
        <v>10979.398406116001</v>
      </c>
      <c r="AH65">
        <v>47.081907354999998</v>
      </c>
      <c r="AI65">
        <v>4026.7948876190003</v>
      </c>
      <c r="AJ65">
        <v>201.518754605</v>
      </c>
      <c r="AK65">
        <v>5403.2794150090003</v>
      </c>
      <c r="AL65">
        <v>7693.1734229000003</v>
      </c>
      <c r="AM65">
        <v>0</v>
      </c>
      <c r="AN65">
        <v>0</v>
      </c>
      <c r="AO65">
        <v>4524.3102046869999</v>
      </c>
      <c r="AP65">
        <v>26.549485851</v>
      </c>
      <c r="AQ65">
        <v>0</v>
      </c>
      <c r="AR65">
        <v>0</v>
      </c>
      <c r="AS65">
        <v>0</v>
      </c>
      <c r="AT65">
        <v>30441.200000000001</v>
      </c>
      <c r="AU65">
        <v>0</v>
      </c>
      <c r="AV65">
        <v>0</v>
      </c>
      <c r="AW65">
        <v>3937</v>
      </c>
      <c r="AX65">
        <v>0</v>
      </c>
      <c r="AY65">
        <v>0</v>
      </c>
      <c r="AZ65">
        <v>0</v>
      </c>
      <c r="BA65">
        <v>0</v>
      </c>
      <c r="BB65">
        <v>0</v>
      </c>
      <c r="BC65">
        <v>1574.115910304</v>
      </c>
      <c r="BD65">
        <v>0</v>
      </c>
      <c r="BE65">
        <v>2890.951978481</v>
      </c>
      <c r="BF65">
        <v>18.085322731000002</v>
      </c>
      <c r="BG65">
        <v>2378.6175500149998</v>
      </c>
      <c r="BH65">
        <v>1503.7814451520001</v>
      </c>
      <c r="BI65">
        <v>873.17740192899998</v>
      </c>
      <c r="BJ65">
        <v>1831.0237388099999</v>
      </c>
      <c r="BK65">
        <v>0</v>
      </c>
      <c r="BL65">
        <v>0</v>
      </c>
      <c r="BM65">
        <v>1651.7814328679999</v>
      </c>
      <c r="BN65">
        <v>3.0307164719999999</v>
      </c>
      <c r="BO65">
        <v>11338.057079418999</v>
      </c>
      <c r="BP65">
        <v>0</v>
      </c>
      <c r="BQ65">
        <v>0</v>
      </c>
      <c r="BR65">
        <v>0</v>
      </c>
      <c r="BS65">
        <v>24420</v>
      </c>
      <c r="BT65">
        <v>0</v>
      </c>
      <c r="BU65">
        <v>0</v>
      </c>
      <c r="BV65">
        <v>2130</v>
      </c>
      <c r="BW65">
        <v>0</v>
      </c>
      <c r="BX65">
        <v>0</v>
      </c>
      <c r="BY65">
        <v>0</v>
      </c>
      <c r="BZ65">
        <v>0</v>
      </c>
      <c r="CA65">
        <v>0</v>
      </c>
      <c r="CB65">
        <v>26139.999999999996</v>
      </c>
    </row>
    <row r="66" spans="1:80">
      <c r="B66">
        <v>64</v>
      </c>
      <c r="C66" s="1" t="s">
        <v>16</v>
      </c>
      <c r="D66" s="1" t="s">
        <v>16</v>
      </c>
      <c r="E66" t="s">
        <v>199</v>
      </c>
      <c r="F66" t="s">
        <v>200</v>
      </c>
      <c r="G66">
        <v>1167990</v>
      </c>
      <c r="H66">
        <v>14789094</v>
      </c>
      <c r="I66">
        <v>315037.84000000003</v>
      </c>
      <c r="J66">
        <v>174922.89</v>
      </c>
      <c r="K66">
        <v>55527.85</v>
      </c>
      <c r="L66">
        <v>186240.67</v>
      </c>
      <c r="M66">
        <v>0</v>
      </c>
      <c r="N66">
        <v>-1953.508</v>
      </c>
      <c r="O66">
        <v>-1104.2629999999999</v>
      </c>
      <c r="P66">
        <v>0</v>
      </c>
      <c r="Q66">
        <v>-1368.5840000000001</v>
      </c>
      <c r="R66">
        <v>-2267.42</v>
      </c>
      <c r="S66">
        <v>-6226.9889999999996</v>
      </c>
      <c r="T66">
        <v>968.36199999999997</v>
      </c>
      <c r="U66">
        <v>564.53899999999999</v>
      </c>
      <c r="V66">
        <v>1355.3579999999999</v>
      </c>
      <c r="W66">
        <v>2387.511</v>
      </c>
      <c r="X66">
        <v>0</v>
      </c>
      <c r="Y66">
        <v>-7644.9949999999999</v>
      </c>
      <c r="Z66">
        <v>-18693.509999999998</v>
      </c>
      <c r="AA66">
        <v>15775</v>
      </c>
      <c r="AB66">
        <v>0</v>
      </c>
      <c r="AC66">
        <v>1822335</v>
      </c>
      <c r="AD66">
        <v>182534</v>
      </c>
      <c r="AE66">
        <v>5731.5626642120005</v>
      </c>
      <c r="AF66">
        <v>0</v>
      </c>
      <c r="AG66">
        <v>10979.398406116001</v>
      </c>
      <c r="AH66">
        <v>29.392489028</v>
      </c>
      <c r="AI66">
        <v>4047.3341350609999</v>
      </c>
      <c r="AJ66">
        <v>160.054594224</v>
      </c>
      <c r="AK66">
        <v>5566.4841796199998</v>
      </c>
      <c r="AL66">
        <v>8803.9480747329999</v>
      </c>
      <c r="AM66">
        <v>0</v>
      </c>
      <c r="AN66">
        <v>0</v>
      </c>
      <c r="AO66">
        <v>4524.3102046869999</v>
      </c>
      <c r="AP66">
        <v>26.549485851</v>
      </c>
      <c r="AQ66">
        <v>0</v>
      </c>
      <c r="AR66">
        <v>0</v>
      </c>
      <c r="AS66">
        <v>0</v>
      </c>
      <c r="AT66">
        <v>19878.2</v>
      </c>
      <c r="AU66">
        <v>0</v>
      </c>
      <c r="AV66">
        <v>0</v>
      </c>
      <c r="AW66">
        <v>887.8</v>
      </c>
      <c r="AX66">
        <v>0</v>
      </c>
      <c r="AY66">
        <v>0</v>
      </c>
      <c r="AZ66">
        <v>0</v>
      </c>
      <c r="BA66">
        <v>0</v>
      </c>
      <c r="BB66">
        <v>0</v>
      </c>
      <c r="BC66">
        <v>1574.115910304</v>
      </c>
      <c r="BD66">
        <v>0</v>
      </c>
      <c r="BE66">
        <v>2890.951978481</v>
      </c>
      <c r="BF66">
        <v>18.034128195999998</v>
      </c>
      <c r="BG66">
        <v>1292.023783547</v>
      </c>
      <c r="BH66">
        <v>623.61086974199998</v>
      </c>
      <c r="BI66">
        <v>712.36854155599997</v>
      </c>
      <c r="BJ66">
        <v>1981.204613717</v>
      </c>
      <c r="BK66">
        <v>0</v>
      </c>
      <c r="BL66">
        <v>0</v>
      </c>
      <c r="BM66">
        <v>1651.7814328679999</v>
      </c>
      <c r="BN66">
        <v>3.0307164719999999</v>
      </c>
      <c r="BO66">
        <v>9919.2380845530006</v>
      </c>
      <c r="BP66">
        <v>0</v>
      </c>
      <c r="BQ66">
        <v>0</v>
      </c>
      <c r="BR66">
        <v>0</v>
      </c>
      <c r="BS66">
        <v>21010</v>
      </c>
      <c r="BT66">
        <v>0</v>
      </c>
      <c r="BU66">
        <v>0</v>
      </c>
      <c r="BV66">
        <v>819.99999999999989</v>
      </c>
      <c r="BW66">
        <v>0</v>
      </c>
      <c r="BX66">
        <v>0</v>
      </c>
      <c r="BY66">
        <v>0</v>
      </c>
      <c r="BZ66">
        <v>0</v>
      </c>
      <c r="CA66">
        <v>0</v>
      </c>
      <c r="CB66">
        <v>21380</v>
      </c>
    </row>
    <row r="67" spans="1:80">
      <c r="B67">
        <v>65</v>
      </c>
      <c r="C67" s="1" t="s">
        <v>16</v>
      </c>
      <c r="D67" s="1" t="s">
        <v>16</v>
      </c>
      <c r="E67" t="s">
        <v>201</v>
      </c>
      <c r="F67" t="s">
        <v>202</v>
      </c>
      <c r="G67">
        <v>1167990</v>
      </c>
      <c r="H67">
        <v>14789094</v>
      </c>
      <c r="I67">
        <v>315037.84000000003</v>
      </c>
      <c r="J67">
        <v>174922.89</v>
      </c>
      <c r="K67">
        <v>55527.85</v>
      </c>
      <c r="L67">
        <v>186240.67</v>
      </c>
      <c r="M67">
        <v>0</v>
      </c>
      <c r="N67">
        <v>-1837.453</v>
      </c>
      <c r="O67">
        <v>-1102.529</v>
      </c>
      <c r="P67">
        <v>0</v>
      </c>
      <c r="Q67">
        <v>-1368.5840000000001</v>
      </c>
      <c r="R67">
        <v>-2471.0369999999998</v>
      </c>
      <c r="S67">
        <v>-4668.9030000000002</v>
      </c>
      <c r="T67">
        <v>834.55600000000004</v>
      </c>
      <c r="U67">
        <v>468.01400000000001</v>
      </c>
      <c r="V67">
        <v>1436.3689999999999</v>
      </c>
      <c r="W67">
        <v>2024.2159999999999</v>
      </c>
      <c r="X67">
        <v>0</v>
      </c>
      <c r="Y67">
        <v>-6685.35</v>
      </c>
      <c r="Z67">
        <v>-30164.456999999999</v>
      </c>
      <c r="AA67">
        <v>15702</v>
      </c>
      <c r="AB67">
        <v>0</v>
      </c>
      <c r="AC67">
        <v>1849470</v>
      </c>
      <c r="AD67">
        <v>288759</v>
      </c>
      <c r="AE67">
        <v>7386.8492162430002</v>
      </c>
      <c r="AF67">
        <v>0</v>
      </c>
      <c r="AG67">
        <v>10979.398406116001</v>
      </c>
      <c r="AH67">
        <v>46.344706051000003</v>
      </c>
      <c r="AI67">
        <v>4121.2795214150001</v>
      </c>
      <c r="AJ67">
        <v>217.84981127</v>
      </c>
      <c r="AK67">
        <v>5399.8596200709999</v>
      </c>
      <c r="AL67">
        <v>7760.3031101610004</v>
      </c>
      <c r="AM67">
        <v>0</v>
      </c>
      <c r="AN67">
        <v>0</v>
      </c>
      <c r="AO67">
        <v>4524.3102046869999</v>
      </c>
      <c r="AP67">
        <v>26.549485851</v>
      </c>
      <c r="AQ67">
        <v>0</v>
      </c>
      <c r="AR67">
        <v>0</v>
      </c>
      <c r="AS67">
        <v>0</v>
      </c>
      <c r="AT67">
        <v>28913.8</v>
      </c>
      <c r="AU67">
        <v>0</v>
      </c>
      <c r="AV67">
        <v>0</v>
      </c>
      <c r="AW67">
        <v>3937</v>
      </c>
      <c r="AX67">
        <v>0</v>
      </c>
      <c r="AY67">
        <v>0</v>
      </c>
      <c r="AZ67">
        <v>0</v>
      </c>
      <c r="BA67">
        <v>0</v>
      </c>
      <c r="BB67">
        <v>0</v>
      </c>
      <c r="BC67">
        <v>2048.9008538319999</v>
      </c>
      <c r="BD67">
        <v>0</v>
      </c>
      <c r="BE67">
        <v>2890.951978481</v>
      </c>
      <c r="BF67">
        <v>18.044367102999999</v>
      </c>
      <c r="BG67">
        <v>2456.4844377499999</v>
      </c>
      <c r="BH67">
        <v>1515.358236</v>
      </c>
      <c r="BI67">
        <v>876.24566105999997</v>
      </c>
      <c r="BJ67">
        <v>1910.1670769509999</v>
      </c>
      <c r="BK67">
        <v>0</v>
      </c>
      <c r="BL67">
        <v>0</v>
      </c>
      <c r="BM67">
        <v>1651.7814328679999</v>
      </c>
      <c r="BN67">
        <v>3.0307164719999999</v>
      </c>
      <c r="BO67">
        <v>12042.657703530998</v>
      </c>
      <c r="BP67">
        <v>0</v>
      </c>
      <c r="BQ67">
        <v>0</v>
      </c>
      <c r="BR67">
        <v>0</v>
      </c>
      <c r="BS67">
        <v>23970</v>
      </c>
      <c r="BT67">
        <v>0</v>
      </c>
      <c r="BU67">
        <v>0</v>
      </c>
      <c r="BV67">
        <v>2130</v>
      </c>
      <c r="BW67">
        <v>0</v>
      </c>
      <c r="BX67">
        <v>0</v>
      </c>
      <c r="BY67">
        <v>0</v>
      </c>
      <c r="BZ67">
        <v>0</v>
      </c>
      <c r="CA67">
        <v>0</v>
      </c>
      <c r="CB67">
        <v>25700</v>
      </c>
    </row>
    <row r="68" spans="1:80">
      <c r="B68">
        <v>66</v>
      </c>
      <c r="C68" s="1" t="s">
        <v>16</v>
      </c>
      <c r="D68" s="1" t="s">
        <v>16</v>
      </c>
      <c r="E68" t="s">
        <v>203</v>
      </c>
      <c r="F68" t="s">
        <v>204</v>
      </c>
      <c r="G68">
        <v>1167990</v>
      </c>
      <c r="H68">
        <v>14789094</v>
      </c>
      <c r="I68">
        <v>315037.84000000003</v>
      </c>
      <c r="J68">
        <v>174922.89</v>
      </c>
      <c r="K68">
        <v>55527.85</v>
      </c>
      <c r="L68">
        <v>186240.67</v>
      </c>
      <c r="M68">
        <v>0</v>
      </c>
      <c r="N68">
        <v>-1837.453</v>
      </c>
      <c r="O68">
        <v>-1102.529</v>
      </c>
      <c r="P68">
        <v>0</v>
      </c>
      <c r="Q68">
        <v>-1368.5840000000001</v>
      </c>
      <c r="R68">
        <v>-2471.0369999999998</v>
      </c>
      <c r="S68">
        <v>-4668.9030000000002</v>
      </c>
      <c r="T68">
        <v>834.55600000000004</v>
      </c>
      <c r="U68">
        <v>468.01400000000001</v>
      </c>
      <c r="V68">
        <v>1436.3689999999999</v>
      </c>
      <c r="W68">
        <v>2024.2159999999999</v>
      </c>
      <c r="X68">
        <v>0</v>
      </c>
      <c r="Y68">
        <v>-6685.35</v>
      </c>
      <c r="Z68">
        <v>-17079.023000000001</v>
      </c>
      <c r="AA68">
        <v>15702</v>
      </c>
      <c r="AB68">
        <v>0</v>
      </c>
      <c r="AC68">
        <v>1905531</v>
      </c>
      <c r="AD68">
        <v>167943</v>
      </c>
      <c r="AE68">
        <v>7386.8492162430002</v>
      </c>
      <c r="AF68">
        <v>0</v>
      </c>
      <c r="AG68">
        <v>10979.398406116001</v>
      </c>
      <c r="AH68">
        <v>26.832762278000001</v>
      </c>
      <c r="AI68">
        <v>4136.2419775110002</v>
      </c>
      <c r="AJ68">
        <v>176.70305700599999</v>
      </c>
      <c r="AK68">
        <v>5561.0166032819998</v>
      </c>
      <c r="AL68">
        <v>8871.3030179480011</v>
      </c>
      <c r="AM68">
        <v>0</v>
      </c>
      <c r="AN68">
        <v>0</v>
      </c>
      <c r="AO68">
        <v>4524.3102046869999</v>
      </c>
      <c r="AP68">
        <v>26.549485851</v>
      </c>
      <c r="AQ68">
        <v>0</v>
      </c>
      <c r="AR68">
        <v>0</v>
      </c>
      <c r="AS68">
        <v>0</v>
      </c>
      <c r="AT68">
        <v>18218.3</v>
      </c>
      <c r="AU68">
        <v>0</v>
      </c>
      <c r="AV68">
        <v>0</v>
      </c>
      <c r="AW68">
        <v>887.8</v>
      </c>
      <c r="AX68">
        <v>0</v>
      </c>
      <c r="AY68">
        <v>0</v>
      </c>
      <c r="AZ68">
        <v>0</v>
      </c>
      <c r="BA68">
        <v>0</v>
      </c>
      <c r="BB68">
        <v>0</v>
      </c>
      <c r="BC68">
        <v>2048.9008538319999</v>
      </c>
      <c r="BD68">
        <v>0</v>
      </c>
      <c r="BE68">
        <v>2890.951978481</v>
      </c>
      <c r="BF68">
        <v>17.982933661000001</v>
      </c>
      <c r="BG68">
        <v>1378.4503975340001</v>
      </c>
      <c r="BH68">
        <v>737.34806166700002</v>
      </c>
      <c r="BI68">
        <v>715.35147646200005</v>
      </c>
      <c r="BJ68">
        <v>2060.801876735</v>
      </c>
      <c r="BK68">
        <v>0</v>
      </c>
      <c r="BL68">
        <v>0</v>
      </c>
      <c r="BM68">
        <v>1651.7814328679999</v>
      </c>
      <c r="BN68">
        <v>3.0307164719999999</v>
      </c>
      <c r="BO68">
        <v>10634.002530346999</v>
      </c>
      <c r="BP68">
        <v>0</v>
      </c>
      <c r="BQ68">
        <v>0</v>
      </c>
      <c r="BR68">
        <v>0</v>
      </c>
      <c r="BS68">
        <v>20510</v>
      </c>
      <c r="BT68">
        <v>0</v>
      </c>
      <c r="BU68">
        <v>0</v>
      </c>
      <c r="BV68">
        <v>819.99999999999989</v>
      </c>
      <c r="BW68">
        <v>0</v>
      </c>
      <c r="BX68">
        <v>0</v>
      </c>
      <c r="BY68">
        <v>0</v>
      </c>
      <c r="BZ68">
        <v>0</v>
      </c>
      <c r="CA68">
        <v>0</v>
      </c>
      <c r="CB68">
        <v>20880</v>
      </c>
    </row>
    <row r="69" spans="1:80">
      <c r="B69">
        <v>67</v>
      </c>
      <c r="C69" s="1" t="s">
        <v>16</v>
      </c>
      <c r="D69" s="1" t="s">
        <v>16</v>
      </c>
      <c r="E69" t="s">
        <v>205</v>
      </c>
      <c r="F69" t="s">
        <v>206</v>
      </c>
      <c r="G69">
        <v>1167990</v>
      </c>
      <c r="H69">
        <v>14789094</v>
      </c>
      <c r="I69">
        <v>315037.84000000003</v>
      </c>
      <c r="J69">
        <v>174922.89</v>
      </c>
      <c r="K69">
        <v>55527.85</v>
      </c>
      <c r="L69">
        <v>186240.67</v>
      </c>
      <c r="M69">
        <v>0</v>
      </c>
      <c r="N69">
        <v>-1900.69</v>
      </c>
      <c r="O69">
        <v>-1105.7439999999999</v>
      </c>
      <c r="P69">
        <v>0</v>
      </c>
      <c r="Q69">
        <v>-1368.5840000000001</v>
      </c>
      <c r="R69">
        <v>-2576.319</v>
      </c>
      <c r="S69">
        <v>-4880.1530000000002</v>
      </c>
      <c r="T69">
        <v>882.06</v>
      </c>
      <c r="U69">
        <v>518.72299999999996</v>
      </c>
      <c r="V69">
        <v>1261.2260000000001</v>
      </c>
      <c r="W69">
        <v>2198.3220000000001</v>
      </c>
      <c r="X69">
        <v>0</v>
      </c>
      <c r="Y69">
        <v>-6971.1589999999997</v>
      </c>
      <c r="Z69">
        <v>-31033.838</v>
      </c>
      <c r="AA69">
        <v>15783</v>
      </c>
      <c r="AB69">
        <v>0</v>
      </c>
      <c r="AC69">
        <v>1766889</v>
      </c>
      <c r="AD69">
        <v>296021</v>
      </c>
      <c r="AE69">
        <v>5731.5626642120005</v>
      </c>
      <c r="AF69">
        <v>0</v>
      </c>
      <c r="AG69">
        <v>10979.398406116001</v>
      </c>
      <c r="AH69">
        <v>46.815695773000002</v>
      </c>
      <c r="AI69">
        <v>4038.1464225130003</v>
      </c>
      <c r="AJ69">
        <v>204.569948891</v>
      </c>
      <c r="AK69">
        <v>5402.0814628899998</v>
      </c>
      <c r="AL69">
        <v>7702.5181320219999</v>
      </c>
      <c r="AM69">
        <v>0</v>
      </c>
      <c r="AN69">
        <v>0</v>
      </c>
      <c r="AO69">
        <v>4524.3102046869999</v>
      </c>
      <c r="AP69">
        <v>26.549485851</v>
      </c>
      <c r="AQ69">
        <v>0</v>
      </c>
      <c r="AR69">
        <v>0</v>
      </c>
      <c r="AS69">
        <v>0</v>
      </c>
      <c r="AT69">
        <v>29740</v>
      </c>
      <c r="AU69">
        <v>0</v>
      </c>
      <c r="AV69">
        <v>0</v>
      </c>
      <c r="AW69">
        <v>3937</v>
      </c>
      <c r="AX69">
        <v>0</v>
      </c>
      <c r="AY69">
        <v>0</v>
      </c>
      <c r="AZ69">
        <v>0</v>
      </c>
      <c r="BA69">
        <v>0</v>
      </c>
      <c r="BB69">
        <v>0</v>
      </c>
      <c r="BC69">
        <v>1574.115910304</v>
      </c>
      <c r="BD69">
        <v>0</v>
      </c>
      <c r="BE69">
        <v>2890.951978481</v>
      </c>
      <c r="BF69">
        <v>18.040954134</v>
      </c>
      <c r="BG69">
        <v>2393.4400743820001</v>
      </c>
      <c r="BH69">
        <v>1524.211477586</v>
      </c>
      <c r="BI69">
        <v>874.06136090000007</v>
      </c>
      <c r="BJ69">
        <v>1839.2967756659998</v>
      </c>
      <c r="BK69">
        <v>0</v>
      </c>
      <c r="BL69">
        <v>0</v>
      </c>
      <c r="BM69">
        <v>1651.7814328679999</v>
      </c>
      <c r="BN69">
        <v>3.0307164719999999</v>
      </c>
      <c r="BO69">
        <v>11378.272093145999</v>
      </c>
      <c r="BP69">
        <v>0</v>
      </c>
      <c r="BQ69">
        <v>0</v>
      </c>
      <c r="BR69">
        <v>0</v>
      </c>
      <c r="BS69">
        <v>24070</v>
      </c>
      <c r="BT69">
        <v>0</v>
      </c>
      <c r="BU69">
        <v>0</v>
      </c>
      <c r="BV69">
        <v>2130</v>
      </c>
      <c r="BW69">
        <v>0</v>
      </c>
      <c r="BX69">
        <v>0</v>
      </c>
      <c r="BY69">
        <v>0</v>
      </c>
      <c r="BZ69">
        <v>0</v>
      </c>
      <c r="CA69">
        <v>0</v>
      </c>
      <c r="CB69">
        <v>25789.999999999996</v>
      </c>
    </row>
    <row r="70" spans="1:80">
      <c r="B70">
        <v>68</v>
      </c>
      <c r="C70" s="1" t="s">
        <v>16</v>
      </c>
      <c r="D70" s="1" t="s">
        <v>16</v>
      </c>
      <c r="E70" t="s">
        <v>207</v>
      </c>
      <c r="F70" t="s">
        <v>208</v>
      </c>
      <c r="G70">
        <v>1167990</v>
      </c>
      <c r="H70">
        <v>14789094</v>
      </c>
      <c r="I70">
        <v>315037.84000000003</v>
      </c>
      <c r="J70">
        <v>174922.89</v>
      </c>
      <c r="K70">
        <v>55527.85</v>
      </c>
      <c r="L70">
        <v>186240.67</v>
      </c>
      <c r="M70">
        <v>0</v>
      </c>
      <c r="N70">
        <v>-1900.69</v>
      </c>
      <c r="O70">
        <v>-1105.7439999999999</v>
      </c>
      <c r="P70">
        <v>0</v>
      </c>
      <c r="Q70">
        <v>-1368.5840000000001</v>
      </c>
      <c r="R70">
        <v>-2576.319</v>
      </c>
      <c r="S70">
        <v>-4880.1530000000002</v>
      </c>
      <c r="T70">
        <v>882.06</v>
      </c>
      <c r="U70">
        <v>518.72299999999996</v>
      </c>
      <c r="V70">
        <v>1261.2260000000001</v>
      </c>
      <c r="W70">
        <v>2198.3220000000001</v>
      </c>
      <c r="X70">
        <v>0</v>
      </c>
      <c r="Y70">
        <v>-6971.1589999999997</v>
      </c>
      <c r="Z70">
        <v>-17944.574000000001</v>
      </c>
      <c r="AA70">
        <v>15782</v>
      </c>
      <c r="AB70">
        <v>0</v>
      </c>
      <c r="AC70">
        <v>1823244</v>
      </c>
      <c r="AD70">
        <v>175892</v>
      </c>
      <c r="AE70">
        <v>5731.5626642120005</v>
      </c>
      <c r="AF70">
        <v>0</v>
      </c>
      <c r="AG70">
        <v>10979.398406116001</v>
      </c>
      <c r="AH70">
        <v>28.494878181000001</v>
      </c>
      <c r="AI70">
        <v>4058.1805505430002</v>
      </c>
      <c r="AJ70">
        <v>162.43343361699999</v>
      </c>
      <c r="AK70">
        <v>5564.603633701</v>
      </c>
      <c r="AL70">
        <v>8813.3883469869997</v>
      </c>
      <c r="AM70">
        <v>0</v>
      </c>
      <c r="AN70">
        <v>0</v>
      </c>
      <c r="AO70">
        <v>4524.3102046869999</v>
      </c>
      <c r="AP70">
        <v>26.549485851</v>
      </c>
      <c r="AQ70">
        <v>0</v>
      </c>
      <c r="AR70">
        <v>0</v>
      </c>
      <c r="AS70">
        <v>0</v>
      </c>
      <c r="AT70">
        <v>19122.599999999999</v>
      </c>
      <c r="AU70">
        <v>0</v>
      </c>
      <c r="AV70">
        <v>0</v>
      </c>
      <c r="AW70">
        <v>887.8</v>
      </c>
      <c r="AX70">
        <v>0</v>
      </c>
      <c r="AY70">
        <v>0</v>
      </c>
      <c r="AZ70">
        <v>0</v>
      </c>
      <c r="BA70">
        <v>0</v>
      </c>
      <c r="BB70">
        <v>0</v>
      </c>
      <c r="BC70">
        <v>1574.115910304</v>
      </c>
      <c r="BD70">
        <v>0</v>
      </c>
      <c r="BE70">
        <v>2890.951978481</v>
      </c>
      <c r="BF70">
        <v>17.999998506000001</v>
      </c>
      <c r="BG70">
        <v>1307.586922187</v>
      </c>
      <c r="BH70">
        <v>646.18765967699994</v>
      </c>
      <c r="BI70">
        <v>713.55966773700004</v>
      </c>
      <c r="BJ70">
        <v>1989.511780263</v>
      </c>
      <c r="BK70">
        <v>0</v>
      </c>
      <c r="BL70">
        <v>0</v>
      </c>
      <c r="BM70">
        <v>1651.7814328679999</v>
      </c>
      <c r="BN70">
        <v>3.0307164719999999</v>
      </c>
      <c r="BO70">
        <v>9961.1902995009987</v>
      </c>
      <c r="BP70">
        <v>0</v>
      </c>
      <c r="BQ70">
        <v>0</v>
      </c>
      <c r="BR70">
        <v>0</v>
      </c>
      <c r="BS70">
        <v>20630</v>
      </c>
      <c r="BT70">
        <v>0</v>
      </c>
      <c r="BU70">
        <v>0</v>
      </c>
      <c r="BV70">
        <v>819.99999999999989</v>
      </c>
      <c r="BW70">
        <v>0</v>
      </c>
      <c r="BX70">
        <v>0</v>
      </c>
      <c r="BY70">
        <v>0</v>
      </c>
      <c r="BZ70">
        <v>0</v>
      </c>
      <c r="CA70">
        <v>0</v>
      </c>
      <c r="CB70">
        <v>21000</v>
      </c>
    </row>
    <row r="71" spans="1:80">
      <c r="B71">
        <v>69</v>
      </c>
      <c r="C71" s="1" t="s">
        <v>16</v>
      </c>
      <c r="D71" s="1" t="s">
        <v>16</v>
      </c>
      <c r="E71" t="s">
        <v>209</v>
      </c>
      <c r="F71" t="s">
        <v>210</v>
      </c>
      <c r="G71">
        <v>1167990</v>
      </c>
      <c r="H71">
        <v>14789094</v>
      </c>
      <c r="I71">
        <v>315037.84000000003</v>
      </c>
      <c r="J71">
        <v>174922.89</v>
      </c>
      <c r="K71">
        <v>55527.85</v>
      </c>
      <c r="L71">
        <v>186240.67</v>
      </c>
      <c r="M71">
        <v>0</v>
      </c>
      <c r="N71">
        <v>-1807.4960000000001</v>
      </c>
      <c r="O71">
        <v>-1098.1210000000001</v>
      </c>
      <c r="P71">
        <v>0</v>
      </c>
      <c r="Q71">
        <v>-1368.5840000000001</v>
      </c>
      <c r="R71">
        <v>-2032.107</v>
      </c>
      <c r="S71">
        <v>-4558.8500000000004</v>
      </c>
      <c r="T71">
        <v>806.31600000000003</v>
      </c>
      <c r="U71">
        <v>444.13099999999997</v>
      </c>
      <c r="V71">
        <v>1376.5650000000001</v>
      </c>
      <c r="W71">
        <v>1935.864</v>
      </c>
      <c r="X71">
        <v>0</v>
      </c>
      <c r="Y71">
        <v>-6302.2839999999997</v>
      </c>
      <c r="Z71">
        <v>-29444.822</v>
      </c>
      <c r="AA71">
        <v>15562</v>
      </c>
      <c r="AB71">
        <v>0</v>
      </c>
      <c r="AC71">
        <v>1849572</v>
      </c>
      <c r="AD71">
        <v>282015</v>
      </c>
      <c r="AE71">
        <v>7386.8492162430002</v>
      </c>
      <c r="AF71">
        <v>0</v>
      </c>
      <c r="AG71">
        <v>10979.398406116001</v>
      </c>
      <c r="AH71">
        <v>46.102385251999998</v>
      </c>
      <c r="AI71">
        <v>4125.7675756500003</v>
      </c>
      <c r="AJ71">
        <v>220.044350337</v>
      </c>
      <c r="AK71">
        <v>5385.4091093249999</v>
      </c>
      <c r="AL71">
        <v>7770.5283652850003</v>
      </c>
      <c r="AM71">
        <v>0</v>
      </c>
      <c r="AN71">
        <v>0</v>
      </c>
      <c r="AO71">
        <v>4524.3136176560001</v>
      </c>
      <c r="AP71">
        <v>26.549485851</v>
      </c>
      <c r="AQ71">
        <v>0</v>
      </c>
      <c r="AR71">
        <v>0</v>
      </c>
      <c r="AS71">
        <v>0</v>
      </c>
      <c r="AT71">
        <v>28146.7</v>
      </c>
      <c r="AU71">
        <v>0</v>
      </c>
      <c r="AV71">
        <v>0</v>
      </c>
      <c r="AW71">
        <v>3937</v>
      </c>
      <c r="AX71">
        <v>0</v>
      </c>
      <c r="AY71">
        <v>0</v>
      </c>
      <c r="AZ71">
        <v>0</v>
      </c>
      <c r="BA71">
        <v>0</v>
      </c>
      <c r="BB71">
        <v>0</v>
      </c>
      <c r="BC71">
        <v>2048.9008538319999</v>
      </c>
      <c r="BD71">
        <v>0</v>
      </c>
      <c r="BE71">
        <v>2890.951978481</v>
      </c>
      <c r="BF71">
        <v>18.105800544999997</v>
      </c>
      <c r="BG71">
        <v>2442.21822733</v>
      </c>
      <c r="BH71">
        <v>1515.358236</v>
      </c>
      <c r="BI71">
        <v>874.02040527200006</v>
      </c>
      <c r="BJ71">
        <v>1915.2387488849997</v>
      </c>
      <c r="BK71">
        <v>0</v>
      </c>
      <c r="BL71">
        <v>0</v>
      </c>
      <c r="BM71">
        <v>1651.7814328679999</v>
      </c>
      <c r="BN71">
        <v>3.0307164719999999</v>
      </c>
      <c r="BO71">
        <v>12031.367602078999</v>
      </c>
      <c r="BP71">
        <v>0</v>
      </c>
      <c r="BQ71">
        <v>0</v>
      </c>
      <c r="BR71">
        <v>0</v>
      </c>
      <c r="BS71">
        <v>23470</v>
      </c>
      <c r="BT71">
        <v>0</v>
      </c>
      <c r="BU71">
        <v>0</v>
      </c>
      <c r="BV71">
        <v>2130</v>
      </c>
      <c r="BW71">
        <v>0</v>
      </c>
      <c r="BX71">
        <v>0</v>
      </c>
      <c r="BY71">
        <v>0</v>
      </c>
      <c r="BZ71">
        <v>0</v>
      </c>
      <c r="CA71">
        <v>0</v>
      </c>
      <c r="CB71">
        <v>25190</v>
      </c>
    </row>
    <row r="72" spans="1:80">
      <c r="B72">
        <v>70</v>
      </c>
      <c r="C72" s="1" t="s">
        <v>16</v>
      </c>
      <c r="D72" s="1" t="s">
        <v>16</v>
      </c>
      <c r="E72" t="s">
        <v>211</v>
      </c>
      <c r="F72" t="s">
        <v>212</v>
      </c>
      <c r="G72">
        <v>1167990</v>
      </c>
      <c r="H72">
        <v>14789094</v>
      </c>
      <c r="I72">
        <v>315037.84000000003</v>
      </c>
      <c r="J72">
        <v>174922.89</v>
      </c>
      <c r="K72">
        <v>55527.85</v>
      </c>
      <c r="L72">
        <v>186240.67</v>
      </c>
      <c r="M72">
        <v>0</v>
      </c>
      <c r="N72">
        <v>-1807.4960000000001</v>
      </c>
      <c r="O72">
        <v>-1098.1210000000001</v>
      </c>
      <c r="P72">
        <v>0</v>
      </c>
      <c r="Q72">
        <v>-1368.5840000000001</v>
      </c>
      <c r="R72">
        <v>-2032.107</v>
      </c>
      <c r="S72">
        <v>-4558.8500000000004</v>
      </c>
      <c r="T72">
        <v>806.31600000000003</v>
      </c>
      <c r="U72">
        <v>444.13099999999997</v>
      </c>
      <c r="V72">
        <v>1376.5650000000001</v>
      </c>
      <c r="W72">
        <v>1935.864</v>
      </c>
      <c r="X72">
        <v>0</v>
      </c>
      <c r="Y72">
        <v>-6302.2839999999997</v>
      </c>
      <c r="Z72">
        <v>-16361.698</v>
      </c>
      <c r="AA72">
        <v>15561</v>
      </c>
      <c r="AB72">
        <v>0</v>
      </c>
      <c r="AC72">
        <v>1905603</v>
      </c>
      <c r="AD72">
        <v>160800</v>
      </c>
      <c r="AE72">
        <v>7386.8492162430002</v>
      </c>
      <c r="AF72">
        <v>0</v>
      </c>
      <c r="AG72">
        <v>10979.398406116001</v>
      </c>
      <c r="AH72">
        <v>25.924912524</v>
      </c>
      <c r="AI72">
        <v>4142.0133080900005</v>
      </c>
      <c r="AJ72">
        <v>178.46073604099999</v>
      </c>
      <c r="AK72">
        <v>5545.8664338910003</v>
      </c>
      <c r="AL72">
        <v>8881.4190580640006</v>
      </c>
      <c r="AM72">
        <v>0</v>
      </c>
      <c r="AN72">
        <v>0</v>
      </c>
      <c r="AO72">
        <v>4524.3136176560001</v>
      </c>
      <c r="AP72">
        <v>26.549485851</v>
      </c>
      <c r="AQ72">
        <v>0</v>
      </c>
      <c r="AR72">
        <v>0</v>
      </c>
      <c r="AS72">
        <v>0</v>
      </c>
      <c r="AT72">
        <v>17405.7</v>
      </c>
      <c r="AU72">
        <v>0</v>
      </c>
      <c r="AV72">
        <v>0</v>
      </c>
      <c r="AW72">
        <v>887.8</v>
      </c>
      <c r="AX72">
        <v>0</v>
      </c>
      <c r="AY72">
        <v>0</v>
      </c>
      <c r="AZ72">
        <v>0</v>
      </c>
      <c r="BA72">
        <v>0</v>
      </c>
      <c r="BB72">
        <v>0</v>
      </c>
      <c r="BC72">
        <v>2048.9008538319999</v>
      </c>
      <c r="BD72">
        <v>0</v>
      </c>
      <c r="BE72">
        <v>2890.951978481</v>
      </c>
      <c r="BF72">
        <v>18.040954134</v>
      </c>
      <c r="BG72">
        <v>1365.3138798529999</v>
      </c>
      <c r="BH72">
        <v>734.81905163799991</v>
      </c>
      <c r="BI72">
        <v>712.72690330099999</v>
      </c>
      <c r="BJ72">
        <v>2065.9213302349999</v>
      </c>
      <c r="BK72">
        <v>0</v>
      </c>
      <c r="BL72">
        <v>0</v>
      </c>
      <c r="BM72">
        <v>1651.7814328679999</v>
      </c>
      <c r="BN72">
        <v>3.0307164719999999</v>
      </c>
      <c r="BO72">
        <v>10621.770449451</v>
      </c>
      <c r="BP72">
        <v>0</v>
      </c>
      <c r="BQ72">
        <v>0</v>
      </c>
      <c r="BR72">
        <v>0</v>
      </c>
      <c r="BS72">
        <v>20190</v>
      </c>
      <c r="BT72">
        <v>0</v>
      </c>
      <c r="BU72">
        <v>0</v>
      </c>
      <c r="BV72">
        <v>819.99999999999989</v>
      </c>
      <c r="BW72">
        <v>0</v>
      </c>
      <c r="BX72">
        <v>0</v>
      </c>
      <c r="BY72">
        <v>0</v>
      </c>
      <c r="BZ72">
        <v>0</v>
      </c>
      <c r="CA72">
        <v>0</v>
      </c>
      <c r="CB72">
        <v>20550</v>
      </c>
    </row>
    <row r="73" spans="1:80">
      <c r="B73">
        <v>71</v>
      </c>
      <c r="C73" s="1" t="s">
        <v>16</v>
      </c>
      <c r="D73" s="1" t="s">
        <v>16</v>
      </c>
      <c r="E73" t="s">
        <v>213</v>
      </c>
      <c r="F73" t="s">
        <v>214</v>
      </c>
      <c r="G73">
        <v>1167990</v>
      </c>
      <c r="H73">
        <v>14789094</v>
      </c>
      <c r="I73">
        <v>315037.84000000003</v>
      </c>
      <c r="J73">
        <v>174922.89</v>
      </c>
      <c r="K73">
        <v>55527.85</v>
      </c>
      <c r="L73">
        <v>186240.67</v>
      </c>
      <c r="M73">
        <v>0</v>
      </c>
      <c r="N73">
        <v>-1870.4390000000001</v>
      </c>
      <c r="O73">
        <v>-1101.627</v>
      </c>
      <c r="P73">
        <v>0</v>
      </c>
      <c r="Q73">
        <v>-1368.5840000000001</v>
      </c>
      <c r="R73">
        <v>-2119.5070000000001</v>
      </c>
      <c r="S73">
        <v>-4764.5810000000001</v>
      </c>
      <c r="T73">
        <v>853.58</v>
      </c>
      <c r="U73">
        <v>490.14800000000002</v>
      </c>
      <c r="V73">
        <v>1209.5429999999999</v>
      </c>
      <c r="W73">
        <v>2099.54</v>
      </c>
      <c r="X73">
        <v>0</v>
      </c>
      <c r="Y73">
        <v>-6571.9279999999999</v>
      </c>
      <c r="Z73">
        <v>-30290.817999999999</v>
      </c>
      <c r="AA73">
        <v>15634</v>
      </c>
      <c r="AB73">
        <v>0</v>
      </c>
      <c r="AC73">
        <v>1767537</v>
      </c>
      <c r="AD73">
        <v>290024</v>
      </c>
      <c r="AE73">
        <v>5731.5626642120005</v>
      </c>
      <c r="AF73">
        <v>0</v>
      </c>
      <c r="AG73">
        <v>10979.398406116001</v>
      </c>
      <c r="AH73">
        <v>46.651873260999999</v>
      </c>
      <c r="AI73">
        <v>4042.0542720180001</v>
      </c>
      <c r="AJ73">
        <v>206.22865182500001</v>
      </c>
      <c r="AK73">
        <v>5401.2623503300001</v>
      </c>
      <c r="AL73">
        <v>7712.1154008499998</v>
      </c>
      <c r="AM73">
        <v>0</v>
      </c>
      <c r="AN73">
        <v>0</v>
      </c>
      <c r="AO73">
        <v>4524.3102046869999</v>
      </c>
      <c r="AP73">
        <v>26.549485851</v>
      </c>
      <c r="AQ73">
        <v>0</v>
      </c>
      <c r="AR73">
        <v>0</v>
      </c>
      <c r="AS73">
        <v>0</v>
      </c>
      <c r="AT73">
        <v>29057.7</v>
      </c>
      <c r="AU73">
        <v>0</v>
      </c>
      <c r="AV73">
        <v>0</v>
      </c>
      <c r="AW73">
        <v>3937</v>
      </c>
      <c r="AX73">
        <v>0</v>
      </c>
      <c r="AY73">
        <v>0</v>
      </c>
      <c r="AZ73">
        <v>0</v>
      </c>
      <c r="BA73">
        <v>0</v>
      </c>
      <c r="BB73">
        <v>0</v>
      </c>
      <c r="BC73">
        <v>1574.115910304</v>
      </c>
      <c r="BD73">
        <v>0</v>
      </c>
      <c r="BE73">
        <v>2890.951978481</v>
      </c>
      <c r="BF73">
        <v>18.054606010000001</v>
      </c>
      <c r="BG73">
        <v>2380.4093587400002</v>
      </c>
      <c r="BH73">
        <v>1506.2183050179999</v>
      </c>
      <c r="BI73">
        <v>873.31733365800005</v>
      </c>
      <c r="BJ73">
        <v>1844.2319288399999</v>
      </c>
      <c r="BK73">
        <v>0</v>
      </c>
      <c r="BL73">
        <v>0</v>
      </c>
      <c r="BM73">
        <v>1651.7814328679999</v>
      </c>
      <c r="BN73">
        <v>3.0307164719999999</v>
      </c>
      <c r="BO73">
        <v>11370.125336143001</v>
      </c>
      <c r="BP73">
        <v>0</v>
      </c>
      <c r="BQ73">
        <v>0</v>
      </c>
      <c r="BR73">
        <v>0</v>
      </c>
      <c r="BS73">
        <v>23690</v>
      </c>
      <c r="BT73">
        <v>0</v>
      </c>
      <c r="BU73">
        <v>0</v>
      </c>
      <c r="BV73">
        <v>2130</v>
      </c>
      <c r="BW73">
        <v>0</v>
      </c>
      <c r="BX73">
        <v>0</v>
      </c>
      <c r="BY73">
        <v>0</v>
      </c>
      <c r="BZ73">
        <v>0</v>
      </c>
      <c r="CA73">
        <v>0</v>
      </c>
      <c r="CB73">
        <v>25410</v>
      </c>
    </row>
    <row r="74" spans="1:80">
      <c r="B74">
        <v>72</v>
      </c>
      <c r="C74" s="1" t="s">
        <v>16</v>
      </c>
      <c r="D74" s="1" t="s">
        <v>16</v>
      </c>
      <c r="E74" t="s">
        <v>215</v>
      </c>
      <c r="F74" t="s">
        <v>216</v>
      </c>
      <c r="G74">
        <v>1167990</v>
      </c>
      <c r="H74">
        <v>14789094</v>
      </c>
      <c r="I74">
        <v>315037.84000000003</v>
      </c>
      <c r="J74">
        <v>174922.89</v>
      </c>
      <c r="K74">
        <v>55527.85</v>
      </c>
      <c r="L74">
        <v>186240.67</v>
      </c>
      <c r="M74">
        <v>0</v>
      </c>
      <c r="N74">
        <v>-1870.4390000000001</v>
      </c>
      <c r="O74">
        <v>-1101.627</v>
      </c>
      <c r="P74">
        <v>0</v>
      </c>
      <c r="Q74">
        <v>-1368.5840000000001</v>
      </c>
      <c r="R74">
        <v>-2119.5070000000001</v>
      </c>
      <c r="S74">
        <v>-4764.5810000000001</v>
      </c>
      <c r="T74">
        <v>853.58</v>
      </c>
      <c r="U74">
        <v>490.14800000000002</v>
      </c>
      <c r="V74">
        <v>1209.5429999999999</v>
      </c>
      <c r="W74">
        <v>2099.54</v>
      </c>
      <c r="X74">
        <v>0</v>
      </c>
      <c r="Y74">
        <v>-6571.9279999999999</v>
      </c>
      <c r="Z74">
        <v>-17203.276999999998</v>
      </c>
      <c r="AA74">
        <v>15634</v>
      </c>
      <c r="AB74">
        <v>0</v>
      </c>
      <c r="AC74">
        <v>1823888</v>
      </c>
      <c r="AD74">
        <v>169368</v>
      </c>
      <c r="AE74">
        <v>5731.5626642120005</v>
      </c>
      <c r="AF74">
        <v>0</v>
      </c>
      <c r="AG74">
        <v>10979.398406116001</v>
      </c>
      <c r="AH74">
        <v>27.525594985000001</v>
      </c>
      <c r="AI74">
        <v>4063.402393113</v>
      </c>
      <c r="AJ74">
        <v>164.14333108600002</v>
      </c>
      <c r="AK74">
        <v>5563.1565348450004</v>
      </c>
      <c r="AL74">
        <v>8822.9685509699993</v>
      </c>
      <c r="AM74">
        <v>0</v>
      </c>
      <c r="AN74">
        <v>0</v>
      </c>
      <c r="AO74">
        <v>4524.3102046869999</v>
      </c>
      <c r="AP74">
        <v>26.549485851</v>
      </c>
      <c r="AQ74">
        <v>0</v>
      </c>
      <c r="AR74">
        <v>0</v>
      </c>
      <c r="AS74">
        <v>0</v>
      </c>
      <c r="AT74">
        <v>18380.400000000001</v>
      </c>
      <c r="AU74">
        <v>0</v>
      </c>
      <c r="AV74">
        <v>0</v>
      </c>
      <c r="AW74">
        <v>887.8</v>
      </c>
      <c r="AX74">
        <v>0</v>
      </c>
      <c r="AY74">
        <v>0</v>
      </c>
      <c r="AZ74">
        <v>0</v>
      </c>
      <c r="BA74">
        <v>0</v>
      </c>
      <c r="BB74">
        <v>0</v>
      </c>
      <c r="BC74">
        <v>1574.115910304</v>
      </c>
      <c r="BD74">
        <v>0</v>
      </c>
      <c r="BE74">
        <v>2890.951978481</v>
      </c>
      <c r="BF74">
        <v>17.98634663</v>
      </c>
      <c r="BG74">
        <v>1293.887264621</v>
      </c>
      <c r="BH74">
        <v>646.70301799599997</v>
      </c>
      <c r="BI74">
        <v>712.42656202900002</v>
      </c>
      <c r="BJ74">
        <v>1994.4674112509999</v>
      </c>
      <c r="BK74">
        <v>0</v>
      </c>
      <c r="BL74">
        <v>0</v>
      </c>
      <c r="BM74">
        <v>1651.7814328679999</v>
      </c>
      <c r="BN74">
        <v>3.0307164719999999</v>
      </c>
      <c r="BO74">
        <v>9952.5827916830003</v>
      </c>
      <c r="BP74">
        <v>0</v>
      </c>
      <c r="BQ74">
        <v>0</v>
      </c>
      <c r="BR74">
        <v>0</v>
      </c>
      <c r="BS74">
        <v>20320</v>
      </c>
      <c r="BT74">
        <v>0</v>
      </c>
      <c r="BU74">
        <v>0</v>
      </c>
      <c r="BV74">
        <v>819.99999999999989</v>
      </c>
      <c r="BW74">
        <v>0</v>
      </c>
      <c r="BX74">
        <v>0</v>
      </c>
      <c r="BY74">
        <v>0</v>
      </c>
      <c r="BZ74">
        <v>0</v>
      </c>
      <c r="CA74">
        <v>0</v>
      </c>
      <c r="CB74">
        <v>20690</v>
      </c>
    </row>
    <row r="75" spans="1:80">
      <c r="A75" t="s">
        <v>72</v>
      </c>
      <c r="B75">
        <v>73</v>
      </c>
      <c r="C75" s="1" t="s">
        <v>16</v>
      </c>
      <c r="D75" s="1" t="s">
        <v>19</v>
      </c>
      <c r="E75" s="1" t="s">
        <v>73</v>
      </c>
      <c r="F75" s="1" t="s">
        <v>217</v>
      </c>
      <c r="G75" s="1">
        <v>1167990</v>
      </c>
      <c r="H75" s="1">
        <v>14789094</v>
      </c>
      <c r="I75" s="1">
        <v>315037.84000000003</v>
      </c>
      <c r="J75" s="1">
        <v>174922.89</v>
      </c>
      <c r="K75" s="1">
        <v>55527.85</v>
      </c>
      <c r="L75" s="1">
        <v>186240.67</v>
      </c>
      <c r="M75" s="1">
        <v>0</v>
      </c>
      <c r="N75" s="1">
        <v>-4649.0820000000003</v>
      </c>
      <c r="O75" s="1">
        <v>-1111.681</v>
      </c>
      <c r="P75" s="1">
        <v>0</v>
      </c>
      <c r="Q75" s="1">
        <v>-1368.5840000000001</v>
      </c>
      <c r="R75" s="1">
        <v>-3177.8090000000002</v>
      </c>
      <c r="S75" s="1">
        <v>-10021.719999999999</v>
      </c>
      <c r="T75" s="1">
        <v>1318.816</v>
      </c>
      <c r="U75" s="1">
        <v>858.84799999999996</v>
      </c>
      <c r="V75" s="1">
        <v>2408.6909999999998</v>
      </c>
      <c r="W75" s="1">
        <v>3408.915</v>
      </c>
      <c r="X75" s="1">
        <v>0</v>
      </c>
      <c r="Y75" s="1">
        <v>-12333.6</v>
      </c>
      <c r="Z75" s="1">
        <v>-32212.333999999999</v>
      </c>
      <c r="AA75" s="1">
        <v>14894</v>
      </c>
      <c r="AB75" s="1">
        <v>0</v>
      </c>
      <c r="AC75" s="1">
        <v>1662998</v>
      </c>
      <c r="AD75" s="1">
        <v>293468</v>
      </c>
      <c r="AE75" s="1">
        <v>7386.8492162430002</v>
      </c>
      <c r="AF75" s="1">
        <v>0</v>
      </c>
      <c r="AG75" s="1">
        <v>10979.398406116001</v>
      </c>
      <c r="AH75" s="1">
        <v>47.525593325000003</v>
      </c>
      <c r="AI75" s="1">
        <v>3661.8802421390001</v>
      </c>
      <c r="AJ75" s="1">
        <v>171.474388498</v>
      </c>
      <c r="AK75" s="1">
        <v>3494.7027816119999</v>
      </c>
      <c r="AL75" s="1">
        <v>6080.9619526180004</v>
      </c>
      <c r="AM75" s="1">
        <v>0</v>
      </c>
      <c r="AN75" s="1">
        <v>0</v>
      </c>
      <c r="AO75" s="1">
        <v>4533.7197602200004</v>
      </c>
      <c r="AP75" s="1">
        <v>26.549485851</v>
      </c>
      <c r="AQ75" s="1">
        <v>0</v>
      </c>
      <c r="AR75" s="1">
        <v>0</v>
      </c>
      <c r="AS75" s="1">
        <v>0</v>
      </c>
      <c r="AT75" s="1">
        <v>29813.200000000001</v>
      </c>
      <c r="AU75" s="1">
        <v>0</v>
      </c>
      <c r="AV75" s="1">
        <v>0</v>
      </c>
      <c r="AW75" s="1">
        <v>3573.5</v>
      </c>
      <c r="AX75" s="1">
        <v>0</v>
      </c>
      <c r="AY75" s="1">
        <v>0</v>
      </c>
      <c r="AZ75" s="1">
        <v>0</v>
      </c>
      <c r="BA75" s="1">
        <v>0</v>
      </c>
      <c r="BB75" s="1">
        <v>0</v>
      </c>
      <c r="BC75" s="1">
        <v>2048.9008538319999</v>
      </c>
      <c r="BD75" s="1">
        <v>0</v>
      </c>
      <c r="BE75" s="1">
        <v>2890.951978481</v>
      </c>
      <c r="BF75" s="1">
        <v>18.027302257999999</v>
      </c>
      <c r="BG75" s="1">
        <v>2407.5697660420001</v>
      </c>
      <c r="BH75" s="1">
        <v>1543.27632242</v>
      </c>
      <c r="BI75" s="1">
        <v>535.31053577399996</v>
      </c>
      <c r="BJ75" s="1">
        <v>1813.8360269259997</v>
      </c>
      <c r="BK75" s="1">
        <v>0</v>
      </c>
      <c r="BL75" s="1">
        <v>0</v>
      </c>
      <c r="BM75" s="1">
        <v>1651.7814328679999</v>
      </c>
      <c r="BN75" s="1">
        <v>3.0307164719999999</v>
      </c>
      <c r="BO75" s="1">
        <v>11529.135561853</v>
      </c>
      <c r="BP75" s="1">
        <v>0</v>
      </c>
      <c r="BQ75" s="1">
        <v>0</v>
      </c>
      <c r="BR75" s="1">
        <v>0</v>
      </c>
      <c r="BS75" s="1">
        <v>27239.999999999996</v>
      </c>
      <c r="BT75" s="1">
        <v>0</v>
      </c>
      <c r="BU75" s="1">
        <v>0</v>
      </c>
      <c r="BV75" s="1">
        <v>2130</v>
      </c>
      <c r="BW75" s="1">
        <v>0</v>
      </c>
      <c r="BX75" s="1">
        <v>0</v>
      </c>
      <c r="BY75" s="1">
        <v>0</v>
      </c>
      <c r="BZ75" s="1">
        <v>0</v>
      </c>
      <c r="CA75" s="1">
        <v>0</v>
      </c>
      <c r="CB75" s="1">
        <v>28960.000000000004</v>
      </c>
    </row>
    <row r="76" spans="1:80">
      <c r="B76">
        <v>74</v>
      </c>
      <c r="C76" s="1" t="s">
        <v>16</v>
      </c>
      <c r="D76" s="1" t="s">
        <v>19</v>
      </c>
      <c r="E76" s="1" t="s">
        <v>75</v>
      </c>
      <c r="F76" s="1" t="s">
        <v>218</v>
      </c>
      <c r="G76" s="1">
        <v>1167990</v>
      </c>
      <c r="H76" s="1">
        <v>14789094</v>
      </c>
      <c r="I76" s="1">
        <v>315037.84000000003</v>
      </c>
      <c r="J76" s="1">
        <v>174922.89</v>
      </c>
      <c r="K76" s="1">
        <v>55527.85</v>
      </c>
      <c r="L76" s="1">
        <v>186240.67</v>
      </c>
      <c r="M76" s="1">
        <v>0</v>
      </c>
      <c r="N76" s="1">
        <v>-4649.0820000000003</v>
      </c>
      <c r="O76" s="1">
        <v>-1111.681</v>
      </c>
      <c r="P76" s="1">
        <v>0</v>
      </c>
      <c r="Q76" s="1">
        <v>-1368.5840000000001</v>
      </c>
      <c r="R76" s="1">
        <v>-3177.8090000000002</v>
      </c>
      <c r="S76" s="1">
        <v>-10021.719999999999</v>
      </c>
      <c r="T76" s="1">
        <v>1318.816</v>
      </c>
      <c r="U76" s="1">
        <v>858.84799999999996</v>
      </c>
      <c r="V76" s="1">
        <v>2408.6909999999998</v>
      </c>
      <c r="W76" s="1">
        <v>3408.915</v>
      </c>
      <c r="X76" s="1">
        <v>0</v>
      </c>
      <c r="Y76" s="1">
        <v>-12333.6</v>
      </c>
      <c r="Z76" s="1">
        <v>-20365.758000000002</v>
      </c>
      <c r="AA76" s="1">
        <v>14890</v>
      </c>
      <c r="AB76" s="1">
        <v>0</v>
      </c>
      <c r="AC76" s="1">
        <v>1715219</v>
      </c>
      <c r="AD76" s="1">
        <v>188230</v>
      </c>
      <c r="AE76" s="1">
        <v>7386.8492162430002</v>
      </c>
      <c r="AF76" s="1">
        <v>0</v>
      </c>
      <c r="AG76" s="1">
        <v>10979.398406116001</v>
      </c>
      <c r="AH76" s="1">
        <v>33.805457945000001</v>
      </c>
      <c r="AI76" s="1">
        <v>3685.405837456</v>
      </c>
      <c r="AJ76" s="1">
        <v>137.18770192400001</v>
      </c>
      <c r="AK76" s="1">
        <v>3659.5628361879999</v>
      </c>
      <c r="AL76" s="1">
        <v>7083.1222789949998</v>
      </c>
      <c r="AM76" s="1">
        <v>0</v>
      </c>
      <c r="AN76" s="1">
        <v>0</v>
      </c>
      <c r="AO76" s="1">
        <v>4533.7197602200004</v>
      </c>
      <c r="AP76" s="1">
        <v>26.549485851</v>
      </c>
      <c r="AQ76" s="1">
        <v>0</v>
      </c>
      <c r="AR76" s="1">
        <v>0</v>
      </c>
      <c r="AS76" s="1">
        <v>0</v>
      </c>
      <c r="AT76" s="1">
        <v>20608.7</v>
      </c>
      <c r="AU76" s="1">
        <v>0</v>
      </c>
      <c r="AV76" s="1">
        <v>0</v>
      </c>
      <c r="AW76" s="1">
        <v>805.5</v>
      </c>
      <c r="AX76" s="1">
        <v>0</v>
      </c>
      <c r="AY76" s="1">
        <v>0</v>
      </c>
      <c r="AZ76" s="1">
        <v>0</v>
      </c>
      <c r="BA76" s="1">
        <v>0</v>
      </c>
      <c r="BB76" s="1">
        <v>0</v>
      </c>
      <c r="BC76" s="1">
        <v>2048.9008538319999</v>
      </c>
      <c r="BD76" s="1">
        <v>0</v>
      </c>
      <c r="BE76" s="1">
        <v>2890.951978481</v>
      </c>
      <c r="BF76" s="1">
        <v>18.051193040999998</v>
      </c>
      <c r="BG76" s="1">
        <v>1328.2217327609999</v>
      </c>
      <c r="BH76" s="1">
        <v>660.65182229899995</v>
      </c>
      <c r="BI76" s="1">
        <v>469.83955144700002</v>
      </c>
      <c r="BJ76" s="1">
        <v>1958.3513732930001</v>
      </c>
      <c r="BK76" s="1">
        <v>0</v>
      </c>
      <c r="BL76" s="1">
        <v>0</v>
      </c>
      <c r="BM76" s="1">
        <v>1651.7814328679999</v>
      </c>
      <c r="BN76" s="1">
        <v>3.0307164719999999</v>
      </c>
      <c r="BO76" s="1">
        <v>10177.060588750999</v>
      </c>
      <c r="BP76" s="1">
        <v>0</v>
      </c>
      <c r="BQ76" s="1">
        <v>0</v>
      </c>
      <c r="BR76" s="1">
        <v>0</v>
      </c>
      <c r="BS76" s="1">
        <v>22970</v>
      </c>
      <c r="BT76" s="1">
        <v>0</v>
      </c>
      <c r="BU76" s="1">
        <v>0</v>
      </c>
      <c r="BV76" s="1">
        <v>819.99999999999989</v>
      </c>
      <c r="BW76" s="1">
        <v>0</v>
      </c>
      <c r="BX76" s="1">
        <v>0</v>
      </c>
      <c r="BY76" s="1">
        <v>0</v>
      </c>
      <c r="BZ76" s="1">
        <v>0</v>
      </c>
      <c r="CA76" s="1">
        <v>0</v>
      </c>
      <c r="CB76" s="1">
        <v>23330</v>
      </c>
    </row>
    <row r="77" spans="1:80">
      <c r="B77">
        <v>75</v>
      </c>
      <c r="C77" s="1" t="s">
        <v>16</v>
      </c>
      <c r="D77" s="1" t="s">
        <v>19</v>
      </c>
      <c r="E77" s="1" t="s">
        <v>77</v>
      </c>
      <c r="F77" s="1" t="s">
        <v>219</v>
      </c>
      <c r="G77" s="1">
        <v>1167990</v>
      </c>
      <c r="H77" s="1">
        <v>14789094</v>
      </c>
      <c r="I77" s="1">
        <v>315037.84000000003</v>
      </c>
      <c r="J77" s="1">
        <v>174922.89</v>
      </c>
      <c r="K77" s="1">
        <v>55527.85</v>
      </c>
      <c r="L77" s="1">
        <v>186240.67</v>
      </c>
      <c r="M77" s="1">
        <v>0</v>
      </c>
      <c r="N77" s="1">
        <v>-4807.6959999999999</v>
      </c>
      <c r="O77" s="1">
        <v>-1113.9059999999999</v>
      </c>
      <c r="P77" s="1">
        <v>0</v>
      </c>
      <c r="Q77" s="1">
        <v>-1368.5840000000001</v>
      </c>
      <c r="R77" s="1">
        <v>-3290.2359999999999</v>
      </c>
      <c r="S77" s="1">
        <v>-10403.42</v>
      </c>
      <c r="T77" s="1">
        <v>1390.797</v>
      </c>
      <c r="U77" s="1">
        <v>950.24300000000005</v>
      </c>
      <c r="V77" s="1">
        <v>2061.1759999999999</v>
      </c>
      <c r="W77" s="1">
        <v>3707.0619999999999</v>
      </c>
      <c r="X77" s="1">
        <v>0</v>
      </c>
      <c r="Y77" s="1">
        <v>-12874.56</v>
      </c>
      <c r="Z77" s="1">
        <v>-33228.461000000003</v>
      </c>
      <c r="AA77" s="1">
        <v>14988</v>
      </c>
      <c r="AB77" s="1">
        <v>0</v>
      </c>
      <c r="AC77" s="1">
        <v>1581018</v>
      </c>
      <c r="AD77" s="1">
        <v>302080</v>
      </c>
      <c r="AE77" s="1">
        <v>5731.5626642120005</v>
      </c>
      <c r="AF77" s="1">
        <v>0</v>
      </c>
      <c r="AG77" s="1">
        <v>10979.398406116001</v>
      </c>
      <c r="AH77" s="1">
        <v>48.747436227000001</v>
      </c>
      <c r="AI77" s="1">
        <v>3587.7983370249999</v>
      </c>
      <c r="AJ77" s="1">
        <v>161.01022554400001</v>
      </c>
      <c r="AK77" s="1">
        <v>3490.3648980130001</v>
      </c>
      <c r="AL77" s="1">
        <v>6030.3646871930005</v>
      </c>
      <c r="AM77" s="1">
        <v>0</v>
      </c>
      <c r="AN77" s="1">
        <v>0</v>
      </c>
      <c r="AO77" s="1">
        <v>4533.7197602200004</v>
      </c>
      <c r="AP77" s="1">
        <v>26.549485851</v>
      </c>
      <c r="AQ77" s="1">
        <v>0</v>
      </c>
      <c r="AR77" s="1">
        <v>0</v>
      </c>
      <c r="AS77" s="1">
        <v>0</v>
      </c>
      <c r="AT77" s="1">
        <v>30792.9</v>
      </c>
      <c r="AU77" s="1">
        <v>0</v>
      </c>
      <c r="AV77" s="1">
        <v>0</v>
      </c>
      <c r="AW77" s="1">
        <v>3573.5</v>
      </c>
      <c r="AX77" s="1">
        <v>0</v>
      </c>
      <c r="AY77" s="1">
        <v>0</v>
      </c>
      <c r="AZ77" s="1">
        <v>0</v>
      </c>
      <c r="BA77" s="1">
        <v>0</v>
      </c>
      <c r="BB77" s="1">
        <v>0</v>
      </c>
      <c r="BC77" s="1">
        <v>1574.115910304</v>
      </c>
      <c r="BD77" s="1">
        <v>0</v>
      </c>
      <c r="BE77" s="1">
        <v>2890.951978481</v>
      </c>
      <c r="BF77" s="1">
        <v>18.023889289</v>
      </c>
      <c r="BG77" s="1">
        <v>2345.6004879089996</v>
      </c>
      <c r="BH77" s="1">
        <v>1458.6142134060001</v>
      </c>
      <c r="BI77" s="1">
        <v>532.98289091599997</v>
      </c>
      <c r="BJ77" s="1">
        <v>1746.7950768589999</v>
      </c>
      <c r="BK77" s="1">
        <v>0</v>
      </c>
      <c r="BL77" s="1">
        <v>0</v>
      </c>
      <c r="BM77" s="1">
        <v>1651.7814328679999</v>
      </c>
      <c r="BN77" s="1">
        <v>3.0307164719999999</v>
      </c>
      <c r="BO77" s="1">
        <v>10874.517868745999</v>
      </c>
      <c r="BP77" s="1">
        <v>0</v>
      </c>
      <c r="BQ77" s="1">
        <v>0</v>
      </c>
      <c r="BR77" s="1">
        <v>0</v>
      </c>
      <c r="BS77" s="1">
        <v>27300</v>
      </c>
      <c r="BT77" s="1">
        <v>0</v>
      </c>
      <c r="BU77" s="1">
        <v>0</v>
      </c>
      <c r="BV77" s="1">
        <v>2130</v>
      </c>
      <c r="BW77" s="1">
        <v>0</v>
      </c>
      <c r="BX77" s="1">
        <v>0</v>
      </c>
      <c r="BY77" s="1">
        <v>0</v>
      </c>
      <c r="BZ77" s="1">
        <v>0</v>
      </c>
      <c r="CA77" s="1">
        <v>0</v>
      </c>
      <c r="CB77" s="1">
        <v>29020</v>
      </c>
    </row>
    <row r="78" spans="1:80">
      <c r="B78">
        <v>76</v>
      </c>
      <c r="C78" s="1" t="s">
        <v>16</v>
      </c>
      <c r="D78" s="1" t="s">
        <v>19</v>
      </c>
      <c r="E78" s="1" t="s">
        <v>79</v>
      </c>
      <c r="F78" s="1" t="s">
        <v>220</v>
      </c>
      <c r="G78" s="1">
        <v>1167990</v>
      </c>
      <c r="H78" s="1">
        <v>14789094</v>
      </c>
      <c r="I78" s="1">
        <v>315037.84000000003</v>
      </c>
      <c r="J78" s="1">
        <v>174922.89</v>
      </c>
      <c r="K78" s="1">
        <v>55527.85</v>
      </c>
      <c r="L78" s="1">
        <v>186240.67</v>
      </c>
      <c r="M78" s="1">
        <v>0</v>
      </c>
      <c r="N78" s="1">
        <v>-4807.6959999999999</v>
      </c>
      <c r="O78" s="1">
        <v>-1113.9059999999999</v>
      </c>
      <c r="P78" s="1">
        <v>0</v>
      </c>
      <c r="Q78" s="1">
        <v>-1368.5840000000001</v>
      </c>
      <c r="R78" s="1">
        <v>-3290.2359999999999</v>
      </c>
      <c r="S78" s="1">
        <v>-10403.42</v>
      </c>
      <c r="T78" s="1">
        <v>1390.797</v>
      </c>
      <c r="U78" s="1">
        <v>950.24300000000005</v>
      </c>
      <c r="V78" s="1">
        <v>2061.1759999999999</v>
      </c>
      <c r="W78" s="1">
        <v>3707.0619999999999</v>
      </c>
      <c r="X78" s="1">
        <v>0</v>
      </c>
      <c r="Y78" s="1">
        <v>-12874.56</v>
      </c>
      <c r="Z78" s="1">
        <v>-21380.381000000001</v>
      </c>
      <c r="AA78" s="1">
        <v>14984</v>
      </c>
      <c r="AB78" s="1">
        <v>0</v>
      </c>
      <c r="AC78" s="1">
        <v>1633294</v>
      </c>
      <c r="AD78" s="1">
        <v>197043</v>
      </c>
      <c r="AE78" s="1">
        <v>5731.5626642120005</v>
      </c>
      <c r="AF78" s="1">
        <v>0</v>
      </c>
      <c r="AG78" s="1">
        <v>10979.398406116001</v>
      </c>
      <c r="AH78" s="1">
        <v>35.238904925</v>
      </c>
      <c r="AI78" s="1">
        <v>3611.9143759789999</v>
      </c>
      <c r="AJ78" s="1">
        <v>126.12626939500001</v>
      </c>
      <c r="AK78" s="1">
        <v>3655.9758057690001</v>
      </c>
      <c r="AL78" s="1">
        <v>7032.6922490510005</v>
      </c>
      <c r="AM78" s="1">
        <v>0</v>
      </c>
      <c r="AN78" s="1">
        <v>0</v>
      </c>
      <c r="AO78" s="1">
        <v>4533.7197602200004</v>
      </c>
      <c r="AP78" s="1">
        <v>26.549485851</v>
      </c>
      <c r="AQ78" s="1">
        <v>0</v>
      </c>
      <c r="AR78" s="1">
        <v>0</v>
      </c>
      <c r="AS78" s="1">
        <v>0</v>
      </c>
      <c r="AT78" s="1">
        <v>21611.3</v>
      </c>
      <c r="AU78" s="1">
        <v>0</v>
      </c>
      <c r="AV78" s="1">
        <v>0</v>
      </c>
      <c r="AW78" s="1">
        <v>805.5</v>
      </c>
      <c r="AX78" s="1">
        <v>0</v>
      </c>
      <c r="AY78" s="1">
        <v>0</v>
      </c>
      <c r="AZ78" s="1">
        <v>0</v>
      </c>
      <c r="BA78" s="1">
        <v>0</v>
      </c>
      <c r="BB78" s="1">
        <v>0</v>
      </c>
      <c r="BC78" s="1">
        <v>1574.115910304</v>
      </c>
      <c r="BD78" s="1">
        <v>0</v>
      </c>
      <c r="BE78" s="1">
        <v>2890.951978481</v>
      </c>
      <c r="BF78" s="1">
        <v>18.047780072000002</v>
      </c>
      <c r="BG78" s="1">
        <v>1264.1534786929999</v>
      </c>
      <c r="BH78" s="1">
        <v>593.06821016100002</v>
      </c>
      <c r="BI78" s="1">
        <v>469.15354467799995</v>
      </c>
      <c r="BJ78" s="1">
        <v>1891.552744025</v>
      </c>
      <c r="BK78" s="1">
        <v>0</v>
      </c>
      <c r="BL78" s="1">
        <v>0</v>
      </c>
      <c r="BM78" s="1">
        <v>1651.7814328679999</v>
      </c>
      <c r="BN78" s="1">
        <v>3.0307164719999999</v>
      </c>
      <c r="BO78" s="1">
        <v>9517.2108141669996</v>
      </c>
      <c r="BP78" s="1">
        <v>0</v>
      </c>
      <c r="BQ78" s="1">
        <v>0</v>
      </c>
      <c r="BR78" s="1">
        <v>0</v>
      </c>
      <c r="BS78" s="1">
        <v>23000</v>
      </c>
      <c r="BT78" s="1">
        <v>0</v>
      </c>
      <c r="BU78" s="1">
        <v>0</v>
      </c>
      <c r="BV78" s="1">
        <v>819.99999999999989</v>
      </c>
      <c r="BW78" s="1">
        <v>0</v>
      </c>
      <c r="BX78" s="1">
        <v>0</v>
      </c>
      <c r="BY78" s="1">
        <v>0</v>
      </c>
      <c r="BZ78" s="1">
        <v>0</v>
      </c>
      <c r="CA78" s="1">
        <v>0</v>
      </c>
      <c r="CB78" s="1">
        <v>23360</v>
      </c>
    </row>
    <row r="79" spans="1:80">
      <c r="B79">
        <v>77</v>
      </c>
      <c r="C79" s="1" t="s">
        <v>16</v>
      </c>
      <c r="D79" s="1" t="s">
        <v>19</v>
      </c>
      <c r="E79" s="1" t="s">
        <v>81</v>
      </c>
      <c r="F79" s="1" t="s">
        <v>221</v>
      </c>
      <c r="G79" s="1">
        <v>1167990</v>
      </c>
      <c r="H79" s="1">
        <v>14789094</v>
      </c>
      <c r="I79" s="1">
        <v>315037.84000000003</v>
      </c>
      <c r="J79" s="1">
        <v>174922.89</v>
      </c>
      <c r="K79" s="1">
        <v>55527.85</v>
      </c>
      <c r="L79" s="1">
        <v>186240.67</v>
      </c>
      <c r="M79" s="1">
        <v>0</v>
      </c>
      <c r="N79" s="1">
        <v>-4595.7780000000002</v>
      </c>
      <c r="O79" s="1">
        <v>-1108.99</v>
      </c>
      <c r="P79" s="1">
        <v>0</v>
      </c>
      <c r="Q79" s="1">
        <v>-1368.5840000000001</v>
      </c>
      <c r="R79" s="1">
        <v>-2647.6770000000001</v>
      </c>
      <c r="S79" s="1">
        <v>-9885.9259999999995</v>
      </c>
      <c r="T79" s="1">
        <v>1291.173</v>
      </c>
      <c r="U79" s="1">
        <v>828.06700000000001</v>
      </c>
      <c r="V79" s="1">
        <v>2336.0189999999998</v>
      </c>
      <c r="W79" s="1">
        <v>3307.4929999999999</v>
      </c>
      <c r="X79" s="1">
        <v>0</v>
      </c>
      <c r="Y79" s="1">
        <v>-11844.21</v>
      </c>
      <c r="Z79" s="1">
        <v>-31483.686000000002</v>
      </c>
      <c r="AA79" s="1">
        <v>14741</v>
      </c>
      <c r="AB79" s="1">
        <v>0</v>
      </c>
      <c r="AC79" s="1">
        <v>1663094</v>
      </c>
      <c r="AD79" s="1">
        <v>287462</v>
      </c>
      <c r="AE79" s="1">
        <v>7386.8492162430002</v>
      </c>
      <c r="AF79" s="1">
        <v>0</v>
      </c>
      <c r="AG79" s="1">
        <v>10979.398406116001</v>
      </c>
      <c r="AH79" s="1">
        <v>47.156992672999998</v>
      </c>
      <c r="AI79" s="1">
        <v>3660.2283651430002</v>
      </c>
      <c r="AJ79" s="1">
        <v>172.66892764799999</v>
      </c>
      <c r="AK79" s="1">
        <v>3493.1601196239999</v>
      </c>
      <c r="AL79" s="1">
        <v>6085.4329420080003</v>
      </c>
      <c r="AM79" s="1">
        <v>0</v>
      </c>
      <c r="AN79" s="1">
        <v>0</v>
      </c>
      <c r="AO79" s="1">
        <v>4533.7197602200004</v>
      </c>
      <c r="AP79" s="1">
        <v>26.549485851</v>
      </c>
      <c r="AQ79" s="1">
        <v>0</v>
      </c>
      <c r="AR79" s="1">
        <v>0</v>
      </c>
      <c r="AS79" s="1">
        <v>0</v>
      </c>
      <c r="AT79" s="1">
        <v>29129.9</v>
      </c>
      <c r="AU79" s="1">
        <v>0</v>
      </c>
      <c r="AV79" s="1">
        <v>0</v>
      </c>
      <c r="AW79" s="1">
        <v>3573.5</v>
      </c>
      <c r="AX79" s="1">
        <v>0</v>
      </c>
      <c r="AY79" s="1">
        <v>0</v>
      </c>
      <c r="AZ79" s="1">
        <v>0</v>
      </c>
      <c r="BA79" s="1">
        <v>0</v>
      </c>
      <c r="BB79" s="1">
        <v>0</v>
      </c>
      <c r="BC79" s="1">
        <v>2048.9008538319999</v>
      </c>
      <c r="BD79" s="1">
        <v>0</v>
      </c>
      <c r="BE79" s="1">
        <v>2890.951978481</v>
      </c>
      <c r="BF79" s="1">
        <v>18.068257885999998</v>
      </c>
      <c r="BG79" s="1">
        <v>2393.8393917549997</v>
      </c>
      <c r="BH79" s="1">
        <v>1523.805334275</v>
      </c>
      <c r="BI79" s="1">
        <v>534.76787370300008</v>
      </c>
      <c r="BJ79" s="1">
        <v>1822.4503606819999</v>
      </c>
      <c r="BK79" s="1">
        <v>0</v>
      </c>
      <c r="BL79" s="1">
        <v>0</v>
      </c>
      <c r="BM79" s="1">
        <v>1651.7814328679999</v>
      </c>
      <c r="BN79" s="1">
        <v>3.0307164719999999</v>
      </c>
      <c r="BO79" s="1">
        <v>11519.961501181</v>
      </c>
      <c r="BP79" s="1">
        <v>0</v>
      </c>
      <c r="BQ79" s="1">
        <v>0</v>
      </c>
      <c r="BR79" s="1">
        <v>0</v>
      </c>
      <c r="BS79" s="1">
        <v>26689.999999999996</v>
      </c>
      <c r="BT79" s="1">
        <v>0</v>
      </c>
      <c r="BU79" s="1">
        <v>0</v>
      </c>
      <c r="BV79" s="1">
        <v>2130</v>
      </c>
      <c r="BW79" s="1">
        <v>0</v>
      </c>
      <c r="BX79" s="1">
        <v>0</v>
      </c>
      <c r="BY79" s="1">
        <v>0</v>
      </c>
      <c r="BZ79" s="1">
        <v>0</v>
      </c>
      <c r="CA79" s="1">
        <v>0</v>
      </c>
      <c r="CB79" s="1">
        <v>28339.999999999996</v>
      </c>
    </row>
    <row r="80" spans="1:80">
      <c r="B80">
        <v>78</v>
      </c>
      <c r="C80" s="1" t="s">
        <v>16</v>
      </c>
      <c r="D80" s="1" t="s">
        <v>19</v>
      </c>
      <c r="E80" s="1" t="s">
        <v>83</v>
      </c>
      <c r="F80" s="1" t="s">
        <v>222</v>
      </c>
      <c r="G80" s="1">
        <v>1167990</v>
      </c>
      <c r="H80" s="1">
        <v>14789094</v>
      </c>
      <c r="I80" s="1">
        <v>315037.84000000003</v>
      </c>
      <c r="J80" s="1">
        <v>174922.89</v>
      </c>
      <c r="K80" s="1">
        <v>55527.85</v>
      </c>
      <c r="L80" s="1">
        <v>186240.67</v>
      </c>
      <c r="M80" s="1">
        <v>0</v>
      </c>
      <c r="N80" s="1">
        <v>-4595.7780000000002</v>
      </c>
      <c r="O80" s="1">
        <v>-1108.99</v>
      </c>
      <c r="P80" s="1">
        <v>0</v>
      </c>
      <c r="Q80" s="1">
        <v>-1368.5840000000001</v>
      </c>
      <c r="R80" s="1">
        <v>-2647.6770000000001</v>
      </c>
      <c r="S80" s="1">
        <v>-9885.9259999999995</v>
      </c>
      <c r="T80" s="1">
        <v>1291.173</v>
      </c>
      <c r="U80" s="1">
        <v>828.06700000000001</v>
      </c>
      <c r="V80" s="1">
        <v>2336.0189999999998</v>
      </c>
      <c r="W80" s="1">
        <v>3307.4929999999999</v>
      </c>
      <c r="X80" s="1">
        <v>0</v>
      </c>
      <c r="Y80" s="1">
        <v>-11844.21</v>
      </c>
      <c r="Z80" s="1">
        <v>-19637.393</v>
      </c>
      <c r="AA80" s="1">
        <v>14737</v>
      </c>
      <c r="AB80" s="1">
        <v>0</v>
      </c>
      <c r="AC80" s="1">
        <v>1715394</v>
      </c>
      <c r="AD80" s="1">
        <v>182006</v>
      </c>
      <c r="AE80" s="1">
        <v>7386.8492162430002</v>
      </c>
      <c r="AF80" s="1">
        <v>0</v>
      </c>
      <c r="AG80" s="1">
        <v>10979.398406116001</v>
      </c>
      <c r="AH80" s="1">
        <v>33.044365857999999</v>
      </c>
      <c r="AI80" s="1">
        <v>3686.4467930010001</v>
      </c>
      <c r="AJ80" s="1">
        <v>138.12285543000002</v>
      </c>
      <c r="AK80" s="1">
        <v>3657.4672732220001</v>
      </c>
      <c r="AL80" s="1">
        <v>7087.8219373080001</v>
      </c>
      <c r="AM80" s="1">
        <v>0</v>
      </c>
      <c r="AN80" s="1">
        <v>0</v>
      </c>
      <c r="AO80" s="1">
        <v>4533.7197602200004</v>
      </c>
      <c r="AP80" s="1">
        <v>26.549485851</v>
      </c>
      <c r="AQ80" s="1">
        <v>0</v>
      </c>
      <c r="AR80" s="1">
        <v>0</v>
      </c>
      <c r="AS80" s="1">
        <v>0</v>
      </c>
      <c r="AT80" s="1">
        <v>19900.599999999999</v>
      </c>
      <c r="AU80" s="1">
        <v>0</v>
      </c>
      <c r="AV80" s="1">
        <v>0</v>
      </c>
      <c r="AW80" s="1">
        <v>805.5</v>
      </c>
      <c r="AX80" s="1">
        <v>0</v>
      </c>
      <c r="AY80" s="1">
        <v>0</v>
      </c>
      <c r="AZ80" s="1">
        <v>0</v>
      </c>
      <c r="BA80" s="1">
        <v>0</v>
      </c>
      <c r="BB80" s="1">
        <v>0</v>
      </c>
      <c r="BC80" s="1">
        <v>2048.9008538319999</v>
      </c>
      <c r="BD80" s="1">
        <v>0</v>
      </c>
      <c r="BE80" s="1">
        <v>2890.951978481</v>
      </c>
      <c r="BF80" s="1">
        <v>18.037541165</v>
      </c>
      <c r="BG80" s="1">
        <v>1314.644942079</v>
      </c>
      <c r="BH80" s="1">
        <v>648.71325673700005</v>
      </c>
      <c r="BI80" s="1">
        <v>469.41975625999999</v>
      </c>
      <c r="BJ80" s="1">
        <v>1966.9861848629998</v>
      </c>
      <c r="BK80" s="1">
        <v>0</v>
      </c>
      <c r="BL80" s="1">
        <v>0</v>
      </c>
      <c r="BM80" s="1">
        <v>1651.7814328679999</v>
      </c>
      <c r="BN80" s="1">
        <v>3.0307164719999999</v>
      </c>
      <c r="BO80" s="1">
        <v>10167.255128813998</v>
      </c>
      <c r="BP80" s="1">
        <v>0</v>
      </c>
      <c r="BQ80" s="1">
        <v>0</v>
      </c>
      <c r="BR80" s="1">
        <v>0</v>
      </c>
      <c r="BS80" s="1">
        <v>22830</v>
      </c>
      <c r="BT80" s="1">
        <v>0</v>
      </c>
      <c r="BU80" s="1">
        <v>0</v>
      </c>
      <c r="BV80" s="1">
        <v>819.99999999999989</v>
      </c>
      <c r="BW80" s="1">
        <v>0</v>
      </c>
      <c r="BX80" s="1">
        <v>0</v>
      </c>
      <c r="BY80" s="1">
        <v>0</v>
      </c>
      <c r="BZ80" s="1">
        <v>0</v>
      </c>
      <c r="CA80" s="1">
        <v>0</v>
      </c>
      <c r="CB80" s="1">
        <v>23190</v>
      </c>
    </row>
    <row r="81" spans="2:80">
      <c r="B81">
        <v>79</v>
      </c>
      <c r="C81" s="1" t="s">
        <v>16</v>
      </c>
      <c r="D81" s="1" t="s">
        <v>19</v>
      </c>
      <c r="E81" s="1" t="s">
        <v>85</v>
      </c>
      <c r="F81" s="1" t="s">
        <v>223</v>
      </c>
      <c r="G81" s="1">
        <v>1167990</v>
      </c>
      <c r="H81" s="1">
        <v>14789094</v>
      </c>
      <c r="I81" s="1">
        <v>315037.84000000003</v>
      </c>
      <c r="J81" s="1">
        <v>174922.89</v>
      </c>
      <c r="K81" s="1">
        <v>55527.85</v>
      </c>
      <c r="L81" s="1">
        <v>186240.67</v>
      </c>
      <c r="M81" s="1">
        <v>0</v>
      </c>
      <c r="N81" s="1">
        <v>-4757.098</v>
      </c>
      <c r="O81" s="1">
        <v>-1111.4480000000001</v>
      </c>
      <c r="P81" s="1">
        <v>0</v>
      </c>
      <c r="Q81" s="1">
        <v>-1368.5840000000001</v>
      </c>
      <c r="R81" s="1">
        <v>-2743.7860000000001</v>
      </c>
      <c r="S81" s="1">
        <v>-10273.39</v>
      </c>
      <c r="T81" s="1">
        <v>1361.8219999999999</v>
      </c>
      <c r="U81" s="1">
        <v>918.71600000000001</v>
      </c>
      <c r="V81" s="1">
        <v>2004.662</v>
      </c>
      <c r="W81" s="1">
        <v>3602.1129999999998</v>
      </c>
      <c r="X81" s="1">
        <v>0</v>
      </c>
      <c r="Y81" s="1">
        <v>-12366.99</v>
      </c>
      <c r="Z81" s="1">
        <v>-32489.775000000001</v>
      </c>
      <c r="AA81" s="1">
        <v>14825</v>
      </c>
      <c r="AB81" s="1">
        <v>0</v>
      </c>
      <c r="AC81" s="1">
        <v>1580935</v>
      </c>
      <c r="AD81" s="1">
        <v>295886</v>
      </c>
      <c r="AE81" s="1">
        <v>5731.5626642120005</v>
      </c>
      <c r="AF81" s="1">
        <v>0</v>
      </c>
      <c r="AG81" s="1">
        <v>10979.398406116001</v>
      </c>
      <c r="AH81" s="1">
        <v>48.037538675</v>
      </c>
      <c r="AI81" s="1">
        <v>3584.9962894760001</v>
      </c>
      <c r="AJ81" s="1">
        <v>161.56653949100001</v>
      </c>
      <c r="AK81" s="1">
        <v>3488.675478358</v>
      </c>
      <c r="AL81" s="1">
        <v>6033.1530828659997</v>
      </c>
      <c r="AM81" s="1">
        <v>0</v>
      </c>
      <c r="AN81" s="1">
        <v>0</v>
      </c>
      <c r="AO81" s="1">
        <v>4533.7197602200004</v>
      </c>
      <c r="AP81" s="1">
        <v>26.549485851</v>
      </c>
      <c r="AQ81" s="1">
        <v>0</v>
      </c>
      <c r="AR81" s="1">
        <v>0</v>
      </c>
      <c r="AS81" s="1">
        <v>0</v>
      </c>
      <c r="AT81" s="1">
        <v>30088.3</v>
      </c>
      <c r="AU81" s="1">
        <v>0</v>
      </c>
      <c r="AV81" s="1">
        <v>0</v>
      </c>
      <c r="AW81" s="1">
        <v>3573.5</v>
      </c>
      <c r="AX81" s="1">
        <v>0</v>
      </c>
      <c r="AY81" s="1">
        <v>0</v>
      </c>
      <c r="AZ81" s="1">
        <v>0</v>
      </c>
      <c r="BA81" s="1">
        <v>0</v>
      </c>
      <c r="BB81" s="1">
        <v>0</v>
      </c>
      <c r="BC81" s="1">
        <v>1574.115910304</v>
      </c>
      <c r="BD81" s="1">
        <v>0</v>
      </c>
      <c r="BE81" s="1">
        <v>2890.951978481</v>
      </c>
      <c r="BF81" s="1">
        <v>18.047780072000002</v>
      </c>
      <c r="BG81" s="1">
        <v>2332.7028780579999</v>
      </c>
      <c r="BH81" s="1">
        <v>1441.0340100870001</v>
      </c>
      <c r="BI81" s="1">
        <v>532.47777150399997</v>
      </c>
      <c r="BJ81" s="1">
        <v>1755.0988304360001</v>
      </c>
      <c r="BK81" s="1">
        <v>0</v>
      </c>
      <c r="BL81" s="1">
        <v>0</v>
      </c>
      <c r="BM81" s="1">
        <v>1651.7814328679999</v>
      </c>
      <c r="BN81" s="1">
        <v>3.0307164719999999</v>
      </c>
      <c r="BO81" s="1">
        <v>10866.99568507</v>
      </c>
      <c r="BP81" s="1">
        <v>0</v>
      </c>
      <c r="BQ81" s="1">
        <v>0</v>
      </c>
      <c r="BR81" s="1">
        <v>0</v>
      </c>
      <c r="BS81" s="1">
        <v>27030</v>
      </c>
      <c r="BT81" s="1">
        <v>0</v>
      </c>
      <c r="BU81" s="1">
        <v>0</v>
      </c>
      <c r="BV81" s="1">
        <v>2130</v>
      </c>
      <c r="BW81" s="1">
        <v>0</v>
      </c>
      <c r="BX81" s="1">
        <v>0</v>
      </c>
      <c r="BY81" s="1">
        <v>0</v>
      </c>
      <c r="BZ81" s="1">
        <v>0</v>
      </c>
      <c r="CA81" s="1">
        <v>0</v>
      </c>
      <c r="CB81" s="1">
        <v>28750</v>
      </c>
    </row>
    <row r="82" spans="2:80">
      <c r="B82">
        <v>80</v>
      </c>
      <c r="C82" s="1" t="s">
        <v>16</v>
      </c>
      <c r="D82" s="1" t="s">
        <v>19</v>
      </c>
      <c r="E82" s="1" t="s">
        <v>87</v>
      </c>
      <c r="F82" s="1" t="s">
        <v>224</v>
      </c>
      <c r="G82" s="1">
        <v>1167990</v>
      </c>
      <c r="H82" s="1">
        <v>14789094</v>
      </c>
      <c r="I82" s="1">
        <v>315037.84000000003</v>
      </c>
      <c r="J82" s="1">
        <v>174922.89</v>
      </c>
      <c r="K82" s="1">
        <v>55527.85</v>
      </c>
      <c r="L82" s="1">
        <v>186240.67</v>
      </c>
      <c r="M82" s="1">
        <v>0</v>
      </c>
      <c r="N82" s="1">
        <v>-4757.098</v>
      </c>
      <c r="O82" s="1">
        <v>-1111.4480000000001</v>
      </c>
      <c r="P82" s="1">
        <v>0</v>
      </c>
      <c r="Q82" s="1">
        <v>-1368.5840000000001</v>
      </c>
      <c r="R82" s="1">
        <v>-2743.7860000000001</v>
      </c>
      <c r="S82" s="1">
        <v>-10273.39</v>
      </c>
      <c r="T82" s="1">
        <v>1361.8219999999999</v>
      </c>
      <c r="U82" s="1">
        <v>918.71600000000001</v>
      </c>
      <c r="V82" s="1">
        <v>2004.662</v>
      </c>
      <c r="W82" s="1">
        <v>3602.1129999999998</v>
      </c>
      <c r="X82" s="1">
        <v>0</v>
      </c>
      <c r="Y82" s="1">
        <v>-12366.99</v>
      </c>
      <c r="Z82" s="1">
        <v>-20641.925999999999</v>
      </c>
      <c r="AA82" s="1">
        <v>14821</v>
      </c>
      <c r="AB82" s="1">
        <v>0</v>
      </c>
      <c r="AC82" s="1">
        <v>1633328</v>
      </c>
      <c r="AD82" s="1">
        <v>190879</v>
      </c>
      <c r="AE82" s="1">
        <v>5731.5626642120005</v>
      </c>
      <c r="AF82" s="1">
        <v>0</v>
      </c>
      <c r="AG82" s="1">
        <v>10979.398406116001</v>
      </c>
      <c r="AH82" s="1">
        <v>34.587027845999998</v>
      </c>
      <c r="AI82" s="1">
        <v>3611.9314408240002</v>
      </c>
      <c r="AJ82" s="1">
        <v>126.81568913300001</v>
      </c>
      <c r="AK82" s="1">
        <v>3653.757375919</v>
      </c>
      <c r="AL82" s="1">
        <v>7035.5864467629999</v>
      </c>
      <c r="AM82" s="1">
        <v>0</v>
      </c>
      <c r="AN82" s="1">
        <v>0</v>
      </c>
      <c r="AO82" s="1">
        <v>4533.7197602200004</v>
      </c>
      <c r="AP82" s="1">
        <v>26.549485851</v>
      </c>
      <c r="AQ82" s="1">
        <v>0</v>
      </c>
      <c r="AR82" s="1">
        <v>0</v>
      </c>
      <c r="AS82" s="1">
        <v>0</v>
      </c>
      <c r="AT82" s="1">
        <v>20910</v>
      </c>
      <c r="AU82" s="1">
        <v>0</v>
      </c>
      <c r="AV82" s="1">
        <v>0</v>
      </c>
      <c r="AW82" s="1">
        <v>805.5</v>
      </c>
      <c r="AX82" s="1">
        <v>0</v>
      </c>
      <c r="AY82" s="1">
        <v>0</v>
      </c>
      <c r="AZ82" s="1">
        <v>0</v>
      </c>
      <c r="BA82" s="1">
        <v>0</v>
      </c>
      <c r="BB82" s="1">
        <v>0</v>
      </c>
      <c r="BC82" s="1">
        <v>1574.115910304</v>
      </c>
      <c r="BD82" s="1">
        <v>0</v>
      </c>
      <c r="BE82" s="1">
        <v>2890.951978481</v>
      </c>
      <c r="BF82" s="1">
        <v>18.034128195999998</v>
      </c>
      <c r="BG82" s="1">
        <v>1250.7609883370001</v>
      </c>
      <c r="BH82" s="1">
        <v>582.43681172599997</v>
      </c>
      <c r="BI82" s="1">
        <v>468.73374949099997</v>
      </c>
      <c r="BJ82" s="1">
        <v>1899.8223679120001</v>
      </c>
      <c r="BK82" s="1">
        <v>0</v>
      </c>
      <c r="BL82" s="1">
        <v>0</v>
      </c>
      <c r="BM82" s="1">
        <v>1651.7814328679999</v>
      </c>
      <c r="BN82" s="1">
        <v>3.0307164719999999</v>
      </c>
      <c r="BO82" s="1">
        <v>9509.5418728239983</v>
      </c>
      <c r="BP82" s="1">
        <v>0</v>
      </c>
      <c r="BQ82" s="1">
        <v>0</v>
      </c>
      <c r="BR82" s="1">
        <v>0</v>
      </c>
      <c r="BS82" s="1">
        <v>22860</v>
      </c>
      <c r="BT82" s="1">
        <v>0</v>
      </c>
      <c r="BU82" s="1">
        <v>0</v>
      </c>
      <c r="BV82" s="1">
        <v>819.99999999999989</v>
      </c>
      <c r="BW82" s="1">
        <v>0</v>
      </c>
      <c r="BX82" s="1">
        <v>0</v>
      </c>
      <c r="BY82" s="1">
        <v>0</v>
      </c>
      <c r="BZ82" s="1">
        <v>0</v>
      </c>
      <c r="CA82" s="1">
        <v>0</v>
      </c>
      <c r="CB82" s="1">
        <v>23230</v>
      </c>
    </row>
    <row r="83" spans="2:80">
      <c r="B83">
        <v>81</v>
      </c>
      <c r="C83" s="1" t="s">
        <v>16</v>
      </c>
      <c r="D83" s="1" t="s">
        <v>19</v>
      </c>
      <c r="E83" s="1" t="s">
        <v>89</v>
      </c>
      <c r="F83" s="1" t="s">
        <v>225</v>
      </c>
      <c r="G83" s="1">
        <v>1167990</v>
      </c>
      <c r="H83" s="1">
        <v>14789094</v>
      </c>
      <c r="I83" s="1">
        <v>315037.84000000003</v>
      </c>
      <c r="J83" s="1">
        <v>174922.89</v>
      </c>
      <c r="K83" s="1">
        <v>55527.85</v>
      </c>
      <c r="L83" s="1">
        <v>186240.67</v>
      </c>
      <c r="M83" s="1">
        <v>0</v>
      </c>
      <c r="N83" s="1">
        <v>-4309.4470000000001</v>
      </c>
      <c r="O83" s="1">
        <v>-1108.5170000000001</v>
      </c>
      <c r="P83" s="1">
        <v>0</v>
      </c>
      <c r="Q83" s="1">
        <v>-1368.5840000000001</v>
      </c>
      <c r="R83" s="1">
        <v>-2898.0949999999998</v>
      </c>
      <c r="S83" s="1">
        <v>-6715.2439999999997</v>
      </c>
      <c r="T83" s="1">
        <v>1107.69</v>
      </c>
      <c r="U83" s="1">
        <v>681.33</v>
      </c>
      <c r="V83" s="1">
        <v>1973.182</v>
      </c>
      <c r="W83" s="1">
        <v>2791.8339999999998</v>
      </c>
      <c r="X83" s="1">
        <v>0</v>
      </c>
      <c r="Y83" s="1">
        <v>-9845.8510000000006</v>
      </c>
      <c r="Z83" s="1">
        <v>-29237.557000000001</v>
      </c>
      <c r="AA83" s="1">
        <v>14632</v>
      </c>
      <c r="AB83" s="1">
        <v>0</v>
      </c>
      <c r="AC83" s="1">
        <v>1664883</v>
      </c>
      <c r="AD83" s="1">
        <v>268953</v>
      </c>
      <c r="AE83" s="1">
        <v>7386.8492162430002</v>
      </c>
      <c r="AF83" s="1">
        <v>0</v>
      </c>
      <c r="AG83" s="1">
        <v>10979.398406116001</v>
      </c>
      <c r="AH83" s="1">
        <v>45.883955235999998</v>
      </c>
      <c r="AI83" s="1">
        <v>3675.474097666</v>
      </c>
      <c r="AJ83" s="1">
        <v>178.27643571499999</v>
      </c>
      <c r="AK83" s="1">
        <v>3490.8495396110002</v>
      </c>
      <c r="AL83" s="1">
        <v>6107.3134862670004</v>
      </c>
      <c r="AM83" s="1">
        <v>0</v>
      </c>
      <c r="AN83" s="1">
        <v>0</v>
      </c>
      <c r="AO83" s="1">
        <v>4533.7197602200004</v>
      </c>
      <c r="AP83" s="1">
        <v>26.549485851</v>
      </c>
      <c r="AQ83" s="1">
        <v>0</v>
      </c>
      <c r="AR83" s="1">
        <v>0</v>
      </c>
      <c r="AS83" s="1">
        <v>0</v>
      </c>
      <c r="AT83" s="1">
        <v>27024.1</v>
      </c>
      <c r="AU83" s="1">
        <v>0</v>
      </c>
      <c r="AV83" s="1">
        <v>0</v>
      </c>
      <c r="AW83" s="1">
        <v>3573.5</v>
      </c>
      <c r="AX83" s="1">
        <v>0</v>
      </c>
      <c r="AY83" s="1">
        <v>0</v>
      </c>
      <c r="AZ83" s="1">
        <v>0</v>
      </c>
      <c r="BA83" s="1">
        <v>0</v>
      </c>
      <c r="BB83" s="1">
        <v>0</v>
      </c>
      <c r="BC83" s="1">
        <v>2048.9008538319999</v>
      </c>
      <c r="BD83" s="1">
        <v>0</v>
      </c>
      <c r="BE83" s="1">
        <v>2890.951978481</v>
      </c>
      <c r="BF83" s="1">
        <v>18.013650381999998</v>
      </c>
      <c r="BG83" s="1">
        <v>2410.9178886310001</v>
      </c>
      <c r="BH83" s="1">
        <v>1547.2592572429999</v>
      </c>
      <c r="BI83" s="1">
        <v>535.49142313100003</v>
      </c>
      <c r="BJ83" s="1">
        <v>1853.2489929379999</v>
      </c>
      <c r="BK83" s="1">
        <v>0</v>
      </c>
      <c r="BL83" s="1">
        <v>0</v>
      </c>
      <c r="BM83" s="1">
        <v>1651.7814328679999</v>
      </c>
      <c r="BN83" s="1">
        <v>3.0307164719999999</v>
      </c>
      <c r="BO83" s="1">
        <v>11593.033167471</v>
      </c>
      <c r="BP83" s="1">
        <v>0</v>
      </c>
      <c r="BQ83" s="1">
        <v>0</v>
      </c>
      <c r="BR83" s="1">
        <v>0</v>
      </c>
      <c r="BS83" s="1">
        <v>25820</v>
      </c>
      <c r="BT83" s="1">
        <v>0</v>
      </c>
      <c r="BU83" s="1">
        <v>0</v>
      </c>
      <c r="BV83" s="1">
        <v>2130</v>
      </c>
      <c r="BW83" s="1">
        <v>0</v>
      </c>
      <c r="BX83" s="1">
        <v>0</v>
      </c>
      <c r="BY83" s="1">
        <v>0</v>
      </c>
      <c r="BZ83" s="1">
        <v>0</v>
      </c>
      <c r="CA83" s="1">
        <v>0</v>
      </c>
      <c r="CB83" s="1">
        <v>27550</v>
      </c>
    </row>
    <row r="84" spans="2:80">
      <c r="B84">
        <v>82</v>
      </c>
      <c r="C84" s="1" t="s">
        <v>16</v>
      </c>
      <c r="D84" s="1" t="s">
        <v>19</v>
      </c>
      <c r="E84" s="1" t="s">
        <v>91</v>
      </c>
      <c r="F84" s="1" t="s">
        <v>86</v>
      </c>
      <c r="G84" s="1">
        <v>1167990</v>
      </c>
      <c r="H84" s="1">
        <v>14789094</v>
      </c>
      <c r="I84" s="1">
        <v>315037.84000000003</v>
      </c>
      <c r="J84" s="1">
        <v>174922.89</v>
      </c>
      <c r="K84" s="1">
        <v>55527.85</v>
      </c>
      <c r="L84" s="1">
        <v>186240.67</v>
      </c>
      <c r="M84" s="1">
        <v>0</v>
      </c>
      <c r="N84" s="1">
        <v>-4309.4470000000001</v>
      </c>
      <c r="O84" s="1">
        <v>-1108.5170000000001</v>
      </c>
      <c r="P84" s="1">
        <v>0</v>
      </c>
      <c r="Q84" s="1">
        <v>-1368.5840000000001</v>
      </c>
      <c r="R84" s="1">
        <v>-2898.0949999999998</v>
      </c>
      <c r="S84" s="1">
        <v>-6715.2439999999997</v>
      </c>
      <c r="T84" s="1">
        <v>1107.69</v>
      </c>
      <c r="U84" s="1">
        <v>681.33</v>
      </c>
      <c r="V84" s="1">
        <v>1973.182</v>
      </c>
      <c r="W84" s="1">
        <v>2791.8339999999998</v>
      </c>
      <c r="X84" s="1">
        <v>0</v>
      </c>
      <c r="Y84" s="1">
        <v>-9845.8510000000006</v>
      </c>
      <c r="Z84" s="1">
        <v>-17393.245999999999</v>
      </c>
      <c r="AA84" s="1">
        <v>14631</v>
      </c>
      <c r="AB84" s="1">
        <v>0</v>
      </c>
      <c r="AC84" s="1">
        <v>1717280</v>
      </c>
      <c r="AD84" s="1">
        <v>162841</v>
      </c>
      <c r="AE84" s="1">
        <v>7386.8492162430002</v>
      </c>
      <c r="AF84" s="1">
        <v>0</v>
      </c>
      <c r="AG84" s="1">
        <v>10979.398406116001</v>
      </c>
      <c r="AH84" s="1">
        <v>31.068256807000001</v>
      </c>
      <c r="AI84" s="1">
        <v>3706.4263135270003</v>
      </c>
      <c r="AJ84" s="1">
        <v>144.03411773799999</v>
      </c>
      <c r="AK84" s="1">
        <v>3653.1259766540002</v>
      </c>
      <c r="AL84" s="1">
        <v>7109.4840515510004</v>
      </c>
      <c r="AM84" s="1">
        <v>0</v>
      </c>
      <c r="AN84" s="1">
        <v>0</v>
      </c>
      <c r="AO84" s="1">
        <v>4533.7197602200004</v>
      </c>
      <c r="AP84" s="1">
        <v>26.549485851</v>
      </c>
      <c r="AQ84" s="1">
        <v>0</v>
      </c>
      <c r="AR84" s="1">
        <v>0</v>
      </c>
      <c r="AS84" s="1">
        <v>0</v>
      </c>
      <c r="AT84" s="1">
        <v>17720.3</v>
      </c>
      <c r="AU84" s="1">
        <v>0</v>
      </c>
      <c r="AV84" s="1">
        <v>0</v>
      </c>
      <c r="AW84" s="1">
        <v>805.5</v>
      </c>
      <c r="AX84" s="1">
        <v>0</v>
      </c>
      <c r="AY84" s="1">
        <v>0</v>
      </c>
      <c r="AZ84" s="1">
        <v>0</v>
      </c>
      <c r="BA84" s="1">
        <v>0</v>
      </c>
      <c r="BB84" s="1">
        <v>0</v>
      </c>
      <c r="BC84" s="1">
        <v>2048.9008538319999</v>
      </c>
      <c r="BD84" s="1">
        <v>0</v>
      </c>
      <c r="BE84" s="1">
        <v>2890.951978481</v>
      </c>
      <c r="BF84" s="1">
        <v>18.051193040999998</v>
      </c>
      <c r="BG84" s="1">
        <v>1333.231971253</v>
      </c>
      <c r="BH84" s="1">
        <v>665.94875018699997</v>
      </c>
      <c r="BI84" s="1">
        <v>468.46753790899999</v>
      </c>
      <c r="BJ84" s="1">
        <v>1998.061267608</v>
      </c>
      <c r="BK84" s="1">
        <v>0</v>
      </c>
      <c r="BL84" s="1">
        <v>0</v>
      </c>
      <c r="BM84" s="1">
        <v>1651.7814328679999</v>
      </c>
      <c r="BN84" s="1">
        <v>3.0307164719999999</v>
      </c>
      <c r="BO84" s="1">
        <v>10243.876282864001</v>
      </c>
      <c r="BP84" s="1">
        <v>0</v>
      </c>
      <c r="BQ84" s="1">
        <v>0</v>
      </c>
      <c r="BR84" s="1">
        <v>0</v>
      </c>
      <c r="BS84" s="1">
        <v>22350</v>
      </c>
      <c r="BT84" s="1">
        <v>0</v>
      </c>
      <c r="BU84" s="1">
        <v>0</v>
      </c>
      <c r="BV84" s="1">
        <v>819.99999999999989</v>
      </c>
      <c r="BW84" s="1">
        <v>0</v>
      </c>
      <c r="BX84" s="1">
        <v>0</v>
      </c>
      <c r="BY84" s="1">
        <v>0</v>
      </c>
      <c r="BZ84" s="1">
        <v>0</v>
      </c>
      <c r="CA84" s="1">
        <v>0</v>
      </c>
      <c r="CB84" s="1">
        <v>22720</v>
      </c>
    </row>
    <row r="85" spans="2:80">
      <c r="B85">
        <v>83</v>
      </c>
      <c r="C85" s="1" t="s">
        <v>16</v>
      </c>
      <c r="D85" s="1" t="s">
        <v>19</v>
      </c>
      <c r="E85" s="1" t="s">
        <v>93</v>
      </c>
      <c r="F85" s="1" t="s">
        <v>226</v>
      </c>
      <c r="G85" s="1">
        <v>1167990</v>
      </c>
      <c r="H85" s="1">
        <v>14789094</v>
      </c>
      <c r="I85" s="1">
        <v>315037.84000000003</v>
      </c>
      <c r="J85" s="1">
        <v>174922.89</v>
      </c>
      <c r="K85" s="1">
        <v>55527.85</v>
      </c>
      <c r="L85" s="1">
        <v>186240.67</v>
      </c>
      <c r="M85" s="1">
        <v>0</v>
      </c>
      <c r="N85" s="1">
        <v>-4495.643</v>
      </c>
      <c r="O85" s="1">
        <v>-1111.085</v>
      </c>
      <c r="P85" s="1">
        <v>0</v>
      </c>
      <c r="Q85" s="1">
        <v>-1368.5840000000001</v>
      </c>
      <c r="R85" s="1">
        <v>-3031.79</v>
      </c>
      <c r="S85" s="1">
        <v>-7048.75</v>
      </c>
      <c r="T85" s="1">
        <v>1175.8320000000001</v>
      </c>
      <c r="U85" s="1">
        <v>774.12400000000002</v>
      </c>
      <c r="V85" s="1">
        <v>1735.96</v>
      </c>
      <c r="W85" s="1">
        <v>3092.8789999999999</v>
      </c>
      <c r="X85" s="1">
        <v>0</v>
      </c>
      <c r="Y85" s="1">
        <v>-10277.06</v>
      </c>
      <c r="Z85" s="1">
        <v>-30202.85</v>
      </c>
      <c r="AA85" s="1">
        <v>14704</v>
      </c>
      <c r="AB85" s="1">
        <v>0</v>
      </c>
      <c r="AC85" s="1">
        <v>1582327</v>
      </c>
      <c r="AD85" s="1">
        <v>276941</v>
      </c>
      <c r="AE85" s="1">
        <v>5731.5626642120005</v>
      </c>
      <c r="AF85" s="1">
        <v>0</v>
      </c>
      <c r="AG85" s="1">
        <v>10979.398406116001</v>
      </c>
      <c r="AH85" s="1">
        <v>46.566549035999998</v>
      </c>
      <c r="AI85" s="1">
        <v>3596.6515786109999</v>
      </c>
      <c r="AJ85" s="1">
        <v>166.23206811400001</v>
      </c>
      <c r="AK85" s="1">
        <v>3486.027014414</v>
      </c>
      <c r="AL85" s="1">
        <v>6051.4124670159999</v>
      </c>
      <c r="AM85" s="1">
        <v>0</v>
      </c>
      <c r="AN85" s="1">
        <v>0</v>
      </c>
      <c r="AO85" s="1">
        <v>4533.7197602200004</v>
      </c>
      <c r="AP85" s="1">
        <v>26.549485851</v>
      </c>
      <c r="AQ85" s="1">
        <v>0</v>
      </c>
      <c r="AR85" s="1">
        <v>0</v>
      </c>
      <c r="AS85" s="1">
        <v>0</v>
      </c>
      <c r="AT85" s="1">
        <v>27932.9</v>
      </c>
      <c r="AU85" s="1">
        <v>0</v>
      </c>
      <c r="AV85" s="1">
        <v>0</v>
      </c>
      <c r="AW85" s="1">
        <v>3573.5</v>
      </c>
      <c r="AX85" s="1">
        <v>0</v>
      </c>
      <c r="AY85" s="1">
        <v>0</v>
      </c>
      <c r="AZ85" s="1">
        <v>0</v>
      </c>
      <c r="BA85" s="1">
        <v>0</v>
      </c>
      <c r="BB85" s="1">
        <v>0</v>
      </c>
      <c r="BC85" s="1">
        <v>1574.115910304</v>
      </c>
      <c r="BD85" s="1">
        <v>0</v>
      </c>
      <c r="BE85" s="1">
        <v>2890.951978481</v>
      </c>
      <c r="BF85" s="1">
        <v>18.034128195999998</v>
      </c>
      <c r="BG85" s="1">
        <v>2348.6516821949999</v>
      </c>
      <c r="BH85" s="1">
        <v>1462.767796679</v>
      </c>
      <c r="BI85" s="1">
        <v>533.15012639700001</v>
      </c>
      <c r="BJ85" s="1">
        <v>1784.6619679139999</v>
      </c>
      <c r="BK85" s="1">
        <v>0</v>
      </c>
      <c r="BL85" s="1">
        <v>0</v>
      </c>
      <c r="BM85" s="1">
        <v>1651.7814328679999</v>
      </c>
      <c r="BN85" s="1">
        <v>3.0307164719999999</v>
      </c>
      <c r="BO85" s="1">
        <v>10934.620252835999</v>
      </c>
      <c r="BP85" s="1">
        <v>0</v>
      </c>
      <c r="BQ85" s="1">
        <v>0</v>
      </c>
      <c r="BR85" s="1">
        <v>0</v>
      </c>
      <c r="BS85" s="1">
        <v>25889.999999999996</v>
      </c>
      <c r="BT85" s="1">
        <v>0</v>
      </c>
      <c r="BU85" s="1">
        <v>0</v>
      </c>
      <c r="BV85" s="1">
        <v>2130</v>
      </c>
      <c r="BW85" s="1">
        <v>0</v>
      </c>
      <c r="BX85" s="1">
        <v>0</v>
      </c>
      <c r="BY85" s="1">
        <v>0</v>
      </c>
      <c r="BZ85" s="1">
        <v>0</v>
      </c>
      <c r="CA85" s="1">
        <v>0</v>
      </c>
      <c r="CB85" s="1">
        <v>27610.000000000004</v>
      </c>
    </row>
    <row r="86" spans="2:80">
      <c r="B86">
        <v>84</v>
      </c>
      <c r="C86" s="1" t="s">
        <v>16</v>
      </c>
      <c r="D86" s="1" t="s">
        <v>19</v>
      </c>
      <c r="E86" s="1" t="s">
        <v>95</v>
      </c>
      <c r="F86" s="1" t="s">
        <v>227</v>
      </c>
      <c r="G86" s="1">
        <v>1167990</v>
      </c>
      <c r="H86" s="1">
        <v>14789094</v>
      </c>
      <c r="I86" s="1">
        <v>315037.84000000003</v>
      </c>
      <c r="J86" s="1">
        <v>174922.89</v>
      </c>
      <c r="K86" s="1">
        <v>55527.85</v>
      </c>
      <c r="L86" s="1">
        <v>186240.67</v>
      </c>
      <c r="M86" s="1">
        <v>0</v>
      </c>
      <c r="N86" s="1">
        <v>-4495.643</v>
      </c>
      <c r="O86" s="1">
        <v>-1111.085</v>
      </c>
      <c r="P86" s="1">
        <v>0</v>
      </c>
      <c r="Q86" s="1">
        <v>-1368.5840000000001</v>
      </c>
      <c r="R86" s="1">
        <v>-3031.79</v>
      </c>
      <c r="S86" s="1">
        <v>-7048.75</v>
      </c>
      <c r="T86" s="1">
        <v>1175.8320000000001</v>
      </c>
      <c r="U86" s="1">
        <v>774.12400000000002</v>
      </c>
      <c r="V86" s="1">
        <v>1735.96</v>
      </c>
      <c r="W86" s="1">
        <v>3092.8789999999999</v>
      </c>
      <c r="X86" s="1">
        <v>0</v>
      </c>
      <c r="Y86" s="1">
        <v>-10277.06</v>
      </c>
      <c r="Z86" s="1">
        <v>-18356.476999999999</v>
      </c>
      <c r="AA86" s="1">
        <v>14704</v>
      </c>
      <c r="AB86" s="1">
        <v>0</v>
      </c>
      <c r="AC86" s="1">
        <v>1634879</v>
      </c>
      <c r="AD86" s="1">
        <v>171377</v>
      </c>
      <c r="AE86" s="1">
        <v>5731.5626642120005</v>
      </c>
      <c r="AF86" s="1">
        <v>0</v>
      </c>
      <c r="AG86" s="1">
        <v>10979.398406116001</v>
      </c>
      <c r="AH86" s="1">
        <v>32.402727685999999</v>
      </c>
      <c r="AI86" s="1">
        <v>3629.2215417780003</v>
      </c>
      <c r="AJ86" s="1">
        <v>131.645040268</v>
      </c>
      <c r="AK86" s="1">
        <v>3649.4194923200002</v>
      </c>
      <c r="AL86" s="1">
        <v>7053.9209162309999</v>
      </c>
      <c r="AM86" s="1">
        <v>0</v>
      </c>
      <c r="AN86" s="1">
        <v>0</v>
      </c>
      <c r="AO86" s="1">
        <v>4533.7197602200004</v>
      </c>
      <c r="AP86" s="1">
        <v>26.549485851</v>
      </c>
      <c r="AQ86" s="1">
        <v>0</v>
      </c>
      <c r="AR86" s="1">
        <v>0</v>
      </c>
      <c r="AS86" s="1">
        <v>0</v>
      </c>
      <c r="AT86" s="1">
        <v>18691.400000000001</v>
      </c>
      <c r="AU86" s="1">
        <v>0</v>
      </c>
      <c r="AV86" s="1">
        <v>0</v>
      </c>
      <c r="AW86" s="1">
        <v>805.5</v>
      </c>
      <c r="AX86" s="1">
        <v>0</v>
      </c>
      <c r="AY86" s="1">
        <v>0</v>
      </c>
      <c r="AZ86" s="1">
        <v>0</v>
      </c>
      <c r="BA86" s="1">
        <v>0</v>
      </c>
      <c r="BB86" s="1">
        <v>0</v>
      </c>
      <c r="BC86" s="1">
        <v>1574.115910304</v>
      </c>
      <c r="BD86" s="1">
        <v>0</v>
      </c>
      <c r="BE86" s="1">
        <v>2890.951978481</v>
      </c>
      <c r="BF86" s="1">
        <v>18.037541165</v>
      </c>
      <c r="BG86" s="1">
        <v>1267.378734398</v>
      </c>
      <c r="BH86" s="1">
        <v>597.89414832699993</v>
      </c>
      <c r="BI86" s="1">
        <v>467.77470520199995</v>
      </c>
      <c r="BJ86" s="1">
        <v>1929.2933552270001</v>
      </c>
      <c r="BK86" s="1">
        <v>0</v>
      </c>
      <c r="BL86" s="1">
        <v>0</v>
      </c>
      <c r="BM86" s="1">
        <v>1651.7814328679999</v>
      </c>
      <c r="BN86" s="1">
        <v>3.0307164719999999</v>
      </c>
      <c r="BO86" s="1">
        <v>9579.1937441760001</v>
      </c>
      <c r="BP86" s="1">
        <v>0</v>
      </c>
      <c r="BQ86" s="1">
        <v>0</v>
      </c>
      <c r="BR86" s="1">
        <v>0</v>
      </c>
      <c r="BS86" s="1">
        <v>22400</v>
      </c>
      <c r="BT86" s="1">
        <v>0</v>
      </c>
      <c r="BU86" s="1">
        <v>0</v>
      </c>
      <c r="BV86" s="1">
        <v>819.99999999999989</v>
      </c>
      <c r="BW86" s="1">
        <v>0</v>
      </c>
      <c r="BX86" s="1">
        <v>0</v>
      </c>
      <c r="BY86" s="1">
        <v>0</v>
      </c>
      <c r="BZ86" s="1">
        <v>0</v>
      </c>
      <c r="CA86" s="1">
        <v>0</v>
      </c>
      <c r="CB86" s="1">
        <v>22770</v>
      </c>
    </row>
    <row r="87" spans="2:80">
      <c r="B87">
        <v>85</v>
      </c>
      <c r="C87" s="1" t="s">
        <v>16</v>
      </c>
      <c r="D87" s="1" t="s">
        <v>19</v>
      </c>
      <c r="E87" s="1" t="s">
        <v>97</v>
      </c>
      <c r="F87" s="1" t="s">
        <v>228</v>
      </c>
      <c r="G87" s="1">
        <v>1167990</v>
      </c>
      <c r="H87" s="1">
        <v>14789094</v>
      </c>
      <c r="I87" s="1">
        <v>315037.84000000003</v>
      </c>
      <c r="J87" s="1">
        <v>174922.89</v>
      </c>
      <c r="K87" s="1">
        <v>55527.85</v>
      </c>
      <c r="L87" s="1">
        <v>186240.67</v>
      </c>
      <c r="M87" s="1">
        <v>0</v>
      </c>
      <c r="N87" s="1">
        <v>-4243.2049999999999</v>
      </c>
      <c r="O87" s="1">
        <v>-1104.798</v>
      </c>
      <c r="P87" s="1">
        <v>0</v>
      </c>
      <c r="Q87" s="1">
        <v>-1368.5840000000001</v>
      </c>
      <c r="R87" s="1">
        <v>-2400.5129999999999</v>
      </c>
      <c r="S87" s="1">
        <v>-6592.1540000000005</v>
      </c>
      <c r="T87" s="1">
        <v>1079.972</v>
      </c>
      <c r="U87" s="1">
        <v>649.01900000000001</v>
      </c>
      <c r="V87" s="1">
        <v>1896.2829999999999</v>
      </c>
      <c r="W87" s="1">
        <v>2684.9430000000002</v>
      </c>
      <c r="X87" s="1">
        <v>0</v>
      </c>
      <c r="Y87" s="1">
        <v>-9399.0360000000001</v>
      </c>
      <c r="Z87" s="1">
        <v>-28507.743999999999</v>
      </c>
      <c r="AA87" s="1">
        <v>14502</v>
      </c>
      <c r="AB87" s="1">
        <v>0</v>
      </c>
      <c r="AC87" s="1">
        <v>1665301</v>
      </c>
      <c r="AD87" s="1">
        <v>262964</v>
      </c>
      <c r="AE87" s="1">
        <v>7386.8492162430002</v>
      </c>
      <c r="AF87" s="1">
        <v>0</v>
      </c>
      <c r="AG87" s="1">
        <v>10979.398406116001</v>
      </c>
      <c r="AH87" s="1">
        <v>45.627982561000003</v>
      </c>
      <c r="AI87" s="1">
        <v>3676.7915037000002</v>
      </c>
      <c r="AJ87" s="1">
        <v>179.76449019899999</v>
      </c>
      <c r="AK87" s="1">
        <v>3489.3512462200001</v>
      </c>
      <c r="AL87" s="1">
        <v>6115.4192876420002</v>
      </c>
      <c r="AM87" s="1">
        <v>0</v>
      </c>
      <c r="AN87" s="1">
        <v>0</v>
      </c>
      <c r="AO87" s="1">
        <v>4533.7197602200004</v>
      </c>
      <c r="AP87" s="1">
        <v>26.549485851</v>
      </c>
      <c r="AQ87" s="1">
        <v>0</v>
      </c>
      <c r="AR87" s="1">
        <v>0</v>
      </c>
      <c r="AS87" s="1">
        <v>0</v>
      </c>
      <c r="AT87" s="1">
        <v>26342.799999999999</v>
      </c>
      <c r="AU87" s="1">
        <v>0</v>
      </c>
      <c r="AV87" s="1">
        <v>0</v>
      </c>
      <c r="AW87" s="1">
        <v>3573.5</v>
      </c>
      <c r="AX87" s="1">
        <v>0</v>
      </c>
      <c r="AY87" s="1">
        <v>0</v>
      </c>
      <c r="AZ87" s="1">
        <v>0</v>
      </c>
      <c r="BA87" s="1">
        <v>0</v>
      </c>
      <c r="BB87" s="1">
        <v>0</v>
      </c>
      <c r="BC87" s="1">
        <v>2048.9008538319999</v>
      </c>
      <c r="BD87" s="1">
        <v>0</v>
      </c>
      <c r="BE87" s="1">
        <v>2890.951978481</v>
      </c>
      <c r="BF87" s="1">
        <v>18.078496792999999</v>
      </c>
      <c r="BG87" s="1">
        <v>2397.211405127</v>
      </c>
      <c r="BH87" s="1">
        <v>1528.2763236650001</v>
      </c>
      <c r="BI87" s="1">
        <v>535.02725934700004</v>
      </c>
      <c r="BJ87" s="1">
        <v>1862.132951245</v>
      </c>
      <c r="BK87" s="1">
        <v>0</v>
      </c>
      <c r="BL87" s="1">
        <v>0</v>
      </c>
      <c r="BM87" s="1">
        <v>1651.7814328679999</v>
      </c>
      <c r="BN87" s="1">
        <v>3.0307164719999999</v>
      </c>
      <c r="BO87" s="1">
        <v>11583.818151171001</v>
      </c>
      <c r="BP87" s="1">
        <v>0</v>
      </c>
      <c r="BQ87" s="1">
        <v>0</v>
      </c>
      <c r="BR87" s="1">
        <v>0</v>
      </c>
      <c r="BS87" s="1">
        <v>25560</v>
      </c>
      <c r="BT87" s="1">
        <v>0</v>
      </c>
      <c r="BU87" s="1">
        <v>0</v>
      </c>
      <c r="BV87" s="1">
        <v>2130</v>
      </c>
      <c r="BW87" s="1">
        <v>0</v>
      </c>
      <c r="BX87" s="1">
        <v>0</v>
      </c>
      <c r="BY87" s="1">
        <v>0</v>
      </c>
      <c r="BZ87" s="1">
        <v>0</v>
      </c>
      <c r="CA87" s="1">
        <v>0</v>
      </c>
      <c r="CB87" s="1">
        <v>27280</v>
      </c>
    </row>
    <row r="88" spans="2:80">
      <c r="B88">
        <v>86</v>
      </c>
      <c r="C88" s="1" t="s">
        <v>16</v>
      </c>
      <c r="D88" s="1" t="s">
        <v>19</v>
      </c>
      <c r="E88" s="1" t="s">
        <v>99</v>
      </c>
      <c r="F88" s="1" t="s">
        <v>229</v>
      </c>
      <c r="G88" s="1">
        <v>1167990</v>
      </c>
      <c r="H88" s="1">
        <v>14789094</v>
      </c>
      <c r="I88" s="1">
        <v>315037.84000000003</v>
      </c>
      <c r="J88" s="1">
        <v>174922.89</v>
      </c>
      <c r="K88" s="1">
        <v>55527.85</v>
      </c>
      <c r="L88" s="1">
        <v>186240.67</v>
      </c>
      <c r="M88" s="1">
        <v>0</v>
      </c>
      <c r="N88" s="1">
        <v>-4243.2049999999999</v>
      </c>
      <c r="O88" s="1">
        <v>-1104.798</v>
      </c>
      <c r="P88" s="1">
        <v>0</v>
      </c>
      <c r="Q88" s="1">
        <v>-1368.5840000000001</v>
      </c>
      <c r="R88" s="1">
        <v>-2400.5129999999999</v>
      </c>
      <c r="S88" s="1">
        <v>-6592.1540000000005</v>
      </c>
      <c r="T88" s="1">
        <v>1079.972</v>
      </c>
      <c r="U88" s="1">
        <v>649.01900000000001</v>
      </c>
      <c r="V88" s="1">
        <v>1896.2829999999999</v>
      </c>
      <c r="W88" s="1">
        <v>2684.9430000000002</v>
      </c>
      <c r="X88" s="1">
        <v>0</v>
      </c>
      <c r="Y88" s="1">
        <v>-9399.0360000000001</v>
      </c>
      <c r="Z88" s="1">
        <v>-16664.52</v>
      </c>
      <c r="AA88" s="1">
        <v>14498</v>
      </c>
      <c r="AB88" s="1">
        <v>0</v>
      </c>
      <c r="AC88" s="1">
        <v>1717712</v>
      </c>
      <c r="AD88" s="1">
        <v>156545</v>
      </c>
      <c r="AE88" s="1">
        <v>7386.8492162430002</v>
      </c>
      <c r="AF88" s="1">
        <v>0</v>
      </c>
      <c r="AG88" s="1">
        <v>10979.398406116001</v>
      </c>
      <c r="AH88" s="1">
        <v>30.184297835999999</v>
      </c>
      <c r="AI88" s="1">
        <v>3709.815391744</v>
      </c>
      <c r="AJ88" s="1">
        <v>145.19794016700001</v>
      </c>
      <c r="AK88" s="1">
        <v>3650.829048517</v>
      </c>
      <c r="AL88" s="1">
        <v>7117.5488972980002</v>
      </c>
      <c r="AM88" s="1">
        <v>0</v>
      </c>
      <c r="AN88" s="1">
        <v>0</v>
      </c>
      <c r="AO88" s="1">
        <v>4533.7197602200004</v>
      </c>
      <c r="AP88" s="1">
        <v>26.549485851</v>
      </c>
      <c r="AQ88" s="1">
        <v>0</v>
      </c>
      <c r="AR88" s="1">
        <v>0</v>
      </c>
      <c r="AS88" s="1">
        <v>0</v>
      </c>
      <c r="AT88" s="1">
        <v>17003.900000000001</v>
      </c>
      <c r="AU88" s="1">
        <v>0</v>
      </c>
      <c r="AV88" s="1">
        <v>0</v>
      </c>
      <c r="AW88" s="1">
        <v>805.5</v>
      </c>
      <c r="AX88" s="1">
        <v>0</v>
      </c>
      <c r="AY88" s="1">
        <v>0</v>
      </c>
      <c r="AZ88" s="1">
        <v>0</v>
      </c>
      <c r="BA88" s="1">
        <v>0</v>
      </c>
      <c r="BB88" s="1">
        <v>0</v>
      </c>
      <c r="BC88" s="1">
        <v>2048.9008538319999</v>
      </c>
      <c r="BD88" s="1">
        <v>0</v>
      </c>
      <c r="BE88" s="1">
        <v>2890.951978481</v>
      </c>
      <c r="BF88" s="1">
        <v>18.023889289</v>
      </c>
      <c r="BG88" s="1">
        <v>1320.4299245340001</v>
      </c>
      <c r="BH88" s="1">
        <v>654.01359759399998</v>
      </c>
      <c r="BI88" s="1">
        <v>468.01702600099998</v>
      </c>
      <c r="BJ88" s="1">
        <v>2007.0373760780001</v>
      </c>
      <c r="BK88" s="1">
        <v>0</v>
      </c>
      <c r="BL88" s="1">
        <v>0</v>
      </c>
      <c r="BM88" s="1">
        <v>1651.7814328679999</v>
      </c>
      <c r="BN88" s="1">
        <v>3.0307164719999999</v>
      </c>
      <c r="BO88" s="1">
        <v>10233.930891197999</v>
      </c>
      <c r="BP88" s="1">
        <v>0</v>
      </c>
      <c r="BQ88" s="1">
        <v>0</v>
      </c>
      <c r="BR88" s="1">
        <v>0</v>
      </c>
      <c r="BS88" s="1">
        <v>22120</v>
      </c>
      <c r="BT88" s="1">
        <v>0</v>
      </c>
      <c r="BU88" s="1">
        <v>0</v>
      </c>
      <c r="BV88" s="1">
        <v>819.99999999999989</v>
      </c>
      <c r="BW88" s="1">
        <v>0</v>
      </c>
      <c r="BX88" s="1">
        <v>0</v>
      </c>
      <c r="BY88" s="1">
        <v>0</v>
      </c>
      <c r="BZ88" s="1">
        <v>0</v>
      </c>
      <c r="CA88" s="1">
        <v>0</v>
      </c>
      <c r="CB88" s="1">
        <v>22490</v>
      </c>
    </row>
    <row r="89" spans="2:80">
      <c r="B89">
        <v>87</v>
      </c>
      <c r="C89" s="1" t="s">
        <v>16</v>
      </c>
      <c r="D89" s="1" t="s">
        <v>19</v>
      </c>
      <c r="E89" s="1" t="s">
        <v>101</v>
      </c>
      <c r="F89" s="1" t="s">
        <v>230</v>
      </c>
      <c r="G89" s="1">
        <v>1167990</v>
      </c>
      <c r="H89" s="1">
        <v>14789094</v>
      </c>
      <c r="I89" s="1">
        <v>315037.84000000003</v>
      </c>
      <c r="J89" s="1">
        <v>174922.89</v>
      </c>
      <c r="K89" s="1">
        <v>55527.85</v>
      </c>
      <c r="L89" s="1">
        <v>186240.67</v>
      </c>
      <c r="M89" s="1">
        <v>0</v>
      </c>
      <c r="N89" s="1">
        <v>-4422.4260000000004</v>
      </c>
      <c r="O89" s="1">
        <v>-1108.0170000000001</v>
      </c>
      <c r="P89" s="1">
        <v>0</v>
      </c>
      <c r="Q89" s="1">
        <v>-1368.5840000000001</v>
      </c>
      <c r="R89" s="1">
        <v>-2509.886</v>
      </c>
      <c r="S89" s="1">
        <v>-6912.5680000000002</v>
      </c>
      <c r="T89" s="1">
        <v>1144.307</v>
      </c>
      <c r="U89" s="1">
        <v>734.82299999999998</v>
      </c>
      <c r="V89" s="1">
        <v>1667.0319999999999</v>
      </c>
      <c r="W89" s="1">
        <v>2965.5439999999999</v>
      </c>
      <c r="X89" s="1">
        <v>0</v>
      </c>
      <c r="Y89" s="1">
        <v>-9809.7749999999996</v>
      </c>
      <c r="Z89" s="1">
        <v>-29460.445</v>
      </c>
      <c r="AA89" s="1">
        <v>14556</v>
      </c>
      <c r="AB89" s="1">
        <v>0</v>
      </c>
      <c r="AC89" s="1">
        <v>1582581</v>
      </c>
      <c r="AD89" s="1">
        <v>270829</v>
      </c>
      <c r="AE89" s="1">
        <v>5731.5626642120005</v>
      </c>
      <c r="AF89" s="1">
        <v>0</v>
      </c>
      <c r="AG89" s="1">
        <v>10979.398406116001</v>
      </c>
      <c r="AH89" s="1">
        <v>46.167231663000003</v>
      </c>
      <c r="AI89" s="1">
        <v>3596.2113056100002</v>
      </c>
      <c r="AJ89" s="1">
        <v>167.423194295</v>
      </c>
      <c r="AK89" s="1">
        <v>3484.4331578910001</v>
      </c>
      <c r="AL89" s="1">
        <v>6058.2076882950005</v>
      </c>
      <c r="AM89" s="1">
        <v>0</v>
      </c>
      <c r="AN89" s="1">
        <v>0</v>
      </c>
      <c r="AO89" s="1">
        <v>4533.7197602200004</v>
      </c>
      <c r="AP89" s="1">
        <v>26.549485851</v>
      </c>
      <c r="AQ89" s="1">
        <v>0</v>
      </c>
      <c r="AR89" s="1">
        <v>0</v>
      </c>
      <c r="AS89" s="1">
        <v>0</v>
      </c>
      <c r="AT89" s="1">
        <v>27237.599999999999</v>
      </c>
      <c r="AU89" s="1">
        <v>0</v>
      </c>
      <c r="AV89" s="1">
        <v>0</v>
      </c>
      <c r="AW89" s="1">
        <v>3573.5</v>
      </c>
      <c r="AX89" s="1">
        <v>0</v>
      </c>
      <c r="AY89" s="1">
        <v>0</v>
      </c>
      <c r="AZ89" s="1">
        <v>0</v>
      </c>
      <c r="BA89" s="1">
        <v>0</v>
      </c>
      <c r="BB89" s="1">
        <v>0</v>
      </c>
      <c r="BC89" s="1">
        <v>1574.115910304</v>
      </c>
      <c r="BD89" s="1">
        <v>0</v>
      </c>
      <c r="BE89" s="1">
        <v>2890.951978481</v>
      </c>
      <c r="BF89" s="1">
        <v>18.085322731000002</v>
      </c>
      <c r="BG89" s="1">
        <v>2335.8257446930002</v>
      </c>
      <c r="BH89" s="1">
        <v>1445.2148971119998</v>
      </c>
      <c r="BI89" s="1">
        <v>532.69278855100004</v>
      </c>
      <c r="BJ89" s="1">
        <v>1793.2319330730002</v>
      </c>
      <c r="BK89" s="1">
        <v>0</v>
      </c>
      <c r="BL89" s="1">
        <v>0</v>
      </c>
      <c r="BM89" s="1">
        <v>1651.7814328679999</v>
      </c>
      <c r="BN89" s="1">
        <v>3.0307164719999999</v>
      </c>
      <c r="BO89" s="1">
        <v>10926.954724461999</v>
      </c>
      <c r="BP89" s="1">
        <v>0</v>
      </c>
      <c r="BQ89" s="1">
        <v>0</v>
      </c>
      <c r="BR89" s="1">
        <v>0</v>
      </c>
      <c r="BS89" s="1">
        <v>25620</v>
      </c>
      <c r="BT89" s="1">
        <v>0</v>
      </c>
      <c r="BU89" s="1">
        <v>0</v>
      </c>
      <c r="BV89" s="1">
        <v>2130</v>
      </c>
      <c r="BW89" s="1">
        <v>0</v>
      </c>
      <c r="BX89" s="1">
        <v>0</v>
      </c>
      <c r="BY89" s="1">
        <v>0</v>
      </c>
      <c r="BZ89" s="1">
        <v>0</v>
      </c>
      <c r="CA89" s="1">
        <v>0</v>
      </c>
      <c r="CB89" s="1">
        <v>27339.999999999996</v>
      </c>
    </row>
    <row r="90" spans="2:80">
      <c r="B90">
        <v>88</v>
      </c>
      <c r="C90" s="1" t="s">
        <v>16</v>
      </c>
      <c r="D90" s="1" t="s">
        <v>19</v>
      </c>
      <c r="E90" s="1" t="s">
        <v>103</v>
      </c>
      <c r="F90" s="1" t="s">
        <v>231</v>
      </c>
      <c r="G90" s="1">
        <v>1167990</v>
      </c>
      <c r="H90" s="1">
        <v>14789094</v>
      </c>
      <c r="I90" s="1">
        <v>315037.84000000003</v>
      </c>
      <c r="J90" s="1">
        <v>174922.89</v>
      </c>
      <c r="K90" s="1">
        <v>55527.85</v>
      </c>
      <c r="L90" s="1">
        <v>186240.67</v>
      </c>
      <c r="M90" s="1">
        <v>0</v>
      </c>
      <c r="N90" s="1">
        <v>-4422.4260000000004</v>
      </c>
      <c r="O90" s="1">
        <v>-1108.0170000000001</v>
      </c>
      <c r="P90" s="1">
        <v>0</v>
      </c>
      <c r="Q90" s="1">
        <v>-1368.5840000000001</v>
      </c>
      <c r="R90" s="1">
        <v>-2509.886</v>
      </c>
      <c r="S90" s="1">
        <v>-6912.5680000000002</v>
      </c>
      <c r="T90" s="1">
        <v>1144.307</v>
      </c>
      <c r="U90" s="1">
        <v>734.82299999999998</v>
      </c>
      <c r="V90" s="1">
        <v>1667.0319999999999</v>
      </c>
      <c r="W90" s="1">
        <v>2965.5439999999999</v>
      </c>
      <c r="X90" s="1">
        <v>0</v>
      </c>
      <c r="Y90" s="1">
        <v>-9809.7749999999996</v>
      </c>
      <c r="Z90" s="1">
        <v>-17614.766</v>
      </c>
      <c r="AA90" s="1">
        <v>14556</v>
      </c>
      <c r="AB90" s="1">
        <v>0</v>
      </c>
      <c r="AC90" s="1">
        <v>1635225</v>
      </c>
      <c r="AD90" s="1">
        <v>165123</v>
      </c>
      <c r="AE90" s="1">
        <v>5731.5626642120005</v>
      </c>
      <c r="AF90" s="1">
        <v>0</v>
      </c>
      <c r="AG90" s="1">
        <v>10979.398406116001</v>
      </c>
      <c r="AH90" s="1">
        <v>31.812284049000002</v>
      </c>
      <c r="AI90" s="1">
        <v>3631.9416780710003</v>
      </c>
      <c r="AJ90" s="1">
        <v>132.73719034800001</v>
      </c>
      <c r="AK90" s="1">
        <v>3647.1805846560001</v>
      </c>
      <c r="AL90" s="1">
        <v>7060.5386631219999</v>
      </c>
      <c r="AM90" s="1">
        <v>0</v>
      </c>
      <c r="AN90" s="1">
        <v>0</v>
      </c>
      <c r="AO90" s="1">
        <v>4533.7197602200004</v>
      </c>
      <c r="AP90" s="1">
        <v>26.549485851</v>
      </c>
      <c r="AQ90" s="1">
        <v>0</v>
      </c>
      <c r="AR90" s="1">
        <v>0</v>
      </c>
      <c r="AS90" s="1">
        <v>0</v>
      </c>
      <c r="AT90" s="1">
        <v>17979.900000000001</v>
      </c>
      <c r="AU90" s="1">
        <v>0</v>
      </c>
      <c r="AV90" s="1">
        <v>0</v>
      </c>
      <c r="AW90" s="1">
        <v>805.5</v>
      </c>
      <c r="AX90" s="1">
        <v>0</v>
      </c>
      <c r="AY90" s="1">
        <v>0</v>
      </c>
      <c r="AZ90" s="1">
        <v>0</v>
      </c>
      <c r="BA90" s="1">
        <v>0</v>
      </c>
      <c r="BB90" s="1">
        <v>0</v>
      </c>
      <c r="BC90" s="1">
        <v>1574.115910304</v>
      </c>
      <c r="BD90" s="1">
        <v>0</v>
      </c>
      <c r="BE90" s="1">
        <v>2890.951978481</v>
      </c>
      <c r="BF90" s="1">
        <v>18.027302257999999</v>
      </c>
      <c r="BG90" s="1">
        <v>1253.9725921659999</v>
      </c>
      <c r="BH90" s="1">
        <v>587.26957583000001</v>
      </c>
      <c r="BI90" s="1">
        <v>467.33101923199996</v>
      </c>
      <c r="BJ90" s="1">
        <v>1937.8394296030001</v>
      </c>
      <c r="BK90" s="1">
        <v>0</v>
      </c>
      <c r="BL90" s="1">
        <v>0</v>
      </c>
      <c r="BM90" s="1">
        <v>1651.7814328679999</v>
      </c>
      <c r="BN90" s="1">
        <v>3.0307164719999999</v>
      </c>
      <c r="BO90" s="1">
        <v>9571.2210485920004</v>
      </c>
      <c r="BP90" s="1">
        <v>0</v>
      </c>
      <c r="BQ90" s="1">
        <v>0</v>
      </c>
      <c r="BR90" s="1">
        <v>0</v>
      </c>
      <c r="BS90" s="1">
        <v>22180</v>
      </c>
      <c r="BT90" s="1">
        <v>0</v>
      </c>
      <c r="BU90" s="1">
        <v>0</v>
      </c>
      <c r="BV90" s="1">
        <v>819.99999999999989</v>
      </c>
      <c r="BW90" s="1">
        <v>0</v>
      </c>
      <c r="BX90" s="1">
        <v>0</v>
      </c>
      <c r="BY90" s="1">
        <v>0</v>
      </c>
      <c r="BZ90" s="1">
        <v>0</v>
      </c>
      <c r="CA90" s="1">
        <v>0</v>
      </c>
      <c r="CB90" s="1">
        <v>22550</v>
      </c>
    </row>
    <row r="91" spans="2:80">
      <c r="B91">
        <v>89</v>
      </c>
      <c r="C91" s="1" t="s">
        <v>16</v>
      </c>
      <c r="D91" s="1" t="s">
        <v>19</v>
      </c>
      <c r="E91" s="1" t="s">
        <v>105</v>
      </c>
      <c r="F91" s="1" t="s">
        <v>232</v>
      </c>
      <c r="G91" s="1">
        <v>1167990</v>
      </c>
      <c r="H91" s="1">
        <v>14789094</v>
      </c>
      <c r="I91" s="1">
        <v>315037.84000000003</v>
      </c>
      <c r="J91" s="1">
        <v>174922.89</v>
      </c>
      <c r="K91" s="1">
        <v>55527.85</v>
      </c>
      <c r="L91" s="1">
        <v>186240.67</v>
      </c>
      <c r="M91" s="1">
        <v>0</v>
      </c>
      <c r="N91" s="1">
        <v>-4114.4809999999998</v>
      </c>
      <c r="O91" s="1">
        <v>-1106.279</v>
      </c>
      <c r="P91" s="1">
        <v>0</v>
      </c>
      <c r="Q91" s="1">
        <v>-1368.5840000000001</v>
      </c>
      <c r="R91" s="1">
        <v>-2740.4850000000001</v>
      </c>
      <c r="S91" s="1">
        <v>-5198.9709999999995</v>
      </c>
      <c r="T91" s="1">
        <v>1001.451</v>
      </c>
      <c r="U91" s="1">
        <v>596.49800000000005</v>
      </c>
      <c r="V91" s="1">
        <v>1758.9649999999999</v>
      </c>
      <c r="W91" s="1">
        <v>2485.5450000000001</v>
      </c>
      <c r="X91" s="1">
        <v>0</v>
      </c>
      <c r="Y91" s="1">
        <v>-8686.34</v>
      </c>
      <c r="Z91" s="1">
        <v>-27761.532999999999</v>
      </c>
      <c r="AA91" s="1">
        <v>14504</v>
      </c>
      <c r="AB91" s="1">
        <v>0</v>
      </c>
      <c r="AC91" s="1">
        <v>1666307</v>
      </c>
      <c r="AD91" s="1">
        <v>256817</v>
      </c>
      <c r="AE91" s="1">
        <v>7386.8492162430002</v>
      </c>
      <c r="AF91" s="1">
        <v>0</v>
      </c>
      <c r="AG91" s="1">
        <v>10979.398406116001</v>
      </c>
      <c r="AH91" s="1">
        <v>45.290098630000003</v>
      </c>
      <c r="AI91" s="1">
        <v>3686.753960211</v>
      </c>
      <c r="AJ91" s="1">
        <v>182.488039461</v>
      </c>
      <c r="AK91" s="1">
        <v>3488.8290619630002</v>
      </c>
      <c r="AL91" s="1">
        <v>6125.5967612000004</v>
      </c>
      <c r="AM91" s="1">
        <v>0</v>
      </c>
      <c r="AN91" s="1">
        <v>0</v>
      </c>
      <c r="AO91" s="1">
        <v>4533.7197602200004</v>
      </c>
      <c r="AP91" s="1">
        <v>26.549485851</v>
      </c>
      <c r="AQ91" s="1">
        <v>0</v>
      </c>
      <c r="AR91" s="1">
        <v>0</v>
      </c>
      <c r="AS91" s="1">
        <v>0</v>
      </c>
      <c r="AT91" s="1">
        <v>25643.5</v>
      </c>
      <c r="AU91" s="1">
        <v>0</v>
      </c>
      <c r="AV91" s="1">
        <v>0</v>
      </c>
      <c r="AW91" s="1">
        <v>3573.5</v>
      </c>
      <c r="AX91" s="1">
        <v>0</v>
      </c>
      <c r="AY91" s="1">
        <v>0</v>
      </c>
      <c r="AZ91" s="1">
        <v>0</v>
      </c>
      <c r="BA91" s="1">
        <v>0</v>
      </c>
      <c r="BB91" s="1">
        <v>0</v>
      </c>
      <c r="BC91" s="1">
        <v>2048.9008538319999</v>
      </c>
      <c r="BD91" s="1">
        <v>0</v>
      </c>
      <c r="BE91" s="1">
        <v>2890.951978481</v>
      </c>
      <c r="BF91" s="1">
        <v>18.075083824</v>
      </c>
      <c r="BG91" s="1">
        <v>2412.7062843869999</v>
      </c>
      <c r="BH91" s="1">
        <v>1549.8770044659998</v>
      </c>
      <c r="BI91" s="1">
        <v>535.62794189099998</v>
      </c>
      <c r="BJ91" s="1">
        <v>1873.7609366279999</v>
      </c>
      <c r="BK91" s="1">
        <v>0</v>
      </c>
      <c r="BL91" s="1">
        <v>0</v>
      </c>
      <c r="BM91" s="1">
        <v>1651.7814328679999</v>
      </c>
      <c r="BN91" s="1">
        <v>3.0307164719999999</v>
      </c>
      <c r="BO91" s="1">
        <v>11625.872755188999</v>
      </c>
      <c r="BP91" s="1">
        <v>0</v>
      </c>
      <c r="BQ91" s="1">
        <v>0</v>
      </c>
      <c r="BR91" s="1">
        <v>0</v>
      </c>
      <c r="BS91" s="1">
        <v>25300</v>
      </c>
      <c r="BT91" s="1">
        <v>0</v>
      </c>
      <c r="BU91" s="1">
        <v>0</v>
      </c>
      <c r="BV91" s="1">
        <v>2130</v>
      </c>
      <c r="BW91" s="1">
        <v>0</v>
      </c>
      <c r="BX91" s="1">
        <v>0</v>
      </c>
      <c r="BY91" s="1">
        <v>0</v>
      </c>
      <c r="BZ91" s="1">
        <v>0</v>
      </c>
      <c r="CA91" s="1">
        <v>0</v>
      </c>
      <c r="CB91" s="1">
        <v>27020</v>
      </c>
    </row>
    <row r="92" spans="2:80">
      <c r="B92">
        <v>90</v>
      </c>
      <c r="C92" s="1" t="s">
        <v>16</v>
      </c>
      <c r="D92" s="1" t="s">
        <v>19</v>
      </c>
      <c r="E92" s="1" t="s">
        <v>107</v>
      </c>
      <c r="F92" s="1" t="s">
        <v>233</v>
      </c>
      <c r="G92" s="1">
        <v>1167990</v>
      </c>
      <c r="H92" s="1">
        <v>14789094</v>
      </c>
      <c r="I92" s="1">
        <v>315037.84000000003</v>
      </c>
      <c r="J92" s="1">
        <v>174922.89</v>
      </c>
      <c r="K92" s="1">
        <v>55527.85</v>
      </c>
      <c r="L92" s="1">
        <v>186240.67</v>
      </c>
      <c r="M92" s="1">
        <v>0</v>
      </c>
      <c r="N92" s="1">
        <v>-4114.4809999999998</v>
      </c>
      <c r="O92" s="1">
        <v>-1106.279</v>
      </c>
      <c r="P92" s="1">
        <v>0</v>
      </c>
      <c r="Q92" s="1">
        <v>-1368.5840000000001</v>
      </c>
      <c r="R92" s="1">
        <v>-2740.4850000000001</v>
      </c>
      <c r="S92" s="1">
        <v>-5198.9709999999995</v>
      </c>
      <c r="T92" s="1">
        <v>1001.451</v>
      </c>
      <c r="U92" s="1">
        <v>596.49800000000005</v>
      </c>
      <c r="V92" s="1">
        <v>1758.9649999999999</v>
      </c>
      <c r="W92" s="1">
        <v>2485.5450000000001</v>
      </c>
      <c r="X92" s="1">
        <v>0</v>
      </c>
      <c r="Y92" s="1">
        <v>-8686.34</v>
      </c>
      <c r="Z92" s="1">
        <v>-15919.184999999999</v>
      </c>
      <c r="AA92" s="1">
        <v>14502</v>
      </c>
      <c r="AB92" s="1">
        <v>0</v>
      </c>
      <c r="AC92" s="1">
        <v>1718706</v>
      </c>
      <c r="AD92" s="1">
        <v>150071</v>
      </c>
      <c r="AE92" s="1">
        <v>7386.8492162430002</v>
      </c>
      <c r="AF92" s="1">
        <v>0</v>
      </c>
      <c r="AG92" s="1">
        <v>10979.398406116001</v>
      </c>
      <c r="AH92" s="1">
        <v>29.375424183</v>
      </c>
      <c r="AI92" s="1">
        <v>3720.4911587760002</v>
      </c>
      <c r="AJ92" s="1">
        <v>147.78497066899999</v>
      </c>
      <c r="AK92" s="1">
        <v>3649.7812670339999</v>
      </c>
      <c r="AL92" s="1">
        <v>7127.9243230580005</v>
      </c>
      <c r="AM92" s="1">
        <v>0</v>
      </c>
      <c r="AN92" s="1">
        <v>0</v>
      </c>
      <c r="AO92" s="1">
        <v>4533.7197602200004</v>
      </c>
      <c r="AP92" s="1">
        <v>26.549485851</v>
      </c>
      <c r="AQ92" s="1">
        <v>0</v>
      </c>
      <c r="AR92" s="1">
        <v>0</v>
      </c>
      <c r="AS92" s="1">
        <v>0</v>
      </c>
      <c r="AT92" s="1">
        <v>16267.5</v>
      </c>
      <c r="AU92" s="1">
        <v>0</v>
      </c>
      <c r="AV92" s="1">
        <v>0</v>
      </c>
      <c r="AW92" s="1">
        <v>805.5</v>
      </c>
      <c r="AX92" s="1">
        <v>0</v>
      </c>
      <c r="AY92" s="1">
        <v>0</v>
      </c>
      <c r="AZ92" s="1">
        <v>0</v>
      </c>
      <c r="BA92" s="1">
        <v>0</v>
      </c>
      <c r="BB92" s="1">
        <v>0</v>
      </c>
      <c r="BC92" s="1">
        <v>2048.9008538319999</v>
      </c>
      <c r="BD92" s="1">
        <v>0</v>
      </c>
      <c r="BE92" s="1">
        <v>2890.951978481</v>
      </c>
      <c r="BF92" s="1">
        <v>18.006824443999999</v>
      </c>
      <c r="BG92" s="1">
        <v>1336.259274756</v>
      </c>
      <c r="BH92" s="1">
        <v>668.69960320099995</v>
      </c>
      <c r="BI92" s="1">
        <v>467.73374957399994</v>
      </c>
      <c r="BJ92" s="1">
        <v>2018.7814024070001</v>
      </c>
      <c r="BK92" s="1">
        <v>0</v>
      </c>
      <c r="BL92" s="1">
        <v>0</v>
      </c>
      <c r="BM92" s="1">
        <v>1651.7814328679999</v>
      </c>
      <c r="BN92" s="1">
        <v>3.0307164719999999</v>
      </c>
      <c r="BO92" s="1">
        <v>10278.255119600999</v>
      </c>
      <c r="BP92" s="1">
        <v>0</v>
      </c>
      <c r="BQ92" s="1">
        <v>0</v>
      </c>
      <c r="BR92" s="1">
        <v>0</v>
      </c>
      <c r="BS92" s="1">
        <v>21900</v>
      </c>
      <c r="BT92" s="1">
        <v>0</v>
      </c>
      <c r="BU92" s="1">
        <v>0</v>
      </c>
      <c r="BV92" s="1">
        <v>819.99999999999989</v>
      </c>
      <c r="BW92" s="1">
        <v>0</v>
      </c>
      <c r="BX92" s="1">
        <v>0</v>
      </c>
      <c r="BY92" s="1">
        <v>0</v>
      </c>
      <c r="BZ92" s="1">
        <v>0</v>
      </c>
      <c r="CA92" s="1">
        <v>0</v>
      </c>
      <c r="CB92" s="1">
        <v>22270</v>
      </c>
    </row>
    <row r="93" spans="2:80">
      <c r="B93">
        <v>91</v>
      </c>
      <c r="C93" s="1" t="s">
        <v>16</v>
      </c>
      <c r="D93" s="1" t="s">
        <v>19</v>
      </c>
      <c r="E93" s="1" t="s">
        <v>109</v>
      </c>
      <c r="F93" s="1" t="s">
        <v>234</v>
      </c>
      <c r="G93" s="1">
        <v>1167990</v>
      </c>
      <c r="H93" s="1">
        <v>14789094</v>
      </c>
      <c r="I93" s="1">
        <v>315037.84000000003</v>
      </c>
      <c r="J93" s="1">
        <v>174922.89</v>
      </c>
      <c r="K93" s="1">
        <v>55527.85</v>
      </c>
      <c r="L93" s="1">
        <v>186240.67</v>
      </c>
      <c r="M93" s="1">
        <v>0</v>
      </c>
      <c r="N93" s="1">
        <v>-4295.4040000000005</v>
      </c>
      <c r="O93" s="1">
        <v>-1109.318</v>
      </c>
      <c r="P93" s="1">
        <v>0</v>
      </c>
      <c r="Q93" s="1">
        <v>-1368.5840000000001</v>
      </c>
      <c r="R93" s="1">
        <v>-2870.1309999999999</v>
      </c>
      <c r="S93" s="1">
        <v>-5462.616</v>
      </c>
      <c r="T93" s="1">
        <v>1060.2049999999999</v>
      </c>
      <c r="U93" s="1">
        <v>676.46699999999998</v>
      </c>
      <c r="V93" s="1">
        <v>1555.7270000000001</v>
      </c>
      <c r="W93" s="1">
        <v>2751.9749999999999</v>
      </c>
      <c r="X93" s="1">
        <v>0</v>
      </c>
      <c r="Y93" s="1">
        <v>-9061.6790000000001</v>
      </c>
      <c r="Z93" s="1">
        <v>-28695.498</v>
      </c>
      <c r="AA93" s="1">
        <v>14585</v>
      </c>
      <c r="AB93" s="1">
        <v>0</v>
      </c>
      <c r="AC93" s="1">
        <v>1583386</v>
      </c>
      <c r="AD93" s="1">
        <v>264592</v>
      </c>
      <c r="AE93" s="1">
        <v>5731.5626642120005</v>
      </c>
      <c r="AF93" s="1">
        <v>0</v>
      </c>
      <c r="AG93" s="1">
        <v>10979.398406116001</v>
      </c>
      <c r="AH93" s="1">
        <v>45.924910863999997</v>
      </c>
      <c r="AI93" s="1">
        <v>3603.702772565</v>
      </c>
      <c r="AJ93" s="1">
        <v>169.79862071900001</v>
      </c>
      <c r="AK93" s="1">
        <v>3483.85636613</v>
      </c>
      <c r="AL93" s="1">
        <v>6066.7776534539998</v>
      </c>
      <c r="AM93" s="1">
        <v>0</v>
      </c>
      <c r="AN93" s="1">
        <v>0</v>
      </c>
      <c r="AO93" s="1">
        <v>4533.7197602200004</v>
      </c>
      <c r="AP93" s="1">
        <v>26.549485851</v>
      </c>
      <c r="AQ93" s="1">
        <v>0</v>
      </c>
      <c r="AR93" s="1">
        <v>0</v>
      </c>
      <c r="AS93" s="1">
        <v>0</v>
      </c>
      <c r="AT93" s="1">
        <v>26528.1</v>
      </c>
      <c r="AU93" s="1">
        <v>0</v>
      </c>
      <c r="AV93" s="1">
        <v>0</v>
      </c>
      <c r="AW93" s="1">
        <v>3573.5</v>
      </c>
      <c r="AX93" s="1">
        <v>0</v>
      </c>
      <c r="AY93" s="1">
        <v>0</v>
      </c>
      <c r="AZ93" s="1">
        <v>0</v>
      </c>
      <c r="BA93" s="1">
        <v>0</v>
      </c>
      <c r="BB93" s="1">
        <v>0</v>
      </c>
      <c r="BC93" s="1">
        <v>1574.115910304</v>
      </c>
      <c r="BD93" s="1">
        <v>0</v>
      </c>
      <c r="BE93" s="1">
        <v>2890.951978481</v>
      </c>
      <c r="BF93" s="1">
        <v>18.064844916999999</v>
      </c>
      <c r="BG93" s="1">
        <v>2350.3274499739996</v>
      </c>
      <c r="BH93" s="1">
        <v>1465.0067043429999</v>
      </c>
      <c r="BI93" s="1">
        <v>533.24910249799996</v>
      </c>
      <c r="BJ93" s="1">
        <v>1804.375276858</v>
      </c>
      <c r="BK93" s="1">
        <v>0</v>
      </c>
      <c r="BL93" s="1">
        <v>0</v>
      </c>
      <c r="BM93" s="1">
        <v>1651.7814328679999</v>
      </c>
      <c r="BN93" s="1">
        <v>3.0307164719999999</v>
      </c>
      <c r="BO93" s="1">
        <v>10965.586120573</v>
      </c>
      <c r="BP93" s="1">
        <v>0</v>
      </c>
      <c r="BQ93" s="1">
        <v>0</v>
      </c>
      <c r="BR93" s="1">
        <v>0</v>
      </c>
      <c r="BS93" s="1">
        <v>25370</v>
      </c>
      <c r="BT93" s="1">
        <v>0</v>
      </c>
      <c r="BU93" s="1">
        <v>0</v>
      </c>
      <c r="BV93" s="1">
        <v>2130</v>
      </c>
      <c r="BW93" s="1">
        <v>0</v>
      </c>
      <c r="BX93" s="1">
        <v>0</v>
      </c>
      <c r="BY93" s="1">
        <v>0</v>
      </c>
      <c r="BZ93" s="1">
        <v>0</v>
      </c>
      <c r="CA93" s="1">
        <v>0</v>
      </c>
      <c r="CB93" s="1">
        <v>27089.999999999996</v>
      </c>
    </row>
    <row r="94" spans="2:80">
      <c r="B94">
        <v>92</v>
      </c>
      <c r="C94" s="1" t="s">
        <v>16</v>
      </c>
      <c r="D94" s="1" t="s">
        <v>19</v>
      </c>
      <c r="E94" s="1" t="s">
        <v>111</v>
      </c>
      <c r="F94" s="1" t="s">
        <v>235</v>
      </c>
      <c r="G94" s="1">
        <v>1167990</v>
      </c>
      <c r="H94" s="1">
        <v>14789094</v>
      </c>
      <c r="I94" s="1">
        <v>315037.84000000003</v>
      </c>
      <c r="J94" s="1">
        <v>174922.89</v>
      </c>
      <c r="K94" s="1">
        <v>55527.85</v>
      </c>
      <c r="L94" s="1">
        <v>186240.67</v>
      </c>
      <c r="M94" s="1">
        <v>0</v>
      </c>
      <c r="N94" s="1">
        <v>-4295.4040000000005</v>
      </c>
      <c r="O94" s="1">
        <v>-1109.318</v>
      </c>
      <c r="P94" s="1">
        <v>0</v>
      </c>
      <c r="Q94" s="1">
        <v>-1368.5840000000001</v>
      </c>
      <c r="R94" s="1">
        <v>-2870.1309999999999</v>
      </c>
      <c r="S94" s="1">
        <v>-5462.616</v>
      </c>
      <c r="T94" s="1">
        <v>1060.2049999999999</v>
      </c>
      <c r="U94" s="1">
        <v>676.46699999999998</v>
      </c>
      <c r="V94" s="1">
        <v>1555.7270000000001</v>
      </c>
      <c r="W94" s="1">
        <v>2751.9749999999999</v>
      </c>
      <c r="X94" s="1">
        <v>0</v>
      </c>
      <c r="Y94" s="1">
        <v>-9061.6790000000001</v>
      </c>
      <c r="Z94" s="1">
        <v>-16850.723000000002</v>
      </c>
      <c r="AA94" s="1">
        <v>14585</v>
      </c>
      <c r="AB94" s="1">
        <v>0</v>
      </c>
      <c r="AC94" s="1">
        <v>1636061</v>
      </c>
      <c r="AD94" s="1">
        <v>158560</v>
      </c>
      <c r="AE94" s="1">
        <v>5731.5626642120005</v>
      </c>
      <c r="AF94" s="1">
        <v>0</v>
      </c>
      <c r="AG94" s="1">
        <v>10979.398406116001</v>
      </c>
      <c r="AH94" s="1">
        <v>31.047778993000001</v>
      </c>
      <c r="AI94" s="1">
        <v>3641.1874110920003</v>
      </c>
      <c r="AJ94" s="1">
        <v>134.88394784900001</v>
      </c>
      <c r="AK94" s="1">
        <v>3646.153280987</v>
      </c>
      <c r="AL94" s="1">
        <v>7069.2041914130004</v>
      </c>
      <c r="AM94" s="1">
        <v>0</v>
      </c>
      <c r="AN94" s="1">
        <v>0</v>
      </c>
      <c r="AO94" s="1">
        <v>4533.7197602200004</v>
      </c>
      <c r="AP94" s="1">
        <v>26.549485851</v>
      </c>
      <c r="AQ94" s="1">
        <v>0</v>
      </c>
      <c r="AR94" s="1">
        <v>0</v>
      </c>
      <c r="AS94" s="1">
        <v>0</v>
      </c>
      <c r="AT94" s="1">
        <v>17233.2</v>
      </c>
      <c r="AU94" s="1">
        <v>0</v>
      </c>
      <c r="AV94" s="1">
        <v>0</v>
      </c>
      <c r="AW94" s="1">
        <v>805.5</v>
      </c>
      <c r="AX94" s="1">
        <v>0</v>
      </c>
      <c r="AY94" s="1">
        <v>0</v>
      </c>
      <c r="AZ94" s="1">
        <v>0</v>
      </c>
      <c r="BA94" s="1">
        <v>0</v>
      </c>
      <c r="BB94" s="1">
        <v>0</v>
      </c>
      <c r="BC94" s="1">
        <v>1574.115910304</v>
      </c>
      <c r="BD94" s="1">
        <v>0</v>
      </c>
      <c r="BE94" s="1">
        <v>2890.951978481</v>
      </c>
      <c r="BF94" s="1">
        <v>18.051193040999998</v>
      </c>
      <c r="BG94" s="1">
        <v>1269.1261745259999</v>
      </c>
      <c r="BH94" s="1">
        <v>600.43681023199997</v>
      </c>
      <c r="BI94" s="1">
        <v>467.04432983599997</v>
      </c>
      <c r="BJ94" s="1">
        <v>1948.9486436980001</v>
      </c>
      <c r="BK94" s="1">
        <v>0</v>
      </c>
      <c r="BL94" s="1">
        <v>0</v>
      </c>
      <c r="BM94" s="1">
        <v>1651.7814328679999</v>
      </c>
      <c r="BN94" s="1">
        <v>3.0307164719999999</v>
      </c>
      <c r="BO94" s="1">
        <v>9611.2688268379989</v>
      </c>
      <c r="BP94" s="1">
        <v>0</v>
      </c>
      <c r="BQ94" s="1">
        <v>0</v>
      </c>
      <c r="BR94" s="1">
        <v>0</v>
      </c>
      <c r="BS94" s="1">
        <v>21970</v>
      </c>
      <c r="BT94" s="1">
        <v>0</v>
      </c>
      <c r="BU94" s="1">
        <v>0</v>
      </c>
      <c r="BV94" s="1">
        <v>819.99999999999989</v>
      </c>
      <c r="BW94" s="1">
        <v>0</v>
      </c>
      <c r="BX94" s="1">
        <v>0</v>
      </c>
      <c r="BY94" s="1">
        <v>0</v>
      </c>
      <c r="BZ94" s="1">
        <v>0</v>
      </c>
      <c r="CA94" s="1">
        <v>0</v>
      </c>
      <c r="CB94" s="1">
        <v>22340</v>
      </c>
    </row>
    <row r="95" spans="2:80">
      <c r="B95">
        <v>93</v>
      </c>
      <c r="C95" s="1" t="s">
        <v>16</v>
      </c>
      <c r="D95" s="1" t="s">
        <v>19</v>
      </c>
      <c r="E95" s="1" t="s">
        <v>113</v>
      </c>
      <c r="F95" s="1" t="s">
        <v>236</v>
      </c>
      <c r="G95" s="1">
        <v>1167990</v>
      </c>
      <c r="H95" s="1">
        <v>14789094</v>
      </c>
      <c r="I95" s="1">
        <v>315037.84000000003</v>
      </c>
      <c r="J95" s="1">
        <v>174922.89</v>
      </c>
      <c r="K95" s="1">
        <v>55527.85</v>
      </c>
      <c r="L95" s="1">
        <v>186240.67</v>
      </c>
      <c r="M95" s="1">
        <v>0</v>
      </c>
      <c r="N95" s="1">
        <v>-4051.9319999999998</v>
      </c>
      <c r="O95" s="1">
        <v>-1102.444</v>
      </c>
      <c r="P95" s="1">
        <v>0</v>
      </c>
      <c r="Q95" s="1">
        <v>-1368.5840000000001</v>
      </c>
      <c r="R95" s="1">
        <v>-2267.498</v>
      </c>
      <c r="S95" s="1">
        <v>-5103.0749999999998</v>
      </c>
      <c r="T95" s="1">
        <v>974.03200000000004</v>
      </c>
      <c r="U95" s="1">
        <v>569.91800000000001</v>
      </c>
      <c r="V95" s="1">
        <v>1694.5830000000001</v>
      </c>
      <c r="W95" s="1">
        <v>2392.346</v>
      </c>
      <c r="X95" s="1">
        <v>0</v>
      </c>
      <c r="Y95" s="1">
        <v>-8262.652</v>
      </c>
      <c r="Z95" s="1">
        <v>-27033.925999999999</v>
      </c>
      <c r="AA95" s="1">
        <v>14359</v>
      </c>
      <c r="AB95" s="1">
        <v>0</v>
      </c>
      <c r="AC95" s="1">
        <v>1666936</v>
      </c>
      <c r="AD95" s="1">
        <v>250755</v>
      </c>
      <c r="AE95" s="1">
        <v>7386.8492162430002</v>
      </c>
      <c r="AF95" s="1">
        <v>0</v>
      </c>
      <c r="AG95" s="1">
        <v>10979.398406116001</v>
      </c>
      <c r="AH95" s="1">
        <v>44.955627667999998</v>
      </c>
      <c r="AI95" s="1">
        <v>3690.1157346760001</v>
      </c>
      <c r="AJ95" s="1">
        <v>183.94196425500002</v>
      </c>
      <c r="AK95" s="1">
        <v>3487.5014170220002</v>
      </c>
      <c r="AL95" s="1">
        <v>6136.197442914</v>
      </c>
      <c r="AM95" s="1">
        <v>0</v>
      </c>
      <c r="AN95" s="1">
        <v>0</v>
      </c>
      <c r="AO95" s="1">
        <v>4533.7197602200004</v>
      </c>
      <c r="AP95" s="1">
        <v>26.549485851</v>
      </c>
      <c r="AQ95" s="1">
        <v>0</v>
      </c>
      <c r="AR95" s="1">
        <v>0</v>
      </c>
      <c r="AS95" s="1">
        <v>0</v>
      </c>
      <c r="AT95" s="1">
        <v>24953.8</v>
      </c>
      <c r="AU95" s="1">
        <v>0</v>
      </c>
      <c r="AV95" s="1">
        <v>0</v>
      </c>
      <c r="AW95" s="1">
        <v>3573.5</v>
      </c>
      <c r="AX95" s="1">
        <v>0</v>
      </c>
      <c r="AY95" s="1">
        <v>0</v>
      </c>
      <c r="AZ95" s="1">
        <v>0</v>
      </c>
      <c r="BA95" s="1">
        <v>0</v>
      </c>
      <c r="BB95" s="1">
        <v>0</v>
      </c>
      <c r="BC95" s="1">
        <v>2048.9008538319999</v>
      </c>
      <c r="BD95" s="1">
        <v>0</v>
      </c>
      <c r="BE95" s="1">
        <v>2890.951978481</v>
      </c>
      <c r="BF95" s="1">
        <v>18.017063351000001</v>
      </c>
      <c r="BG95" s="1">
        <v>2398.9861490070002</v>
      </c>
      <c r="BH95" s="1">
        <v>1530.7131835310001</v>
      </c>
      <c r="BI95" s="1">
        <v>535.16719107599999</v>
      </c>
      <c r="BJ95" s="1">
        <v>1882.839434168</v>
      </c>
      <c r="BK95" s="1">
        <v>0</v>
      </c>
      <c r="BL95" s="1">
        <v>0</v>
      </c>
      <c r="BM95" s="1">
        <v>1651.7814328679999</v>
      </c>
      <c r="BN95" s="1">
        <v>3.0307164719999999</v>
      </c>
      <c r="BO95" s="1">
        <v>11616.521220129</v>
      </c>
      <c r="BP95" s="1">
        <v>0</v>
      </c>
      <c r="BQ95" s="1">
        <v>0</v>
      </c>
      <c r="BR95" s="1">
        <v>0</v>
      </c>
      <c r="BS95" s="1">
        <v>25000</v>
      </c>
      <c r="BT95" s="1">
        <v>0</v>
      </c>
      <c r="BU95" s="1">
        <v>0</v>
      </c>
      <c r="BV95" s="1">
        <v>2130</v>
      </c>
      <c r="BW95" s="1">
        <v>0</v>
      </c>
      <c r="BX95" s="1">
        <v>0</v>
      </c>
      <c r="BY95" s="1">
        <v>0</v>
      </c>
      <c r="BZ95" s="1">
        <v>0</v>
      </c>
      <c r="CA95" s="1">
        <v>0</v>
      </c>
      <c r="CB95" s="1">
        <v>26720</v>
      </c>
    </row>
    <row r="96" spans="2:80">
      <c r="B96">
        <v>94</v>
      </c>
      <c r="C96" s="1" t="s">
        <v>16</v>
      </c>
      <c r="D96" s="1" t="s">
        <v>19</v>
      </c>
      <c r="E96" s="1" t="s">
        <v>115</v>
      </c>
      <c r="F96" s="1" t="s">
        <v>237</v>
      </c>
      <c r="G96" s="1">
        <v>1167990</v>
      </c>
      <c r="H96" s="1">
        <v>14789094</v>
      </c>
      <c r="I96" s="1">
        <v>315037.84000000003</v>
      </c>
      <c r="J96" s="1">
        <v>174922.89</v>
      </c>
      <c r="K96" s="1">
        <v>55527.85</v>
      </c>
      <c r="L96" s="1">
        <v>186240.67</v>
      </c>
      <c r="M96" s="1">
        <v>0</v>
      </c>
      <c r="N96" s="1">
        <v>-4051.9319999999998</v>
      </c>
      <c r="O96" s="1">
        <v>-1102.444</v>
      </c>
      <c r="P96" s="1">
        <v>0</v>
      </c>
      <c r="Q96" s="1">
        <v>-1368.5840000000001</v>
      </c>
      <c r="R96" s="1">
        <v>-2267.498</v>
      </c>
      <c r="S96" s="1">
        <v>-5103.0749999999998</v>
      </c>
      <c r="T96" s="1">
        <v>974.03200000000004</v>
      </c>
      <c r="U96" s="1">
        <v>569.91800000000001</v>
      </c>
      <c r="V96" s="1">
        <v>1694.5830000000001</v>
      </c>
      <c r="W96" s="1">
        <v>2392.346</v>
      </c>
      <c r="X96" s="1">
        <v>0</v>
      </c>
      <c r="Y96" s="1">
        <v>-8262.652</v>
      </c>
      <c r="Z96" s="1">
        <v>-15192.77</v>
      </c>
      <c r="AA96" s="1">
        <v>14358</v>
      </c>
      <c r="AB96" s="1">
        <v>0</v>
      </c>
      <c r="AC96" s="1">
        <v>1719375</v>
      </c>
      <c r="AD96" s="1">
        <v>143755</v>
      </c>
      <c r="AE96" s="1">
        <v>7386.8492162430002</v>
      </c>
      <c r="AF96" s="1">
        <v>0</v>
      </c>
      <c r="AG96" s="1">
        <v>10979.398406116001</v>
      </c>
      <c r="AH96" s="1">
        <v>28.569963499</v>
      </c>
      <c r="AI96" s="1">
        <v>3725.6652197799999</v>
      </c>
      <c r="AJ96" s="1">
        <v>149.40613094400001</v>
      </c>
      <c r="AK96" s="1">
        <v>3647.7130078200003</v>
      </c>
      <c r="AL96" s="1">
        <v>7138.6273938419999</v>
      </c>
      <c r="AM96" s="1">
        <v>0</v>
      </c>
      <c r="AN96" s="1">
        <v>0</v>
      </c>
      <c r="AO96" s="1">
        <v>4533.7197602200004</v>
      </c>
      <c r="AP96" s="1">
        <v>26.549485851</v>
      </c>
      <c r="AQ96" s="1">
        <v>0</v>
      </c>
      <c r="AR96" s="1">
        <v>0</v>
      </c>
      <c r="AS96" s="1">
        <v>0</v>
      </c>
      <c r="AT96" s="1">
        <v>15548.9</v>
      </c>
      <c r="AU96" s="1">
        <v>0</v>
      </c>
      <c r="AV96" s="1">
        <v>0</v>
      </c>
      <c r="AW96" s="1">
        <v>805.5</v>
      </c>
      <c r="AX96" s="1">
        <v>0</v>
      </c>
      <c r="AY96" s="1">
        <v>0</v>
      </c>
      <c r="AZ96" s="1">
        <v>0</v>
      </c>
      <c r="BA96" s="1">
        <v>0</v>
      </c>
      <c r="BB96" s="1">
        <v>0</v>
      </c>
      <c r="BC96" s="1">
        <v>2048.9008538319999</v>
      </c>
      <c r="BD96" s="1">
        <v>0</v>
      </c>
      <c r="BE96" s="1">
        <v>2890.951978481</v>
      </c>
      <c r="BF96" s="1">
        <v>18.030715227000002</v>
      </c>
      <c r="BG96" s="1">
        <v>1323.429924285</v>
      </c>
      <c r="BH96" s="1">
        <v>656.76786357699996</v>
      </c>
      <c r="BI96" s="1">
        <v>467.19450047200002</v>
      </c>
      <c r="BJ96" s="1">
        <v>2027.9588760479999</v>
      </c>
      <c r="BK96" s="1">
        <v>0</v>
      </c>
      <c r="BL96" s="1">
        <v>0</v>
      </c>
      <c r="BM96" s="1">
        <v>1651.7814328679999</v>
      </c>
      <c r="BN96" s="1">
        <v>3.0307164719999999</v>
      </c>
      <c r="BO96" s="1">
        <v>10268.060581198</v>
      </c>
      <c r="BP96" s="1">
        <v>0</v>
      </c>
      <c r="BQ96" s="1">
        <v>0</v>
      </c>
      <c r="BR96" s="1">
        <v>0</v>
      </c>
      <c r="BS96" s="1">
        <v>21600</v>
      </c>
      <c r="BT96" s="1">
        <v>0</v>
      </c>
      <c r="BU96" s="1">
        <v>0</v>
      </c>
      <c r="BV96" s="1">
        <v>819.99999999999989</v>
      </c>
      <c r="BW96" s="1">
        <v>0</v>
      </c>
      <c r="BX96" s="1">
        <v>0</v>
      </c>
      <c r="BY96" s="1">
        <v>0</v>
      </c>
      <c r="BZ96" s="1">
        <v>0</v>
      </c>
      <c r="CA96" s="1">
        <v>0</v>
      </c>
      <c r="CB96" s="1">
        <v>21960</v>
      </c>
    </row>
    <row r="97" spans="2:80">
      <c r="B97">
        <v>95</v>
      </c>
      <c r="C97" s="1" t="s">
        <v>16</v>
      </c>
      <c r="D97" s="1" t="s">
        <v>19</v>
      </c>
      <c r="E97" s="1" t="s">
        <v>117</v>
      </c>
      <c r="F97" s="1" t="s">
        <v>238</v>
      </c>
      <c r="G97" s="1">
        <v>1167990</v>
      </c>
      <c r="H97" s="1">
        <v>14789094</v>
      </c>
      <c r="I97" s="1">
        <v>315037.84000000003</v>
      </c>
      <c r="J97" s="1">
        <v>174922.89</v>
      </c>
      <c r="K97" s="1">
        <v>55527.85</v>
      </c>
      <c r="L97" s="1">
        <v>186240.67</v>
      </c>
      <c r="M97" s="1">
        <v>0</v>
      </c>
      <c r="N97" s="1">
        <v>-4223.1390000000001</v>
      </c>
      <c r="O97" s="1">
        <v>-1105.568</v>
      </c>
      <c r="P97" s="1">
        <v>0</v>
      </c>
      <c r="Q97" s="1">
        <v>-1368.5840000000001</v>
      </c>
      <c r="R97" s="1">
        <v>-2371.8980000000001</v>
      </c>
      <c r="S97" s="1">
        <v>-5352.3029999999999</v>
      </c>
      <c r="T97" s="1">
        <v>1031.0650000000001</v>
      </c>
      <c r="U97" s="1">
        <v>641.73199999999997</v>
      </c>
      <c r="V97" s="1">
        <v>1493.74</v>
      </c>
      <c r="W97" s="1">
        <v>2636.7069999999999</v>
      </c>
      <c r="X97" s="1">
        <v>0</v>
      </c>
      <c r="Y97" s="1">
        <v>-8618.2469999999994</v>
      </c>
      <c r="Z97" s="1">
        <v>-27953.460999999999</v>
      </c>
      <c r="AA97" s="1">
        <v>14448</v>
      </c>
      <c r="AB97" s="1">
        <v>0</v>
      </c>
      <c r="AC97" s="1">
        <v>1583811</v>
      </c>
      <c r="AD97" s="1">
        <v>258519</v>
      </c>
      <c r="AE97" s="1">
        <v>5731.5626642120005</v>
      </c>
      <c r="AF97" s="1">
        <v>0</v>
      </c>
      <c r="AG97" s="1">
        <v>10979.398406116001</v>
      </c>
      <c r="AH97" s="1">
        <v>45.566549119000001</v>
      </c>
      <c r="AI97" s="1">
        <v>3605.0645471960001</v>
      </c>
      <c r="AJ97" s="1">
        <v>171.221828792</v>
      </c>
      <c r="AK97" s="1">
        <v>3482.064557405</v>
      </c>
      <c r="AL97" s="1">
        <v>6075.463659559</v>
      </c>
      <c r="AM97" s="1">
        <v>0</v>
      </c>
      <c r="AN97" s="1">
        <v>0</v>
      </c>
      <c r="AO97" s="1">
        <v>4533.7197602200004</v>
      </c>
      <c r="AP97" s="1">
        <v>26.549485851</v>
      </c>
      <c r="AQ97" s="1">
        <v>0</v>
      </c>
      <c r="AR97" s="1">
        <v>0</v>
      </c>
      <c r="AS97" s="1">
        <v>0</v>
      </c>
      <c r="AT97" s="1">
        <v>25837.1</v>
      </c>
      <c r="AU97" s="1">
        <v>0</v>
      </c>
      <c r="AV97" s="1">
        <v>0</v>
      </c>
      <c r="AW97" s="1">
        <v>3573.5</v>
      </c>
      <c r="AX97" s="1">
        <v>0</v>
      </c>
      <c r="AY97" s="1">
        <v>0</v>
      </c>
      <c r="AZ97" s="1">
        <v>0</v>
      </c>
      <c r="BA97" s="1">
        <v>0</v>
      </c>
      <c r="BB97" s="1">
        <v>0</v>
      </c>
      <c r="BC97" s="1">
        <v>1574.115910304</v>
      </c>
      <c r="BD97" s="1">
        <v>0</v>
      </c>
      <c r="BE97" s="1">
        <v>2890.951978481</v>
      </c>
      <c r="BF97" s="1">
        <v>18.030715227000002</v>
      </c>
      <c r="BG97" s="1">
        <v>2337.5868366969999</v>
      </c>
      <c r="BH97" s="1">
        <v>1447.5118252489999</v>
      </c>
      <c r="BI97" s="1">
        <v>532.81224246600004</v>
      </c>
      <c r="BJ97" s="1">
        <v>1813.1329553120001</v>
      </c>
      <c r="BK97" s="1">
        <v>0</v>
      </c>
      <c r="BL97" s="1">
        <v>0</v>
      </c>
      <c r="BM97" s="1">
        <v>1651.7814328679999</v>
      </c>
      <c r="BN97" s="1">
        <v>3.0307164719999999</v>
      </c>
      <c r="BO97" s="1">
        <v>10957.971786734</v>
      </c>
      <c r="BP97" s="1">
        <v>0</v>
      </c>
      <c r="BQ97" s="1">
        <v>0</v>
      </c>
      <c r="BR97" s="1">
        <v>0</v>
      </c>
      <c r="BS97" s="1">
        <v>25080</v>
      </c>
      <c r="BT97" s="1">
        <v>0</v>
      </c>
      <c r="BU97" s="1">
        <v>0</v>
      </c>
      <c r="BV97" s="1">
        <v>2130</v>
      </c>
      <c r="BW97" s="1">
        <v>0</v>
      </c>
      <c r="BX97" s="1">
        <v>0</v>
      </c>
      <c r="BY97" s="1">
        <v>0</v>
      </c>
      <c r="BZ97" s="1">
        <v>0</v>
      </c>
      <c r="CA97" s="1">
        <v>0</v>
      </c>
      <c r="CB97" s="1">
        <v>26800</v>
      </c>
    </row>
    <row r="98" spans="2:80">
      <c r="B98">
        <v>96</v>
      </c>
      <c r="C98" s="1" t="s">
        <v>16</v>
      </c>
      <c r="D98" s="1" t="s">
        <v>19</v>
      </c>
      <c r="E98" s="1" t="s">
        <v>119</v>
      </c>
      <c r="F98" s="1" t="s">
        <v>239</v>
      </c>
      <c r="G98" s="1">
        <v>1167990</v>
      </c>
      <c r="H98" s="1">
        <v>14789094</v>
      </c>
      <c r="I98" s="1">
        <v>315037.84000000003</v>
      </c>
      <c r="J98" s="1">
        <v>174922.89</v>
      </c>
      <c r="K98" s="1">
        <v>55527.85</v>
      </c>
      <c r="L98" s="1">
        <v>186240.67</v>
      </c>
      <c r="M98" s="1">
        <v>0</v>
      </c>
      <c r="N98" s="1">
        <v>-4223.1390000000001</v>
      </c>
      <c r="O98" s="1">
        <v>-1105.568</v>
      </c>
      <c r="P98" s="1">
        <v>0</v>
      </c>
      <c r="Q98" s="1">
        <v>-1368.5840000000001</v>
      </c>
      <c r="R98" s="1">
        <v>-2371.8980000000001</v>
      </c>
      <c r="S98" s="1">
        <v>-5352.3029999999999</v>
      </c>
      <c r="T98" s="1">
        <v>1031.0650000000001</v>
      </c>
      <c r="U98" s="1">
        <v>641.73199999999997</v>
      </c>
      <c r="V98" s="1">
        <v>1493.74</v>
      </c>
      <c r="W98" s="1">
        <v>2636.7069999999999</v>
      </c>
      <c r="X98" s="1">
        <v>0</v>
      </c>
      <c r="Y98" s="1">
        <v>-8618.2469999999994</v>
      </c>
      <c r="Z98" s="1">
        <v>-16109.539000000001</v>
      </c>
      <c r="AA98" s="1">
        <v>14446</v>
      </c>
      <c r="AB98" s="1">
        <v>0</v>
      </c>
      <c r="AC98" s="1">
        <v>1636544</v>
      </c>
      <c r="AD98" s="1">
        <v>152142</v>
      </c>
      <c r="AE98" s="1">
        <v>5731.5626642120005</v>
      </c>
      <c r="AF98" s="1">
        <v>0</v>
      </c>
      <c r="AG98" s="1">
        <v>10979.398406116001</v>
      </c>
      <c r="AH98" s="1">
        <v>30.156994084000001</v>
      </c>
      <c r="AI98" s="1">
        <v>3644.9723937130002</v>
      </c>
      <c r="AJ98" s="1">
        <v>136.19111497599999</v>
      </c>
      <c r="AK98" s="1">
        <v>3643.7949194080002</v>
      </c>
      <c r="AL98" s="1">
        <v>7077.9550439290006</v>
      </c>
      <c r="AM98" s="1">
        <v>0</v>
      </c>
      <c r="AN98" s="1">
        <v>0</v>
      </c>
      <c r="AO98" s="1">
        <v>4533.7197602200004</v>
      </c>
      <c r="AP98" s="1">
        <v>26.549485851</v>
      </c>
      <c r="AQ98" s="1">
        <v>0</v>
      </c>
      <c r="AR98" s="1">
        <v>0</v>
      </c>
      <c r="AS98" s="1">
        <v>0</v>
      </c>
      <c r="AT98" s="1">
        <v>16503</v>
      </c>
      <c r="AU98" s="1">
        <v>0</v>
      </c>
      <c r="AV98" s="1">
        <v>0</v>
      </c>
      <c r="AW98" s="1">
        <v>805.5</v>
      </c>
      <c r="AX98" s="1">
        <v>0</v>
      </c>
      <c r="AY98" s="1">
        <v>0</v>
      </c>
      <c r="AZ98" s="1">
        <v>0</v>
      </c>
      <c r="BA98" s="1">
        <v>0</v>
      </c>
      <c r="BB98" s="1">
        <v>0</v>
      </c>
      <c r="BC98" s="1">
        <v>1574.115910304</v>
      </c>
      <c r="BD98" s="1">
        <v>0</v>
      </c>
      <c r="BE98" s="1">
        <v>2890.951978481</v>
      </c>
      <c r="BF98" s="1">
        <v>18.040954134</v>
      </c>
      <c r="BG98" s="1">
        <v>1255.7302712009998</v>
      </c>
      <c r="BH98" s="1">
        <v>589.85319336299995</v>
      </c>
      <c r="BI98" s="1">
        <v>466.44364729200004</v>
      </c>
      <c r="BJ98" s="1">
        <v>1957.6858443379999</v>
      </c>
      <c r="BK98" s="1">
        <v>0</v>
      </c>
      <c r="BL98" s="1">
        <v>0</v>
      </c>
      <c r="BM98" s="1">
        <v>1651.7814328679999</v>
      </c>
      <c r="BN98" s="1">
        <v>3.0307164719999999</v>
      </c>
      <c r="BO98" s="1">
        <v>9603.2824793780001</v>
      </c>
      <c r="BP98" s="1">
        <v>0</v>
      </c>
      <c r="BQ98" s="1">
        <v>0</v>
      </c>
      <c r="BR98" s="1">
        <v>0</v>
      </c>
      <c r="BS98" s="1">
        <v>21680</v>
      </c>
      <c r="BT98" s="1">
        <v>0</v>
      </c>
      <c r="BU98" s="1">
        <v>0</v>
      </c>
      <c r="BV98" s="1">
        <v>819.99999999999989</v>
      </c>
      <c r="BW98" s="1">
        <v>0</v>
      </c>
      <c r="BX98" s="1">
        <v>0</v>
      </c>
      <c r="BY98" s="1">
        <v>0</v>
      </c>
      <c r="BZ98" s="1">
        <v>0</v>
      </c>
      <c r="CA98" s="1">
        <v>0</v>
      </c>
      <c r="CB98" s="1">
        <v>22050</v>
      </c>
    </row>
    <row r="99" spans="2:80">
      <c r="B99">
        <v>97</v>
      </c>
      <c r="C99" s="1" t="s">
        <v>16</v>
      </c>
      <c r="D99" s="1" t="s">
        <v>19</v>
      </c>
      <c r="E99" s="1" t="s">
        <v>121</v>
      </c>
      <c r="F99" s="1" t="s">
        <v>240</v>
      </c>
      <c r="G99" s="1">
        <v>1167990</v>
      </c>
      <c r="H99" s="1">
        <v>14789094</v>
      </c>
      <c r="I99" s="1">
        <v>315037.84000000003</v>
      </c>
      <c r="J99" s="1">
        <v>174922.89</v>
      </c>
      <c r="K99" s="1">
        <v>55527.85</v>
      </c>
      <c r="L99" s="1">
        <v>186240.67</v>
      </c>
      <c r="M99" s="1">
        <v>0</v>
      </c>
      <c r="N99" s="1">
        <v>-2686.7469999999998</v>
      </c>
      <c r="O99" s="1">
        <v>-1110.0920000000001</v>
      </c>
      <c r="P99" s="1">
        <v>0</v>
      </c>
      <c r="Q99" s="1">
        <v>-1368.5840000000001</v>
      </c>
      <c r="R99" s="1">
        <v>-2999.9720000000002</v>
      </c>
      <c r="S99" s="1">
        <v>-9452.6970000000001</v>
      </c>
      <c r="T99" s="1">
        <v>1203.1510000000001</v>
      </c>
      <c r="U99" s="1">
        <v>729.65800000000002</v>
      </c>
      <c r="V99" s="1">
        <v>2102.1480000000001</v>
      </c>
      <c r="W99" s="1">
        <v>2990.7460000000001</v>
      </c>
      <c r="X99" s="1">
        <v>0</v>
      </c>
      <c r="Y99" s="1">
        <v>-10592.39</v>
      </c>
      <c r="Z99" s="1">
        <v>-30123.699000000001</v>
      </c>
      <c r="AA99" s="1">
        <v>14704</v>
      </c>
      <c r="AB99" s="1">
        <v>0</v>
      </c>
      <c r="AC99" s="1">
        <v>1663022</v>
      </c>
      <c r="AD99" s="1">
        <v>276303</v>
      </c>
      <c r="AE99" s="1">
        <v>7386.8492162430002</v>
      </c>
      <c r="AF99" s="1">
        <v>0</v>
      </c>
      <c r="AG99" s="1">
        <v>10979.398406116001</v>
      </c>
      <c r="AH99" s="1">
        <v>46.464159966000004</v>
      </c>
      <c r="AI99" s="1">
        <v>3662.7368973580001</v>
      </c>
      <c r="AJ99" s="1">
        <v>173.90100945700001</v>
      </c>
      <c r="AK99" s="1">
        <v>3492.5287203590001</v>
      </c>
      <c r="AL99" s="1">
        <v>6081.4773109369999</v>
      </c>
      <c r="AM99" s="1">
        <v>0</v>
      </c>
      <c r="AN99" s="1">
        <v>0</v>
      </c>
      <c r="AO99" s="1">
        <v>4533.7197602200004</v>
      </c>
      <c r="AP99" s="1">
        <v>26.549485851</v>
      </c>
      <c r="AQ99" s="1">
        <v>0</v>
      </c>
      <c r="AR99" s="1">
        <v>0</v>
      </c>
      <c r="AS99" s="1">
        <v>0</v>
      </c>
      <c r="AT99" s="1">
        <v>27860.3</v>
      </c>
      <c r="AU99" s="1">
        <v>0</v>
      </c>
      <c r="AV99" s="1">
        <v>0</v>
      </c>
      <c r="AW99" s="1">
        <v>3573.5</v>
      </c>
      <c r="AX99" s="1">
        <v>0</v>
      </c>
      <c r="AY99" s="1">
        <v>0</v>
      </c>
      <c r="AZ99" s="1">
        <v>0</v>
      </c>
      <c r="BA99" s="1">
        <v>0</v>
      </c>
      <c r="BB99" s="1">
        <v>0</v>
      </c>
      <c r="BC99" s="1">
        <v>2048.9008538319999</v>
      </c>
      <c r="BD99" s="1">
        <v>0</v>
      </c>
      <c r="BE99" s="1">
        <v>2890.951978481</v>
      </c>
      <c r="BF99" s="1">
        <v>18.044367102999999</v>
      </c>
      <c r="BG99" s="1">
        <v>2409.0100389600002</v>
      </c>
      <c r="BH99" s="1">
        <v>1544.6756397099998</v>
      </c>
      <c r="BI99" s="1">
        <v>535.43681562699999</v>
      </c>
      <c r="BJ99" s="1">
        <v>1811.511795037</v>
      </c>
      <c r="BK99" s="1">
        <v>0</v>
      </c>
      <c r="BL99" s="1">
        <v>0</v>
      </c>
      <c r="BM99" s="1">
        <v>1651.7814328679999</v>
      </c>
      <c r="BN99" s="1">
        <v>3.0307164719999999</v>
      </c>
      <c r="BO99" s="1">
        <v>11533.241363559999</v>
      </c>
      <c r="BP99" s="1">
        <v>0</v>
      </c>
      <c r="BQ99" s="1">
        <v>0</v>
      </c>
      <c r="BR99" s="1">
        <v>0</v>
      </c>
      <c r="BS99" s="1">
        <v>26060.000000000004</v>
      </c>
      <c r="BT99" s="1">
        <v>0</v>
      </c>
      <c r="BU99" s="1">
        <v>0</v>
      </c>
      <c r="BV99" s="1">
        <v>2130</v>
      </c>
      <c r="BW99" s="1">
        <v>0</v>
      </c>
      <c r="BX99" s="1">
        <v>0</v>
      </c>
      <c r="BY99" s="1">
        <v>0</v>
      </c>
      <c r="BZ99" s="1">
        <v>0</v>
      </c>
      <c r="CA99" s="1">
        <v>0</v>
      </c>
      <c r="CB99" s="1">
        <v>27780</v>
      </c>
    </row>
    <row r="100" spans="2:80">
      <c r="B100">
        <v>98</v>
      </c>
      <c r="C100" s="1" t="s">
        <v>16</v>
      </c>
      <c r="D100" s="1" t="s">
        <v>19</v>
      </c>
      <c r="E100" s="1" t="s">
        <v>123</v>
      </c>
      <c r="F100" s="1" t="s">
        <v>241</v>
      </c>
      <c r="G100" s="1">
        <v>1167990</v>
      </c>
      <c r="H100" s="1">
        <v>14789094</v>
      </c>
      <c r="I100" s="1">
        <v>315037.84000000003</v>
      </c>
      <c r="J100" s="1">
        <v>174922.89</v>
      </c>
      <c r="K100" s="1">
        <v>55527.85</v>
      </c>
      <c r="L100" s="1">
        <v>186240.67</v>
      </c>
      <c r="M100" s="1">
        <v>0</v>
      </c>
      <c r="N100" s="1">
        <v>-2686.7469999999998</v>
      </c>
      <c r="O100" s="1">
        <v>-1110.0920000000001</v>
      </c>
      <c r="P100" s="1">
        <v>0</v>
      </c>
      <c r="Q100" s="1">
        <v>-1368.5840000000001</v>
      </c>
      <c r="R100" s="1">
        <v>-2999.9720000000002</v>
      </c>
      <c r="S100" s="1">
        <v>-9452.6970000000001</v>
      </c>
      <c r="T100" s="1">
        <v>1203.1510000000001</v>
      </c>
      <c r="U100" s="1">
        <v>729.65800000000002</v>
      </c>
      <c r="V100" s="1">
        <v>2102.1480000000001</v>
      </c>
      <c r="W100" s="1">
        <v>2990.7460000000001</v>
      </c>
      <c r="X100" s="1">
        <v>0</v>
      </c>
      <c r="Y100" s="1">
        <v>-10592.39</v>
      </c>
      <c r="Z100" s="1">
        <v>-18277.98</v>
      </c>
      <c r="AA100" s="1">
        <v>14703</v>
      </c>
      <c r="AB100" s="1">
        <v>0</v>
      </c>
      <c r="AC100" s="1">
        <v>1715333</v>
      </c>
      <c r="AD100" s="1">
        <v>170435</v>
      </c>
      <c r="AE100" s="1">
        <v>7386.8492162430002</v>
      </c>
      <c r="AF100" s="1">
        <v>0</v>
      </c>
      <c r="AG100" s="1">
        <v>10979.398406116001</v>
      </c>
      <c r="AH100" s="1">
        <v>32.034127034000001</v>
      </c>
      <c r="AI100" s="1">
        <v>3690.54576877</v>
      </c>
      <c r="AJ100" s="1">
        <v>139.29691676600001</v>
      </c>
      <c r="AK100" s="1">
        <v>3655.8358740399999</v>
      </c>
      <c r="AL100" s="1">
        <v>7083.8492413920003</v>
      </c>
      <c r="AM100" s="1">
        <v>0</v>
      </c>
      <c r="AN100" s="1">
        <v>0</v>
      </c>
      <c r="AO100" s="1">
        <v>4533.7197602200004</v>
      </c>
      <c r="AP100" s="1">
        <v>26.549485851</v>
      </c>
      <c r="AQ100" s="1">
        <v>0</v>
      </c>
      <c r="AR100" s="1">
        <v>0</v>
      </c>
      <c r="AS100" s="1">
        <v>0</v>
      </c>
      <c r="AT100" s="1">
        <v>18584.2</v>
      </c>
      <c r="AU100" s="1">
        <v>0</v>
      </c>
      <c r="AV100" s="1">
        <v>0</v>
      </c>
      <c r="AW100" s="1">
        <v>805.5</v>
      </c>
      <c r="AX100" s="1">
        <v>0</v>
      </c>
      <c r="AY100" s="1">
        <v>0</v>
      </c>
      <c r="AZ100" s="1">
        <v>0</v>
      </c>
      <c r="BA100" s="1">
        <v>0</v>
      </c>
      <c r="BB100" s="1">
        <v>0</v>
      </c>
      <c r="BC100" s="1">
        <v>2048.9008538319999</v>
      </c>
      <c r="BD100" s="1">
        <v>0</v>
      </c>
      <c r="BE100" s="1">
        <v>2890.951978481</v>
      </c>
      <c r="BF100" s="1">
        <v>18.030715227000002</v>
      </c>
      <c r="BG100" s="1">
        <v>1330.3957940139999</v>
      </c>
      <c r="BH100" s="1">
        <v>663.28663436699992</v>
      </c>
      <c r="BI100" s="1">
        <v>468.66549011099994</v>
      </c>
      <c r="BJ100" s="1">
        <v>1956.0339673420001</v>
      </c>
      <c r="BK100" s="1">
        <v>0</v>
      </c>
      <c r="BL100" s="1">
        <v>0</v>
      </c>
      <c r="BM100" s="1">
        <v>1651.7814328679999</v>
      </c>
      <c r="BN100" s="1">
        <v>3.0307164719999999</v>
      </c>
      <c r="BO100" s="1">
        <v>10181.149325613</v>
      </c>
      <c r="BP100" s="1">
        <v>0</v>
      </c>
      <c r="BQ100" s="1">
        <v>0</v>
      </c>
      <c r="BR100" s="1">
        <v>0</v>
      </c>
      <c r="BS100" s="1">
        <v>22540</v>
      </c>
      <c r="BT100" s="1">
        <v>0</v>
      </c>
      <c r="BU100" s="1">
        <v>0</v>
      </c>
      <c r="BV100" s="1">
        <v>819.99999999999989</v>
      </c>
      <c r="BW100" s="1">
        <v>0</v>
      </c>
      <c r="BX100" s="1">
        <v>0</v>
      </c>
      <c r="BY100" s="1">
        <v>0</v>
      </c>
      <c r="BZ100" s="1">
        <v>0</v>
      </c>
      <c r="CA100" s="1">
        <v>0</v>
      </c>
      <c r="CB100" s="1">
        <v>22900</v>
      </c>
    </row>
    <row r="101" spans="2:80">
      <c r="B101">
        <v>99</v>
      </c>
      <c r="C101" s="1" t="s">
        <v>16</v>
      </c>
      <c r="D101" s="1" t="s">
        <v>19</v>
      </c>
      <c r="E101" s="1" t="s">
        <v>125</v>
      </c>
      <c r="F101" s="1" t="s">
        <v>242</v>
      </c>
      <c r="G101" s="1">
        <v>1167990</v>
      </c>
      <c r="H101" s="1">
        <v>14789094</v>
      </c>
      <c r="I101" s="1">
        <v>315037.84000000003</v>
      </c>
      <c r="J101" s="1">
        <v>174922.89</v>
      </c>
      <c r="K101" s="1">
        <v>55527.85</v>
      </c>
      <c r="L101" s="1">
        <v>186240.67</v>
      </c>
      <c r="M101" s="1">
        <v>0</v>
      </c>
      <c r="N101" s="1">
        <v>-2787.15</v>
      </c>
      <c r="O101" s="1">
        <v>-1112.567</v>
      </c>
      <c r="P101" s="1">
        <v>0</v>
      </c>
      <c r="Q101" s="1">
        <v>-1368.5840000000001</v>
      </c>
      <c r="R101" s="1">
        <v>-3133.9690000000001</v>
      </c>
      <c r="S101" s="1">
        <v>-9907.3439999999991</v>
      </c>
      <c r="T101" s="1">
        <v>1276.18</v>
      </c>
      <c r="U101" s="1">
        <v>828.08799999999997</v>
      </c>
      <c r="V101" s="1">
        <v>1841.14</v>
      </c>
      <c r="W101" s="1">
        <v>3306.1019999999999</v>
      </c>
      <c r="X101" s="1">
        <v>0</v>
      </c>
      <c r="Y101" s="1">
        <v>-11058.11</v>
      </c>
      <c r="Z101" s="1">
        <v>-31116.421999999999</v>
      </c>
      <c r="AA101" s="1">
        <v>14787</v>
      </c>
      <c r="AB101" s="1">
        <v>0</v>
      </c>
      <c r="AC101" s="1">
        <v>1580816</v>
      </c>
      <c r="AD101" s="1">
        <v>284497</v>
      </c>
      <c r="AE101" s="1">
        <v>5731.5626642120005</v>
      </c>
      <c r="AF101" s="1">
        <v>0</v>
      </c>
      <c r="AG101" s="1">
        <v>10979.398406116001</v>
      </c>
      <c r="AH101" s="1">
        <v>47.307163309000003</v>
      </c>
      <c r="AI101" s="1">
        <v>3587.2863916750002</v>
      </c>
      <c r="AJ101" s="1">
        <v>162.058007027</v>
      </c>
      <c r="AK101" s="1">
        <v>3488.074795814</v>
      </c>
      <c r="AL101" s="1">
        <v>6029.1496702290005</v>
      </c>
      <c r="AM101" s="1">
        <v>0</v>
      </c>
      <c r="AN101" s="1">
        <v>0</v>
      </c>
      <c r="AO101" s="1">
        <v>4533.7197602200004</v>
      </c>
      <c r="AP101" s="1">
        <v>26.549485851</v>
      </c>
      <c r="AQ101" s="1">
        <v>0</v>
      </c>
      <c r="AR101" s="1">
        <v>0</v>
      </c>
      <c r="AS101" s="1">
        <v>0</v>
      </c>
      <c r="AT101" s="1">
        <v>28792.5</v>
      </c>
      <c r="AU101" s="1">
        <v>0</v>
      </c>
      <c r="AV101" s="1">
        <v>0</v>
      </c>
      <c r="AW101" s="1">
        <v>3573.5</v>
      </c>
      <c r="AX101" s="1">
        <v>0</v>
      </c>
      <c r="AY101" s="1">
        <v>0</v>
      </c>
      <c r="AZ101" s="1">
        <v>0</v>
      </c>
      <c r="BA101" s="1">
        <v>0</v>
      </c>
      <c r="BB101" s="1">
        <v>0</v>
      </c>
      <c r="BC101" s="1">
        <v>1574.115910304</v>
      </c>
      <c r="BD101" s="1">
        <v>0</v>
      </c>
      <c r="BE101" s="1">
        <v>2890.951978481</v>
      </c>
      <c r="BF101" s="1">
        <v>18.027302257999999</v>
      </c>
      <c r="BG101" s="1">
        <v>2346.2455390499999</v>
      </c>
      <c r="BH101" s="1">
        <v>1459.4879334699999</v>
      </c>
      <c r="BI101" s="1">
        <v>533.09210592399995</v>
      </c>
      <c r="BJ101" s="1">
        <v>1744.0135071239999</v>
      </c>
      <c r="BK101" s="1">
        <v>0</v>
      </c>
      <c r="BL101" s="1">
        <v>0</v>
      </c>
      <c r="BM101" s="1">
        <v>1651.7814328679999</v>
      </c>
      <c r="BN101" s="1">
        <v>3.0307164719999999</v>
      </c>
      <c r="BO101" s="1">
        <v>10876.818209851999</v>
      </c>
      <c r="BP101" s="1">
        <v>0</v>
      </c>
      <c r="BQ101" s="1">
        <v>0</v>
      </c>
      <c r="BR101" s="1">
        <v>0</v>
      </c>
      <c r="BS101" s="1">
        <v>26120</v>
      </c>
      <c r="BT101" s="1">
        <v>0</v>
      </c>
      <c r="BU101" s="1">
        <v>0</v>
      </c>
      <c r="BV101" s="1">
        <v>2130</v>
      </c>
      <c r="BW101" s="1">
        <v>0</v>
      </c>
      <c r="BX101" s="1">
        <v>0</v>
      </c>
      <c r="BY101" s="1">
        <v>0</v>
      </c>
      <c r="BZ101" s="1">
        <v>0</v>
      </c>
      <c r="CA101" s="1">
        <v>0</v>
      </c>
      <c r="CB101" s="1">
        <v>27839.999999999996</v>
      </c>
    </row>
    <row r="102" spans="2:80">
      <c r="B102">
        <v>100</v>
      </c>
      <c r="C102" s="1" t="s">
        <v>16</v>
      </c>
      <c r="D102" s="1" t="s">
        <v>19</v>
      </c>
      <c r="E102" s="1" t="s">
        <v>127</v>
      </c>
      <c r="F102" s="1" t="s">
        <v>243</v>
      </c>
      <c r="G102" s="1">
        <v>1167990</v>
      </c>
      <c r="H102" s="1">
        <v>14789094</v>
      </c>
      <c r="I102" s="1">
        <v>315037.84000000003</v>
      </c>
      <c r="J102" s="1">
        <v>174922.89</v>
      </c>
      <c r="K102" s="1">
        <v>55527.85</v>
      </c>
      <c r="L102" s="1">
        <v>186240.67</v>
      </c>
      <c r="M102" s="1">
        <v>0</v>
      </c>
      <c r="N102" s="1">
        <v>-2787.15</v>
      </c>
      <c r="O102" s="1">
        <v>-1112.567</v>
      </c>
      <c r="P102" s="1">
        <v>0</v>
      </c>
      <c r="Q102" s="1">
        <v>-1368.5840000000001</v>
      </c>
      <c r="R102" s="1">
        <v>-3133.9690000000001</v>
      </c>
      <c r="S102" s="1">
        <v>-9907.3439999999991</v>
      </c>
      <c r="T102" s="1">
        <v>1276.18</v>
      </c>
      <c r="U102" s="1">
        <v>828.08799999999997</v>
      </c>
      <c r="V102" s="1">
        <v>1841.14</v>
      </c>
      <c r="W102" s="1">
        <v>3306.1019999999999</v>
      </c>
      <c r="X102" s="1">
        <v>0</v>
      </c>
      <c r="Y102" s="1">
        <v>-11058.11</v>
      </c>
      <c r="Z102" s="1">
        <v>-19269.011999999999</v>
      </c>
      <c r="AA102" s="1">
        <v>14785</v>
      </c>
      <c r="AB102" s="1">
        <v>0</v>
      </c>
      <c r="AC102" s="1">
        <v>1633212</v>
      </c>
      <c r="AD102" s="1">
        <v>179243</v>
      </c>
      <c r="AE102" s="1">
        <v>5731.5626642120005</v>
      </c>
      <c r="AF102" s="1">
        <v>0</v>
      </c>
      <c r="AG102" s="1">
        <v>10979.398406116001</v>
      </c>
      <c r="AH102" s="1">
        <v>33.430031355000004</v>
      </c>
      <c r="AI102" s="1">
        <v>3615.590143592</v>
      </c>
      <c r="AJ102" s="1">
        <v>127.44367542900001</v>
      </c>
      <c r="AK102" s="1">
        <v>3652.14986752</v>
      </c>
      <c r="AL102" s="1">
        <v>7031.5318395909999</v>
      </c>
      <c r="AM102" s="1">
        <v>0</v>
      </c>
      <c r="AN102" s="1">
        <v>0</v>
      </c>
      <c r="AO102" s="1">
        <v>4533.7197602200004</v>
      </c>
      <c r="AP102" s="1">
        <v>26.549485851</v>
      </c>
      <c r="AQ102" s="1">
        <v>0</v>
      </c>
      <c r="AR102" s="1">
        <v>0</v>
      </c>
      <c r="AS102" s="1">
        <v>0</v>
      </c>
      <c r="AT102" s="1">
        <v>19586.3</v>
      </c>
      <c r="AU102" s="1">
        <v>0</v>
      </c>
      <c r="AV102" s="1">
        <v>0</v>
      </c>
      <c r="AW102" s="1">
        <v>805.5</v>
      </c>
      <c r="AX102" s="1">
        <v>0</v>
      </c>
      <c r="AY102" s="1">
        <v>0</v>
      </c>
      <c r="AZ102" s="1">
        <v>0</v>
      </c>
      <c r="BA102" s="1">
        <v>0</v>
      </c>
      <c r="BB102" s="1">
        <v>0</v>
      </c>
      <c r="BC102" s="1">
        <v>1574.115910304</v>
      </c>
      <c r="BD102" s="1">
        <v>0</v>
      </c>
      <c r="BE102" s="1">
        <v>2890.951978481</v>
      </c>
      <c r="BF102" s="1">
        <v>18.040954134</v>
      </c>
      <c r="BG102" s="1">
        <v>1264.8940929659998</v>
      </c>
      <c r="BH102" s="1">
        <v>595.11599156099999</v>
      </c>
      <c r="BI102" s="1">
        <v>467.97948334199998</v>
      </c>
      <c r="BJ102" s="1">
        <v>1888.7950650730002</v>
      </c>
      <c r="BK102" s="1">
        <v>0</v>
      </c>
      <c r="BL102" s="1">
        <v>0</v>
      </c>
      <c r="BM102" s="1">
        <v>1651.7814328679999</v>
      </c>
      <c r="BN102" s="1">
        <v>3.0307164719999999</v>
      </c>
      <c r="BO102" s="1">
        <v>9519.3780494820003</v>
      </c>
      <c r="BP102" s="1">
        <v>0</v>
      </c>
      <c r="BQ102" s="1">
        <v>0</v>
      </c>
      <c r="BR102" s="1">
        <v>0</v>
      </c>
      <c r="BS102" s="1">
        <v>22580</v>
      </c>
      <c r="BT102" s="1">
        <v>0</v>
      </c>
      <c r="BU102" s="1">
        <v>0</v>
      </c>
      <c r="BV102" s="1">
        <v>819.99999999999989</v>
      </c>
      <c r="BW102" s="1">
        <v>0</v>
      </c>
      <c r="BX102" s="1">
        <v>0</v>
      </c>
      <c r="BY102" s="1">
        <v>0</v>
      </c>
      <c r="BZ102" s="1">
        <v>0</v>
      </c>
      <c r="CA102" s="1">
        <v>0</v>
      </c>
      <c r="CB102" s="1">
        <v>22950</v>
      </c>
    </row>
    <row r="103" spans="2:80">
      <c r="B103">
        <v>101</v>
      </c>
      <c r="C103" s="1" t="s">
        <v>16</v>
      </c>
      <c r="D103" s="1" t="s">
        <v>19</v>
      </c>
      <c r="E103" s="1" t="s">
        <v>129</v>
      </c>
      <c r="F103" s="1" t="s">
        <v>244</v>
      </c>
      <c r="G103" s="1">
        <v>1167990</v>
      </c>
      <c r="H103" s="1">
        <v>14789094</v>
      </c>
      <c r="I103" s="1">
        <v>315037.84000000003</v>
      </c>
      <c r="J103" s="1">
        <v>174922.89</v>
      </c>
      <c r="K103" s="1">
        <v>55527.85</v>
      </c>
      <c r="L103" s="1">
        <v>186240.67</v>
      </c>
      <c r="M103" s="1">
        <v>0</v>
      </c>
      <c r="N103" s="1">
        <v>-2650.875</v>
      </c>
      <c r="O103" s="1">
        <v>-1106.92</v>
      </c>
      <c r="P103" s="1">
        <v>0</v>
      </c>
      <c r="Q103" s="1">
        <v>-1368.5840000000001</v>
      </c>
      <c r="R103" s="1">
        <v>-2489.491</v>
      </c>
      <c r="S103" s="1">
        <v>-9285.3940000000002</v>
      </c>
      <c r="T103" s="1">
        <v>1174.579</v>
      </c>
      <c r="U103" s="1">
        <v>695.40800000000002</v>
      </c>
      <c r="V103" s="1">
        <v>2021.3720000000001</v>
      </c>
      <c r="W103" s="1">
        <v>2878.0219999999999</v>
      </c>
      <c r="X103" s="1">
        <v>0</v>
      </c>
      <c r="Y103" s="1">
        <v>-10131.879999999999</v>
      </c>
      <c r="Z103" s="1">
        <v>-29389.919999999998</v>
      </c>
      <c r="AA103" s="1">
        <v>14568</v>
      </c>
      <c r="AB103" s="1">
        <v>0</v>
      </c>
      <c r="AC103" s="1">
        <v>1663113</v>
      </c>
      <c r="AD103" s="1">
        <v>270266</v>
      </c>
      <c r="AE103" s="1">
        <v>7386.8492162430002</v>
      </c>
      <c r="AF103" s="1">
        <v>0</v>
      </c>
      <c r="AG103" s="1">
        <v>10979.398406116001</v>
      </c>
      <c r="AH103" s="1">
        <v>46.068255562000004</v>
      </c>
      <c r="AI103" s="1">
        <v>3660.982631292</v>
      </c>
      <c r="AJ103" s="1">
        <v>174.866879684</v>
      </c>
      <c r="AK103" s="1">
        <v>3490.880256332</v>
      </c>
      <c r="AL103" s="1">
        <v>6086.2998361340005</v>
      </c>
      <c r="AM103" s="1">
        <v>0</v>
      </c>
      <c r="AN103" s="1">
        <v>0</v>
      </c>
      <c r="AO103" s="1">
        <v>4533.7197602200004</v>
      </c>
      <c r="AP103" s="1">
        <v>26.549485851</v>
      </c>
      <c r="AQ103" s="1">
        <v>0</v>
      </c>
      <c r="AR103" s="1">
        <v>0</v>
      </c>
      <c r="AS103" s="1">
        <v>0</v>
      </c>
      <c r="AT103" s="1">
        <v>27173.5</v>
      </c>
      <c r="AU103" s="1">
        <v>0</v>
      </c>
      <c r="AV103" s="1">
        <v>0</v>
      </c>
      <c r="AW103" s="1">
        <v>3573.5</v>
      </c>
      <c r="AX103" s="1">
        <v>0</v>
      </c>
      <c r="AY103" s="1">
        <v>0</v>
      </c>
      <c r="AZ103" s="1">
        <v>0</v>
      </c>
      <c r="BA103" s="1">
        <v>0</v>
      </c>
      <c r="BB103" s="1">
        <v>0</v>
      </c>
      <c r="BC103" s="1">
        <v>2048.9008538319999</v>
      </c>
      <c r="BD103" s="1">
        <v>0</v>
      </c>
      <c r="BE103" s="1">
        <v>2890.951978481</v>
      </c>
      <c r="BF103" s="1">
        <v>18.034128195999998</v>
      </c>
      <c r="BG103" s="1">
        <v>2395.242122014</v>
      </c>
      <c r="BH103" s="1">
        <v>1525.7336617600001</v>
      </c>
      <c r="BI103" s="1">
        <v>534.89074058699998</v>
      </c>
      <c r="BJ103" s="1">
        <v>1820.1534325449998</v>
      </c>
      <c r="BK103" s="1">
        <v>0</v>
      </c>
      <c r="BL103" s="1">
        <v>0</v>
      </c>
      <c r="BM103" s="1">
        <v>1651.7814328679999</v>
      </c>
      <c r="BN103" s="1">
        <v>3.0307164719999999</v>
      </c>
      <c r="BO103" s="1">
        <v>11524.091193671</v>
      </c>
      <c r="BP103" s="1">
        <v>0</v>
      </c>
      <c r="BQ103" s="1">
        <v>0</v>
      </c>
      <c r="BR103" s="1">
        <v>0</v>
      </c>
      <c r="BS103" s="1">
        <v>25800</v>
      </c>
      <c r="BT103" s="1">
        <v>0</v>
      </c>
      <c r="BU103" s="1">
        <v>0</v>
      </c>
      <c r="BV103" s="1">
        <v>2130</v>
      </c>
      <c r="BW103" s="1">
        <v>0</v>
      </c>
      <c r="BX103" s="1">
        <v>0</v>
      </c>
      <c r="BY103" s="1">
        <v>0</v>
      </c>
      <c r="BZ103" s="1">
        <v>0</v>
      </c>
      <c r="CA103" s="1">
        <v>0</v>
      </c>
      <c r="CB103" s="1">
        <v>27520</v>
      </c>
    </row>
    <row r="104" spans="2:80">
      <c r="B104">
        <v>102</v>
      </c>
      <c r="C104" s="1" t="s">
        <v>16</v>
      </c>
      <c r="D104" s="1" t="s">
        <v>19</v>
      </c>
      <c r="E104" s="1" t="s">
        <v>131</v>
      </c>
      <c r="F104" s="1" t="s">
        <v>245</v>
      </c>
      <c r="G104" s="1">
        <v>1167990</v>
      </c>
      <c r="H104" s="1">
        <v>14789094</v>
      </c>
      <c r="I104" s="1">
        <v>315037.84000000003</v>
      </c>
      <c r="J104" s="1">
        <v>174922.89</v>
      </c>
      <c r="K104" s="1">
        <v>55527.85</v>
      </c>
      <c r="L104" s="1">
        <v>186240.67</v>
      </c>
      <c r="M104" s="1">
        <v>0</v>
      </c>
      <c r="N104" s="1">
        <v>-2650.875</v>
      </c>
      <c r="O104" s="1">
        <v>-1106.92</v>
      </c>
      <c r="P104" s="1">
        <v>0</v>
      </c>
      <c r="Q104" s="1">
        <v>-1368.5840000000001</v>
      </c>
      <c r="R104" s="1">
        <v>-2489.491</v>
      </c>
      <c r="S104" s="1">
        <v>-9285.3940000000002</v>
      </c>
      <c r="T104" s="1">
        <v>1174.579</v>
      </c>
      <c r="U104" s="1">
        <v>695.40800000000002</v>
      </c>
      <c r="V104" s="1">
        <v>2021.3720000000001</v>
      </c>
      <c r="W104" s="1">
        <v>2878.0219999999999</v>
      </c>
      <c r="X104" s="1">
        <v>0</v>
      </c>
      <c r="Y104" s="1">
        <v>-10131.879999999999</v>
      </c>
      <c r="Z104" s="1">
        <v>-17544.838</v>
      </c>
      <c r="AA104" s="1">
        <v>14567</v>
      </c>
      <c r="AB104" s="1">
        <v>0</v>
      </c>
      <c r="AC104" s="1">
        <v>1715533</v>
      </c>
      <c r="AD104" s="1">
        <v>164211</v>
      </c>
      <c r="AE104" s="1">
        <v>7386.8492162430002</v>
      </c>
      <c r="AF104" s="1">
        <v>0</v>
      </c>
      <c r="AG104" s="1">
        <v>10979.398406116001</v>
      </c>
      <c r="AH104" s="1">
        <v>31.447096366</v>
      </c>
      <c r="AI104" s="1">
        <v>3691.8904785560003</v>
      </c>
      <c r="AJ104" s="1">
        <v>140.372002001</v>
      </c>
      <c r="AK104" s="1">
        <v>3653.5969663760002</v>
      </c>
      <c r="AL104" s="1">
        <v>7088.6273979919997</v>
      </c>
      <c r="AM104" s="1">
        <v>0</v>
      </c>
      <c r="AN104" s="1">
        <v>0</v>
      </c>
      <c r="AO104" s="1">
        <v>4533.7197602200004</v>
      </c>
      <c r="AP104" s="1">
        <v>26.549485851</v>
      </c>
      <c r="AQ104" s="1">
        <v>0</v>
      </c>
      <c r="AR104" s="1">
        <v>0</v>
      </c>
      <c r="AS104" s="1">
        <v>0</v>
      </c>
      <c r="AT104" s="1">
        <v>17876.099999999999</v>
      </c>
      <c r="AU104" s="1">
        <v>0</v>
      </c>
      <c r="AV104" s="1">
        <v>0</v>
      </c>
      <c r="AW104" s="1">
        <v>805.5</v>
      </c>
      <c r="AX104" s="1">
        <v>0</v>
      </c>
      <c r="AY104" s="1">
        <v>0</v>
      </c>
      <c r="AZ104" s="1">
        <v>0</v>
      </c>
      <c r="BA104" s="1">
        <v>0</v>
      </c>
      <c r="BB104" s="1">
        <v>0</v>
      </c>
      <c r="BC104" s="1">
        <v>2048.9008538319999</v>
      </c>
      <c r="BD104" s="1">
        <v>0</v>
      </c>
      <c r="BE104" s="1">
        <v>2890.951978481</v>
      </c>
      <c r="BF104" s="1">
        <v>18.013650381999998</v>
      </c>
      <c r="BG104" s="1">
        <v>1317.528900884</v>
      </c>
      <c r="BH104" s="1">
        <v>651.337829898</v>
      </c>
      <c r="BI104" s="1">
        <v>468.24569492399996</v>
      </c>
      <c r="BJ104" s="1">
        <v>1964.6756048499999</v>
      </c>
      <c r="BK104" s="1">
        <v>0</v>
      </c>
      <c r="BL104" s="1">
        <v>0</v>
      </c>
      <c r="BM104" s="1">
        <v>1651.7814328679999</v>
      </c>
      <c r="BN104" s="1">
        <v>3.0307164719999999</v>
      </c>
      <c r="BO104" s="1">
        <v>10171.354104582999</v>
      </c>
      <c r="BP104" s="1">
        <v>0</v>
      </c>
      <c r="BQ104" s="1">
        <v>0</v>
      </c>
      <c r="BR104" s="1">
        <v>0</v>
      </c>
      <c r="BS104" s="1">
        <v>22340</v>
      </c>
      <c r="BT104" s="1">
        <v>0</v>
      </c>
      <c r="BU104" s="1">
        <v>0</v>
      </c>
      <c r="BV104" s="1">
        <v>819.99999999999989</v>
      </c>
      <c r="BW104" s="1">
        <v>0</v>
      </c>
      <c r="BX104" s="1">
        <v>0</v>
      </c>
      <c r="BY104" s="1">
        <v>0</v>
      </c>
      <c r="BZ104" s="1">
        <v>0</v>
      </c>
      <c r="CA104" s="1">
        <v>0</v>
      </c>
      <c r="CB104" s="1">
        <v>22710</v>
      </c>
    </row>
    <row r="105" spans="2:80">
      <c r="B105">
        <v>103</v>
      </c>
      <c r="C105" s="1" t="s">
        <v>16</v>
      </c>
      <c r="D105" s="1" t="s">
        <v>19</v>
      </c>
      <c r="E105" s="1" t="s">
        <v>133</v>
      </c>
      <c r="F105" s="1" t="s">
        <v>246</v>
      </c>
      <c r="G105" s="1">
        <v>1167990</v>
      </c>
      <c r="H105" s="1">
        <v>14789094</v>
      </c>
      <c r="I105" s="1">
        <v>315037.84000000003</v>
      </c>
      <c r="J105" s="1">
        <v>174922.89</v>
      </c>
      <c r="K105" s="1">
        <v>55527.85</v>
      </c>
      <c r="L105" s="1">
        <v>186240.67</v>
      </c>
      <c r="M105" s="1">
        <v>0</v>
      </c>
      <c r="N105" s="1">
        <v>-2750.431</v>
      </c>
      <c r="O105" s="1">
        <v>-1109.7860000000001</v>
      </c>
      <c r="P105" s="1">
        <v>0</v>
      </c>
      <c r="Q105" s="1">
        <v>-1368.5840000000001</v>
      </c>
      <c r="R105" s="1">
        <v>-2601.2359999999999</v>
      </c>
      <c r="S105" s="1">
        <v>-9733.0069999999996</v>
      </c>
      <c r="T105" s="1">
        <v>1244.3130000000001</v>
      </c>
      <c r="U105" s="1">
        <v>789.06899999999996</v>
      </c>
      <c r="V105" s="1">
        <v>1772.7339999999999</v>
      </c>
      <c r="W105" s="1">
        <v>3180.7069999999999</v>
      </c>
      <c r="X105" s="1">
        <v>0</v>
      </c>
      <c r="Y105" s="1">
        <v>-10576.22</v>
      </c>
      <c r="Z105" s="1">
        <v>-30370.984</v>
      </c>
      <c r="AA105" s="1">
        <v>14642</v>
      </c>
      <c r="AB105" s="1">
        <v>0</v>
      </c>
      <c r="AC105" s="1">
        <v>1580829</v>
      </c>
      <c r="AD105" s="1">
        <v>278395</v>
      </c>
      <c r="AE105" s="1">
        <v>5731.5626642120005</v>
      </c>
      <c r="AF105" s="1">
        <v>0</v>
      </c>
      <c r="AG105" s="1">
        <v>10979.398406116001</v>
      </c>
      <c r="AH105" s="1">
        <v>46.819108742000004</v>
      </c>
      <c r="AI105" s="1">
        <v>3584.941681972</v>
      </c>
      <c r="AJ105" s="1">
        <v>162.98292162600001</v>
      </c>
      <c r="AK105" s="1">
        <v>3486.368311314</v>
      </c>
      <c r="AL105" s="1">
        <v>6033.0063251990005</v>
      </c>
      <c r="AM105" s="1">
        <v>0</v>
      </c>
      <c r="AN105" s="1">
        <v>0</v>
      </c>
      <c r="AO105" s="1">
        <v>4533.7197602200004</v>
      </c>
      <c r="AP105" s="1">
        <v>26.549485851</v>
      </c>
      <c r="AQ105" s="1">
        <v>0</v>
      </c>
      <c r="AR105" s="1">
        <v>0</v>
      </c>
      <c r="AS105" s="1">
        <v>0</v>
      </c>
      <c r="AT105" s="1">
        <v>28098.400000000001</v>
      </c>
      <c r="AU105" s="1">
        <v>0</v>
      </c>
      <c r="AV105" s="1">
        <v>0</v>
      </c>
      <c r="AW105" s="1">
        <v>3573.5</v>
      </c>
      <c r="AX105" s="1">
        <v>0</v>
      </c>
      <c r="AY105" s="1">
        <v>0</v>
      </c>
      <c r="AZ105" s="1">
        <v>0</v>
      </c>
      <c r="BA105" s="1">
        <v>0</v>
      </c>
      <c r="BB105" s="1">
        <v>0</v>
      </c>
      <c r="BC105" s="1">
        <v>1574.115910304</v>
      </c>
      <c r="BD105" s="1">
        <v>0</v>
      </c>
      <c r="BE105" s="1">
        <v>2890.951978481</v>
      </c>
      <c r="BF105" s="1">
        <v>18.003411475</v>
      </c>
      <c r="BG105" s="1">
        <v>2333.5663592149999</v>
      </c>
      <c r="BH105" s="1">
        <v>1441.9213820269999</v>
      </c>
      <c r="BI105" s="1">
        <v>532.58698651199995</v>
      </c>
      <c r="BJ105" s="1">
        <v>1752.3036088249999</v>
      </c>
      <c r="BK105" s="1">
        <v>0</v>
      </c>
      <c r="BL105" s="1">
        <v>0</v>
      </c>
      <c r="BM105" s="1">
        <v>1651.7814328679999</v>
      </c>
      <c r="BN105" s="1">
        <v>3.0307164719999999</v>
      </c>
      <c r="BO105" s="1">
        <v>10869.265309455001</v>
      </c>
      <c r="BP105" s="1">
        <v>0</v>
      </c>
      <c r="BQ105" s="1">
        <v>0</v>
      </c>
      <c r="BR105" s="1">
        <v>0</v>
      </c>
      <c r="BS105" s="1">
        <v>25860.000000000004</v>
      </c>
      <c r="BT105" s="1">
        <v>0</v>
      </c>
      <c r="BU105" s="1">
        <v>0</v>
      </c>
      <c r="BV105" s="1">
        <v>2130</v>
      </c>
      <c r="BW105" s="1">
        <v>0</v>
      </c>
      <c r="BX105" s="1">
        <v>0</v>
      </c>
      <c r="BY105" s="1">
        <v>0</v>
      </c>
      <c r="BZ105" s="1">
        <v>0</v>
      </c>
      <c r="CA105" s="1">
        <v>0</v>
      </c>
      <c r="CB105" s="1">
        <v>27580</v>
      </c>
    </row>
    <row r="106" spans="2:80">
      <c r="B106">
        <v>104</v>
      </c>
      <c r="C106" s="1" t="s">
        <v>16</v>
      </c>
      <c r="D106" s="1" t="s">
        <v>19</v>
      </c>
      <c r="E106" s="1" t="s">
        <v>135</v>
      </c>
      <c r="F106" s="1" t="s">
        <v>247</v>
      </c>
      <c r="G106" s="1">
        <v>1167990</v>
      </c>
      <c r="H106" s="1">
        <v>14789094</v>
      </c>
      <c r="I106" s="1">
        <v>315037.84000000003</v>
      </c>
      <c r="J106" s="1">
        <v>174922.89</v>
      </c>
      <c r="K106" s="1">
        <v>55527.85</v>
      </c>
      <c r="L106" s="1">
        <v>186240.67</v>
      </c>
      <c r="M106" s="1">
        <v>0</v>
      </c>
      <c r="N106" s="1">
        <v>-2750.431</v>
      </c>
      <c r="O106" s="1">
        <v>-1109.7860000000001</v>
      </c>
      <c r="P106" s="1">
        <v>0</v>
      </c>
      <c r="Q106" s="1">
        <v>-1368.5840000000001</v>
      </c>
      <c r="R106" s="1">
        <v>-2601.2359999999999</v>
      </c>
      <c r="S106" s="1">
        <v>-9733.0069999999996</v>
      </c>
      <c r="T106" s="1">
        <v>1244.3130000000001</v>
      </c>
      <c r="U106" s="1">
        <v>789.06899999999996</v>
      </c>
      <c r="V106" s="1">
        <v>1772.7339999999999</v>
      </c>
      <c r="W106" s="1">
        <v>3180.7069999999999</v>
      </c>
      <c r="X106" s="1">
        <v>0</v>
      </c>
      <c r="Y106" s="1">
        <v>-10576.22</v>
      </c>
      <c r="Z106" s="1">
        <v>-18524.026999999998</v>
      </c>
      <c r="AA106" s="1">
        <v>14641</v>
      </c>
      <c r="AB106" s="1">
        <v>0</v>
      </c>
      <c r="AC106" s="1">
        <v>1633331</v>
      </c>
      <c r="AD106" s="1">
        <v>172876</v>
      </c>
      <c r="AE106" s="1">
        <v>5731.5626642120005</v>
      </c>
      <c r="AF106" s="1">
        <v>0</v>
      </c>
      <c r="AG106" s="1">
        <v>10979.398406116001</v>
      </c>
      <c r="AH106" s="1">
        <v>32.802045059000001</v>
      </c>
      <c r="AI106" s="1">
        <v>3616.4297339660002</v>
      </c>
      <c r="AJ106" s="1">
        <v>128.26620095800001</v>
      </c>
      <c r="AK106" s="1">
        <v>3649.9177857939999</v>
      </c>
      <c r="AL106" s="1">
        <v>7035.3441259640003</v>
      </c>
      <c r="AM106" s="1">
        <v>0</v>
      </c>
      <c r="AN106" s="1">
        <v>0</v>
      </c>
      <c r="AO106" s="1">
        <v>4533.7197602200004</v>
      </c>
      <c r="AP106" s="1">
        <v>26.549485851</v>
      </c>
      <c r="AQ106" s="1">
        <v>0</v>
      </c>
      <c r="AR106" s="1">
        <v>0</v>
      </c>
      <c r="AS106" s="1">
        <v>0</v>
      </c>
      <c r="AT106" s="1">
        <v>18861.900000000001</v>
      </c>
      <c r="AU106" s="1">
        <v>0</v>
      </c>
      <c r="AV106" s="1">
        <v>0</v>
      </c>
      <c r="AW106" s="1">
        <v>805.5</v>
      </c>
      <c r="AX106" s="1">
        <v>0</v>
      </c>
      <c r="AY106" s="1">
        <v>0</v>
      </c>
      <c r="AZ106" s="1">
        <v>0</v>
      </c>
      <c r="BA106" s="1">
        <v>0</v>
      </c>
      <c r="BB106" s="1">
        <v>0</v>
      </c>
      <c r="BC106" s="1">
        <v>1574.115910304</v>
      </c>
      <c r="BD106" s="1">
        <v>0</v>
      </c>
      <c r="BE106" s="1">
        <v>2890.951978481</v>
      </c>
      <c r="BF106" s="1">
        <v>18.051193040999998</v>
      </c>
      <c r="BG106" s="1">
        <v>1251.4469951059998</v>
      </c>
      <c r="BH106" s="1">
        <v>584.47776718800003</v>
      </c>
      <c r="BI106" s="1">
        <v>467.55627518599999</v>
      </c>
      <c r="BJ106" s="1">
        <v>1897.0407981769999</v>
      </c>
      <c r="BK106" s="1">
        <v>0</v>
      </c>
      <c r="BL106" s="1">
        <v>0</v>
      </c>
      <c r="BM106" s="1">
        <v>1651.7814328679999</v>
      </c>
      <c r="BN106" s="1">
        <v>3.0307164719999999</v>
      </c>
      <c r="BO106" s="1">
        <v>9511.6988692319992</v>
      </c>
      <c r="BP106" s="1">
        <v>0</v>
      </c>
      <c r="BQ106" s="1">
        <v>0</v>
      </c>
      <c r="BR106" s="1">
        <v>0</v>
      </c>
      <c r="BS106" s="1">
        <v>22390</v>
      </c>
      <c r="BT106" s="1">
        <v>0</v>
      </c>
      <c r="BU106" s="1">
        <v>0</v>
      </c>
      <c r="BV106" s="1">
        <v>819.99999999999989</v>
      </c>
      <c r="BW106" s="1">
        <v>0</v>
      </c>
      <c r="BX106" s="1">
        <v>0</v>
      </c>
      <c r="BY106" s="1">
        <v>0</v>
      </c>
      <c r="BZ106" s="1">
        <v>0</v>
      </c>
      <c r="CA106" s="1">
        <v>0</v>
      </c>
      <c r="CB106" s="1">
        <v>22760</v>
      </c>
    </row>
    <row r="107" spans="2:80">
      <c r="B107">
        <v>105</v>
      </c>
      <c r="C107" s="1" t="s">
        <v>16</v>
      </c>
      <c r="D107" s="1" t="s">
        <v>19</v>
      </c>
      <c r="E107" s="1" t="s">
        <v>137</v>
      </c>
      <c r="F107" s="1" t="s">
        <v>248</v>
      </c>
      <c r="G107" s="1">
        <v>1167990</v>
      </c>
      <c r="H107" s="1">
        <v>14789094</v>
      </c>
      <c r="I107" s="1">
        <v>315037.84000000003</v>
      </c>
      <c r="J107" s="1">
        <v>174922.89</v>
      </c>
      <c r="K107" s="1">
        <v>55527.85</v>
      </c>
      <c r="L107" s="1">
        <v>186240.67</v>
      </c>
      <c r="M107" s="1">
        <v>0</v>
      </c>
      <c r="N107" s="1">
        <v>-2487.4780000000001</v>
      </c>
      <c r="O107" s="1">
        <v>-1105.9179999999999</v>
      </c>
      <c r="P107" s="1">
        <v>0</v>
      </c>
      <c r="Q107" s="1">
        <v>-1368.5840000000001</v>
      </c>
      <c r="R107" s="1">
        <v>-2699.953</v>
      </c>
      <c r="S107" s="1">
        <v>-6244.5410000000002</v>
      </c>
      <c r="T107" s="1">
        <v>988.08299999999997</v>
      </c>
      <c r="U107" s="1">
        <v>567.60799999999995</v>
      </c>
      <c r="V107" s="1">
        <v>1692.615</v>
      </c>
      <c r="W107" s="1">
        <v>2400.9769999999999</v>
      </c>
      <c r="X107" s="1">
        <v>0</v>
      </c>
      <c r="Y107" s="1">
        <v>-8257.1929999999993</v>
      </c>
      <c r="Z107" s="1">
        <v>-27157.793000000001</v>
      </c>
      <c r="AA107" s="1">
        <v>14453</v>
      </c>
      <c r="AB107" s="1">
        <v>0</v>
      </c>
      <c r="AC107" s="1">
        <v>1665334</v>
      </c>
      <c r="AD107" s="1">
        <v>251869</v>
      </c>
      <c r="AE107" s="1">
        <v>7386.8492162430002</v>
      </c>
      <c r="AF107" s="1">
        <v>0</v>
      </c>
      <c r="AG107" s="1">
        <v>10979.398406116001</v>
      </c>
      <c r="AH107" s="1">
        <v>45.156992839000004</v>
      </c>
      <c r="AI107" s="1">
        <v>3680.5457695999999</v>
      </c>
      <c r="AJ107" s="1">
        <v>181.80203269200001</v>
      </c>
      <c r="AK107" s="1">
        <v>3488.6515875750001</v>
      </c>
      <c r="AL107" s="1">
        <v>6111.5046121989999</v>
      </c>
      <c r="AM107" s="1">
        <v>0</v>
      </c>
      <c r="AN107" s="1">
        <v>0</v>
      </c>
      <c r="AO107" s="1">
        <v>4533.7197602200004</v>
      </c>
      <c r="AP107" s="1">
        <v>26.549485851</v>
      </c>
      <c r="AQ107" s="1">
        <v>0</v>
      </c>
      <c r="AR107" s="1">
        <v>0</v>
      </c>
      <c r="AS107" s="1">
        <v>0</v>
      </c>
      <c r="AT107" s="1">
        <v>25080.6</v>
      </c>
      <c r="AU107" s="1">
        <v>0</v>
      </c>
      <c r="AV107" s="1">
        <v>0</v>
      </c>
      <c r="AW107" s="1">
        <v>3573.5</v>
      </c>
      <c r="AX107" s="1">
        <v>0</v>
      </c>
      <c r="AY107" s="1">
        <v>0</v>
      </c>
      <c r="AZ107" s="1">
        <v>0</v>
      </c>
      <c r="BA107" s="1">
        <v>0</v>
      </c>
      <c r="BB107" s="1">
        <v>0</v>
      </c>
      <c r="BC107" s="1">
        <v>2048.9008538319999</v>
      </c>
      <c r="BD107" s="1">
        <v>0</v>
      </c>
      <c r="BE107" s="1">
        <v>2890.951978481</v>
      </c>
      <c r="BF107" s="1">
        <v>18.071670855000001</v>
      </c>
      <c r="BG107" s="1">
        <v>2412.3069670140003</v>
      </c>
      <c r="BH107" s="1">
        <v>1549.1909976970001</v>
      </c>
      <c r="BI107" s="1">
        <v>535.62452892199997</v>
      </c>
      <c r="BJ107" s="1">
        <v>1851.1841466930002</v>
      </c>
      <c r="BK107" s="1">
        <v>0</v>
      </c>
      <c r="BL107" s="1">
        <v>0</v>
      </c>
      <c r="BM107" s="1">
        <v>1651.7814328679999</v>
      </c>
      <c r="BN107" s="1">
        <v>3.0307164719999999</v>
      </c>
      <c r="BO107" s="1">
        <v>11597.818150009</v>
      </c>
      <c r="BP107" s="1">
        <v>0</v>
      </c>
      <c r="BQ107" s="1">
        <v>0</v>
      </c>
      <c r="BR107" s="1">
        <v>0</v>
      </c>
      <c r="BS107" s="1">
        <v>25020</v>
      </c>
      <c r="BT107" s="1">
        <v>0</v>
      </c>
      <c r="BU107" s="1">
        <v>0</v>
      </c>
      <c r="BV107" s="1">
        <v>2130</v>
      </c>
      <c r="BW107" s="1">
        <v>0</v>
      </c>
      <c r="BX107" s="1">
        <v>0</v>
      </c>
      <c r="BY107" s="1">
        <v>0</v>
      </c>
      <c r="BZ107" s="1">
        <v>0</v>
      </c>
      <c r="CA107" s="1">
        <v>0</v>
      </c>
      <c r="CB107" s="1">
        <v>26739.999999999996</v>
      </c>
    </row>
    <row r="108" spans="2:80">
      <c r="B108">
        <v>106</v>
      </c>
      <c r="C108" s="1" t="s">
        <v>16</v>
      </c>
      <c r="D108" s="1" t="s">
        <v>19</v>
      </c>
      <c r="E108" s="1" t="s">
        <v>139</v>
      </c>
      <c r="F108" s="1" t="s">
        <v>249</v>
      </c>
      <c r="G108" s="1">
        <v>1167990</v>
      </c>
      <c r="H108" s="1">
        <v>14789094</v>
      </c>
      <c r="I108" s="1">
        <v>315037.84000000003</v>
      </c>
      <c r="J108" s="1">
        <v>174922.89</v>
      </c>
      <c r="K108" s="1">
        <v>55527.85</v>
      </c>
      <c r="L108" s="1">
        <v>186240.67</v>
      </c>
      <c r="M108" s="1">
        <v>0</v>
      </c>
      <c r="N108" s="1">
        <v>-2487.4780000000001</v>
      </c>
      <c r="O108" s="1">
        <v>-1105.9179999999999</v>
      </c>
      <c r="P108" s="1">
        <v>0</v>
      </c>
      <c r="Q108" s="1">
        <v>-1368.5840000000001</v>
      </c>
      <c r="R108" s="1">
        <v>-2699.953</v>
      </c>
      <c r="S108" s="1">
        <v>-6244.5410000000002</v>
      </c>
      <c r="T108" s="1">
        <v>988.08299999999997</v>
      </c>
      <c r="U108" s="1">
        <v>567.60799999999995</v>
      </c>
      <c r="V108" s="1">
        <v>1692.615</v>
      </c>
      <c r="W108" s="1">
        <v>2400.9769999999999</v>
      </c>
      <c r="X108" s="1">
        <v>0</v>
      </c>
      <c r="Y108" s="1">
        <v>-8257.1929999999993</v>
      </c>
      <c r="Z108" s="1">
        <v>-15315.665999999999</v>
      </c>
      <c r="AA108" s="1">
        <v>14451</v>
      </c>
      <c r="AB108" s="1">
        <v>0</v>
      </c>
      <c r="AC108" s="1">
        <v>1717711</v>
      </c>
      <c r="AD108" s="1">
        <v>144889</v>
      </c>
      <c r="AE108" s="1">
        <v>7386.8492162430002</v>
      </c>
      <c r="AF108" s="1">
        <v>0</v>
      </c>
      <c r="AG108" s="1">
        <v>10979.398406116001</v>
      </c>
      <c r="AH108" s="1">
        <v>28.935151182000002</v>
      </c>
      <c r="AI108" s="1">
        <v>3714.9587360270002</v>
      </c>
      <c r="AJ108" s="1">
        <v>146.75425403100002</v>
      </c>
      <c r="AK108" s="1">
        <v>3649.1601066759999</v>
      </c>
      <c r="AL108" s="1">
        <v>7113.7639146769998</v>
      </c>
      <c r="AM108" s="1">
        <v>0</v>
      </c>
      <c r="AN108" s="1">
        <v>0</v>
      </c>
      <c r="AO108" s="1">
        <v>4533.7197602200004</v>
      </c>
      <c r="AP108" s="1">
        <v>26.549485851</v>
      </c>
      <c r="AQ108" s="1">
        <v>0</v>
      </c>
      <c r="AR108" s="1">
        <v>0</v>
      </c>
      <c r="AS108" s="1">
        <v>0</v>
      </c>
      <c r="AT108" s="1">
        <v>15677.9</v>
      </c>
      <c r="AU108" s="1">
        <v>0</v>
      </c>
      <c r="AV108" s="1">
        <v>0</v>
      </c>
      <c r="AW108" s="1">
        <v>805.5</v>
      </c>
      <c r="AX108" s="1">
        <v>0</v>
      </c>
      <c r="AY108" s="1">
        <v>0</v>
      </c>
      <c r="AZ108" s="1">
        <v>0</v>
      </c>
      <c r="BA108" s="1">
        <v>0</v>
      </c>
      <c r="BB108" s="1">
        <v>0</v>
      </c>
      <c r="BC108" s="1">
        <v>2048.9008538319999</v>
      </c>
      <c r="BD108" s="1">
        <v>0</v>
      </c>
      <c r="BE108" s="1">
        <v>2890.951978481</v>
      </c>
      <c r="BF108" s="1">
        <v>18.027302257999999</v>
      </c>
      <c r="BG108" s="1">
        <v>1336.1773635</v>
      </c>
      <c r="BH108" s="1">
        <v>668.5664974099999</v>
      </c>
      <c r="BI108" s="1">
        <v>467.08869843299999</v>
      </c>
      <c r="BJ108" s="1">
        <v>1995.9827694869998</v>
      </c>
      <c r="BK108" s="1">
        <v>0</v>
      </c>
      <c r="BL108" s="1">
        <v>0</v>
      </c>
      <c r="BM108" s="1">
        <v>1651.7814328679999</v>
      </c>
      <c r="BN108" s="1">
        <v>3.0307164719999999</v>
      </c>
      <c r="BO108" s="1">
        <v>10248.698808061001</v>
      </c>
      <c r="BP108" s="1">
        <v>0</v>
      </c>
      <c r="BQ108" s="1">
        <v>0</v>
      </c>
      <c r="BR108" s="1">
        <v>0</v>
      </c>
      <c r="BS108" s="1">
        <v>21650</v>
      </c>
      <c r="BT108" s="1">
        <v>0</v>
      </c>
      <c r="BU108" s="1">
        <v>0</v>
      </c>
      <c r="BV108" s="1">
        <v>819.99999999999989</v>
      </c>
      <c r="BW108" s="1">
        <v>0</v>
      </c>
      <c r="BX108" s="1">
        <v>0</v>
      </c>
      <c r="BY108" s="1">
        <v>0</v>
      </c>
      <c r="BZ108" s="1">
        <v>0</v>
      </c>
      <c r="CA108" s="1">
        <v>0</v>
      </c>
      <c r="CB108" s="1">
        <v>22020</v>
      </c>
    </row>
    <row r="109" spans="2:80">
      <c r="B109">
        <v>107</v>
      </c>
      <c r="C109" s="1" t="s">
        <v>16</v>
      </c>
      <c r="D109" s="1" t="s">
        <v>19</v>
      </c>
      <c r="E109" s="1" t="s">
        <v>141</v>
      </c>
      <c r="F109" s="1" t="s">
        <v>250</v>
      </c>
      <c r="G109" s="1">
        <v>1167990</v>
      </c>
      <c r="H109" s="1">
        <v>14789094</v>
      </c>
      <c r="I109" s="1">
        <v>315037.84000000003</v>
      </c>
      <c r="J109" s="1">
        <v>174922.89</v>
      </c>
      <c r="K109" s="1">
        <v>55527.85</v>
      </c>
      <c r="L109" s="1">
        <v>186240.67</v>
      </c>
      <c r="M109" s="1">
        <v>0</v>
      </c>
      <c r="N109" s="1">
        <v>-2576.924</v>
      </c>
      <c r="O109" s="1">
        <v>-1109.172</v>
      </c>
      <c r="P109" s="1">
        <v>0</v>
      </c>
      <c r="Q109" s="1">
        <v>-1368.5840000000001</v>
      </c>
      <c r="R109" s="1">
        <v>-2817.203</v>
      </c>
      <c r="S109" s="1">
        <v>-6532.4129999999996</v>
      </c>
      <c r="T109" s="1">
        <v>1045.7539999999999</v>
      </c>
      <c r="U109" s="1">
        <v>633.64099999999996</v>
      </c>
      <c r="V109" s="1">
        <v>1483.308</v>
      </c>
      <c r="W109" s="1">
        <v>2629.8409999999999</v>
      </c>
      <c r="X109" s="1">
        <v>0</v>
      </c>
      <c r="Y109" s="1">
        <v>-8611.7530000000006</v>
      </c>
      <c r="Z109" s="1">
        <v>-28088.583999999999</v>
      </c>
      <c r="AA109" s="1">
        <v>14531</v>
      </c>
      <c r="AB109" s="1">
        <v>0</v>
      </c>
      <c r="AC109" s="1">
        <v>1582434</v>
      </c>
      <c r="AD109" s="1">
        <v>259739</v>
      </c>
      <c r="AE109" s="1">
        <v>5731.5626642120005</v>
      </c>
      <c r="AF109" s="1">
        <v>0</v>
      </c>
      <c r="AG109" s="1">
        <v>10979.398406116001</v>
      </c>
      <c r="AH109" s="1">
        <v>45.866890390999998</v>
      </c>
      <c r="AI109" s="1">
        <v>3597.6754693110001</v>
      </c>
      <c r="AJ109" s="1">
        <v>168.54264812700001</v>
      </c>
      <c r="AK109" s="1">
        <v>3483.4263320360001</v>
      </c>
      <c r="AL109" s="1">
        <v>6053.7264599979999</v>
      </c>
      <c r="AM109" s="1">
        <v>0</v>
      </c>
      <c r="AN109" s="1">
        <v>0</v>
      </c>
      <c r="AO109" s="1">
        <v>4533.7197602200004</v>
      </c>
      <c r="AP109" s="1">
        <v>26.549485851</v>
      </c>
      <c r="AQ109" s="1">
        <v>0</v>
      </c>
      <c r="AR109" s="1">
        <v>0</v>
      </c>
      <c r="AS109" s="1">
        <v>0</v>
      </c>
      <c r="AT109" s="1">
        <v>25975.9</v>
      </c>
      <c r="AU109" s="1">
        <v>0</v>
      </c>
      <c r="AV109" s="1">
        <v>0</v>
      </c>
      <c r="AW109" s="1">
        <v>3573.5</v>
      </c>
      <c r="AX109" s="1">
        <v>0</v>
      </c>
      <c r="AY109" s="1">
        <v>0</v>
      </c>
      <c r="AZ109" s="1">
        <v>0</v>
      </c>
      <c r="BA109" s="1">
        <v>0</v>
      </c>
      <c r="BB109" s="1">
        <v>0</v>
      </c>
      <c r="BC109" s="1">
        <v>1574.115910304</v>
      </c>
      <c r="BD109" s="1">
        <v>0</v>
      </c>
      <c r="BE109" s="1">
        <v>2890.951978481</v>
      </c>
      <c r="BF109" s="1">
        <v>18.054606010000001</v>
      </c>
      <c r="BG109" s="1">
        <v>2349.3240370879998</v>
      </c>
      <c r="BH109" s="1">
        <v>1463.5323017349999</v>
      </c>
      <c r="BI109" s="1">
        <v>533.25934140499999</v>
      </c>
      <c r="BJ109" s="1">
        <v>1782.0646985049998</v>
      </c>
      <c r="BK109" s="1">
        <v>0</v>
      </c>
      <c r="BL109" s="1">
        <v>0</v>
      </c>
      <c r="BM109" s="1">
        <v>1651.7814328679999</v>
      </c>
      <c r="BN109" s="1">
        <v>3.0307164719999999</v>
      </c>
      <c r="BO109" s="1">
        <v>10937.528102423999</v>
      </c>
      <c r="BP109" s="1">
        <v>0</v>
      </c>
      <c r="BQ109" s="1">
        <v>0</v>
      </c>
      <c r="BR109" s="1">
        <v>0</v>
      </c>
      <c r="BS109" s="1">
        <v>25100</v>
      </c>
      <c r="BT109" s="1">
        <v>0</v>
      </c>
      <c r="BU109" s="1">
        <v>0</v>
      </c>
      <c r="BV109" s="1">
        <v>2130</v>
      </c>
      <c r="BW109" s="1">
        <v>0</v>
      </c>
      <c r="BX109" s="1">
        <v>0</v>
      </c>
      <c r="BY109" s="1">
        <v>0</v>
      </c>
      <c r="BZ109" s="1">
        <v>0</v>
      </c>
      <c r="CA109" s="1">
        <v>0</v>
      </c>
      <c r="CB109" s="1">
        <v>26820</v>
      </c>
    </row>
    <row r="110" spans="2:80">
      <c r="B110">
        <v>108</v>
      </c>
      <c r="C110" s="1" t="s">
        <v>16</v>
      </c>
      <c r="D110" s="1" t="s">
        <v>19</v>
      </c>
      <c r="E110" s="1" t="s">
        <v>143</v>
      </c>
      <c r="F110" s="1" t="s">
        <v>251</v>
      </c>
      <c r="G110" s="1">
        <v>1167990</v>
      </c>
      <c r="H110" s="1">
        <v>14789094</v>
      </c>
      <c r="I110" s="1">
        <v>315037.84000000003</v>
      </c>
      <c r="J110" s="1">
        <v>174922.89</v>
      </c>
      <c r="K110" s="1">
        <v>55527.85</v>
      </c>
      <c r="L110" s="1">
        <v>186240.67</v>
      </c>
      <c r="M110" s="1">
        <v>0</v>
      </c>
      <c r="N110" s="1">
        <v>-2576.924</v>
      </c>
      <c r="O110" s="1">
        <v>-1109.172</v>
      </c>
      <c r="P110" s="1">
        <v>0</v>
      </c>
      <c r="Q110" s="1">
        <v>-1368.5840000000001</v>
      </c>
      <c r="R110" s="1">
        <v>-2817.203</v>
      </c>
      <c r="S110" s="1">
        <v>-6532.4129999999996</v>
      </c>
      <c r="T110" s="1">
        <v>1045.7539999999999</v>
      </c>
      <c r="U110" s="1">
        <v>633.64099999999996</v>
      </c>
      <c r="V110" s="1">
        <v>1483.308</v>
      </c>
      <c r="W110" s="1">
        <v>2629.8409999999999</v>
      </c>
      <c r="X110" s="1">
        <v>0</v>
      </c>
      <c r="Y110" s="1">
        <v>-8611.7530000000006</v>
      </c>
      <c r="Z110" s="1">
        <v>-16243.718999999999</v>
      </c>
      <c r="AA110" s="1">
        <v>14529</v>
      </c>
      <c r="AB110" s="1">
        <v>0</v>
      </c>
      <c r="AC110" s="1">
        <v>1635138</v>
      </c>
      <c r="AD110" s="1">
        <v>153331</v>
      </c>
      <c r="AE110" s="1">
        <v>5731.5626642120005</v>
      </c>
      <c r="AF110" s="1">
        <v>0</v>
      </c>
      <c r="AG110" s="1">
        <v>10979.398406116001</v>
      </c>
      <c r="AH110" s="1">
        <v>30.569963333</v>
      </c>
      <c r="AI110" s="1">
        <v>3635.9382647699999</v>
      </c>
      <c r="AJ110" s="1">
        <v>134.054596382</v>
      </c>
      <c r="AK110" s="1">
        <v>3645.5491854740003</v>
      </c>
      <c r="AL110" s="1">
        <v>7056.224670306</v>
      </c>
      <c r="AM110" s="1">
        <v>0</v>
      </c>
      <c r="AN110" s="1">
        <v>0</v>
      </c>
      <c r="AO110" s="1">
        <v>4533.7197602200004</v>
      </c>
      <c r="AP110" s="1">
        <v>26.549485851</v>
      </c>
      <c r="AQ110" s="1">
        <v>0</v>
      </c>
      <c r="AR110" s="1">
        <v>0</v>
      </c>
      <c r="AS110" s="1">
        <v>0</v>
      </c>
      <c r="AT110" s="1">
        <v>16638.3</v>
      </c>
      <c r="AU110" s="1">
        <v>0</v>
      </c>
      <c r="AV110" s="1">
        <v>0</v>
      </c>
      <c r="AW110" s="1">
        <v>805.5</v>
      </c>
      <c r="AX110" s="1">
        <v>0</v>
      </c>
      <c r="AY110" s="1">
        <v>0</v>
      </c>
      <c r="AZ110" s="1">
        <v>0</v>
      </c>
      <c r="BA110" s="1">
        <v>0</v>
      </c>
      <c r="BB110" s="1">
        <v>0</v>
      </c>
      <c r="BC110" s="1">
        <v>1574.115910304</v>
      </c>
      <c r="BD110" s="1">
        <v>0</v>
      </c>
      <c r="BE110" s="1">
        <v>2890.951978481</v>
      </c>
      <c r="BF110" s="1">
        <v>17.993172568000002</v>
      </c>
      <c r="BG110" s="1">
        <v>1268.006720694</v>
      </c>
      <c r="BH110" s="1">
        <v>599.87708331600004</v>
      </c>
      <c r="BI110" s="1">
        <v>466.44706026100005</v>
      </c>
      <c r="BJ110" s="1">
        <v>1926.702911756</v>
      </c>
      <c r="BK110" s="1">
        <v>0</v>
      </c>
      <c r="BL110" s="1">
        <v>0</v>
      </c>
      <c r="BM110" s="1">
        <v>1651.7814328679999</v>
      </c>
      <c r="BN110" s="1">
        <v>3.0307164719999999</v>
      </c>
      <c r="BO110" s="1">
        <v>9581.9753139109998</v>
      </c>
      <c r="BP110" s="1">
        <v>0</v>
      </c>
      <c r="BQ110" s="1">
        <v>0</v>
      </c>
      <c r="BR110" s="1">
        <v>0</v>
      </c>
      <c r="BS110" s="1">
        <v>21730</v>
      </c>
      <c r="BT110" s="1">
        <v>0</v>
      </c>
      <c r="BU110" s="1">
        <v>0</v>
      </c>
      <c r="BV110" s="1">
        <v>819.99999999999989</v>
      </c>
      <c r="BW110" s="1">
        <v>0</v>
      </c>
      <c r="BX110" s="1">
        <v>0</v>
      </c>
      <c r="BY110" s="1">
        <v>0</v>
      </c>
      <c r="BZ110" s="1">
        <v>0</v>
      </c>
      <c r="CA110" s="1">
        <v>0</v>
      </c>
      <c r="CB110" s="1">
        <v>22100</v>
      </c>
    </row>
    <row r="111" spans="2:80">
      <c r="B111">
        <v>109</v>
      </c>
      <c r="C111" s="1" t="s">
        <v>16</v>
      </c>
      <c r="D111" s="1" t="s">
        <v>19</v>
      </c>
      <c r="E111" s="1" t="s">
        <v>145</v>
      </c>
      <c r="F111" s="1" t="s">
        <v>252</v>
      </c>
      <c r="G111" s="1">
        <v>1167990</v>
      </c>
      <c r="H111" s="1">
        <v>14789094</v>
      </c>
      <c r="I111" s="1">
        <v>315037.84000000003</v>
      </c>
      <c r="J111" s="1">
        <v>174922.89</v>
      </c>
      <c r="K111" s="1">
        <v>55527.85</v>
      </c>
      <c r="L111" s="1">
        <v>186240.67</v>
      </c>
      <c r="M111" s="1">
        <v>0</v>
      </c>
      <c r="N111" s="1">
        <v>-2453.6320000000001</v>
      </c>
      <c r="O111" s="1">
        <v>-1102.213</v>
      </c>
      <c r="P111" s="1">
        <v>0</v>
      </c>
      <c r="Q111" s="1">
        <v>-1368.5840000000001</v>
      </c>
      <c r="R111" s="1">
        <v>-2235.8240000000001</v>
      </c>
      <c r="S111" s="1">
        <v>-6131.7290000000003</v>
      </c>
      <c r="T111" s="1">
        <v>961.29399999999998</v>
      </c>
      <c r="U111" s="1">
        <v>543.12199999999996</v>
      </c>
      <c r="V111" s="1">
        <v>1633.018</v>
      </c>
      <c r="W111" s="1">
        <v>2314.471</v>
      </c>
      <c r="X111" s="1">
        <v>0</v>
      </c>
      <c r="Y111" s="1">
        <v>-7840.0770000000002</v>
      </c>
      <c r="Z111" s="1">
        <v>-26427.414000000001</v>
      </c>
      <c r="AA111" s="1">
        <v>14305</v>
      </c>
      <c r="AB111" s="1">
        <v>0</v>
      </c>
      <c r="AC111" s="1">
        <v>1665764</v>
      </c>
      <c r="AD111" s="1">
        <v>245761</v>
      </c>
      <c r="AE111" s="1">
        <v>7386.8492162430002</v>
      </c>
      <c r="AF111" s="1">
        <v>0</v>
      </c>
      <c r="AG111" s="1">
        <v>10979.398406116001</v>
      </c>
      <c r="AH111" s="1">
        <v>44.829347814999998</v>
      </c>
      <c r="AI111" s="1">
        <v>3681.9041312620002</v>
      </c>
      <c r="AJ111" s="1">
        <v>182.856640113</v>
      </c>
      <c r="AK111" s="1">
        <v>3487.2283795020003</v>
      </c>
      <c r="AL111" s="1">
        <v>6120.2622906530005</v>
      </c>
      <c r="AM111" s="1">
        <v>0</v>
      </c>
      <c r="AN111" s="1">
        <v>0</v>
      </c>
      <c r="AO111" s="1">
        <v>4533.7197602200004</v>
      </c>
      <c r="AP111" s="1">
        <v>26.549485851</v>
      </c>
      <c r="AQ111" s="1">
        <v>0</v>
      </c>
      <c r="AR111" s="1">
        <v>0</v>
      </c>
      <c r="AS111" s="1">
        <v>0</v>
      </c>
      <c r="AT111" s="1">
        <v>24385.7</v>
      </c>
      <c r="AU111" s="1">
        <v>0</v>
      </c>
      <c r="AV111" s="1">
        <v>0</v>
      </c>
      <c r="AW111" s="1">
        <v>3573.5</v>
      </c>
      <c r="AX111" s="1">
        <v>0</v>
      </c>
      <c r="AY111" s="1">
        <v>0</v>
      </c>
      <c r="AZ111" s="1">
        <v>0</v>
      </c>
      <c r="BA111" s="1">
        <v>0</v>
      </c>
      <c r="BB111" s="1">
        <v>0</v>
      </c>
      <c r="BC111" s="1">
        <v>2048.9008538319999</v>
      </c>
      <c r="BD111" s="1">
        <v>0</v>
      </c>
      <c r="BE111" s="1">
        <v>2890.951978481</v>
      </c>
      <c r="BF111" s="1">
        <v>18.051193040999998</v>
      </c>
      <c r="BG111" s="1">
        <v>2398.5731797580002</v>
      </c>
      <c r="BH111" s="1">
        <v>1529.7063576759999</v>
      </c>
      <c r="BI111" s="1">
        <v>535.16377810699998</v>
      </c>
      <c r="BJ111" s="1">
        <v>1860.0715179689998</v>
      </c>
      <c r="BK111" s="1">
        <v>0</v>
      </c>
      <c r="BL111" s="1">
        <v>0</v>
      </c>
      <c r="BM111" s="1">
        <v>1651.7814328679999</v>
      </c>
      <c r="BN111" s="1">
        <v>3.0307164719999999</v>
      </c>
      <c r="BO111" s="1">
        <v>11588.562178081</v>
      </c>
      <c r="BP111" s="1">
        <v>0</v>
      </c>
      <c r="BQ111" s="1">
        <v>0</v>
      </c>
      <c r="BR111" s="1">
        <v>0</v>
      </c>
      <c r="BS111" s="1">
        <v>24700</v>
      </c>
      <c r="BT111" s="1">
        <v>0</v>
      </c>
      <c r="BU111" s="1">
        <v>0</v>
      </c>
      <c r="BV111" s="1">
        <v>2130</v>
      </c>
      <c r="BW111" s="1">
        <v>0</v>
      </c>
      <c r="BX111" s="1">
        <v>0</v>
      </c>
      <c r="BY111" s="1">
        <v>0</v>
      </c>
      <c r="BZ111" s="1">
        <v>0</v>
      </c>
      <c r="CA111" s="1">
        <v>0</v>
      </c>
      <c r="CB111" s="1">
        <v>26420</v>
      </c>
    </row>
    <row r="112" spans="2:80">
      <c r="B112">
        <v>110</v>
      </c>
      <c r="C112" s="1" t="s">
        <v>16</v>
      </c>
      <c r="D112" s="1" t="s">
        <v>19</v>
      </c>
      <c r="E112" s="1" t="s">
        <v>147</v>
      </c>
      <c r="F112" s="1" t="s">
        <v>144</v>
      </c>
      <c r="G112" s="1">
        <v>1167990</v>
      </c>
      <c r="H112" s="1">
        <v>14789094</v>
      </c>
      <c r="I112" s="1">
        <v>315037.84000000003</v>
      </c>
      <c r="J112" s="1">
        <v>174922.89</v>
      </c>
      <c r="K112" s="1">
        <v>55527.85</v>
      </c>
      <c r="L112" s="1">
        <v>186240.67</v>
      </c>
      <c r="M112" s="1">
        <v>0</v>
      </c>
      <c r="N112" s="1">
        <v>-2453.6320000000001</v>
      </c>
      <c r="O112" s="1">
        <v>-1102.213</v>
      </c>
      <c r="P112" s="1">
        <v>0</v>
      </c>
      <c r="Q112" s="1">
        <v>-1368.5840000000001</v>
      </c>
      <c r="R112" s="1">
        <v>-2235.8240000000001</v>
      </c>
      <c r="S112" s="1">
        <v>-6131.7290000000003</v>
      </c>
      <c r="T112" s="1">
        <v>961.29399999999998</v>
      </c>
      <c r="U112" s="1">
        <v>543.12199999999996</v>
      </c>
      <c r="V112" s="1">
        <v>1633.018</v>
      </c>
      <c r="W112" s="1">
        <v>2314.471</v>
      </c>
      <c r="X112" s="1">
        <v>0</v>
      </c>
      <c r="Y112" s="1">
        <v>-7840.0770000000002</v>
      </c>
      <c r="Z112" s="1">
        <v>-14586.651</v>
      </c>
      <c r="AA112" s="1">
        <v>14304</v>
      </c>
      <c r="AB112" s="1">
        <v>0</v>
      </c>
      <c r="AC112" s="1">
        <v>1718244</v>
      </c>
      <c r="AD112" s="1">
        <v>138467</v>
      </c>
      <c r="AE112" s="1">
        <v>7386.8492162430002</v>
      </c>
      <c r="AF112" s="1">
        <v>0</v>
      </c>
      <c r="AG112" s="1">
        <v>10979.398406116001</v>
      </c>
      <c r="AH112" s="1">
        <v>28.027301428000001</v>
      </c>
      <c r="AI112" s="1">
        <v>3719.0304080440001</v>
      </c>
      <c r="AJ112" s="1">
        <v>148.283264143</v>
      </c>
      <c r="AK112" s="1">
        <v>3647.3273423230003</v>
      </c>
      <c r="AL112" s="1">
        <v>7122.5488968830005</v>
      </c>
      <c r="AM112" s="1">
        <v>0</v>
      </c>
      <c r="AN112" s="1">
        <v>0</v>
      </c>
      <c r="AO112" s="1">
        <v>4533.7197602200004</v>
      </c>
      <c r="AP112" s="1">
        <v>26.549485851</v>
      </c>
      <c r="AQ112" s="1">
        <v>0</v>
      </c>
      <c r="AR112" s="1">
        <v>0</v>
      </c>
      <c r="AS112" s="1">
        <v>0</v>
      </c>
      <c r="AT112" s="1">
        <v>14947.3</v>
      </c>
      <c r="AU112" s="1">
        <v>0</v>
      </c>
      <c r="AV112" s="1">
        <v>0</v>
      </c>
      <c r="AW112" s="1">
        <v>805.5</v>
      </c>
      <c r="AX112" s="1">
        <v>0</v>
      </c>
      <c r="AY112" s="1">
        <v>0</v>
      </c>
      <c r="AZ112" s="1">
        <v>0</v>
      </c>
      <c r="BA112" s="1">
        <v>0</v>
      </c>
      <c r="BB112" s="1">
        <v>0</v>
      </c>
      <c r="BC112" s="1">
        <v>2048.9008538319999</v>
      </c>
      <c r="BD112" s="1">
        <v>0</v>
      </c>
      <c r="BE112" s="1">
        <v>2890.951978481</v>
      </c>
      <c r="BF112" s="1">
        <v>18.040954134</v>
      </c>
      <c r="BG112" s="1">
        <v>1323.3207092769999</v>
      </c>
      <c r="BH112" s="1">
        <v>656.60062809599992</v>
      </c>
      <c r="BI112" s="1">
        <v>466.28323774900002</v>
      </c>
      <c r="BJ112" s="1">
        <v>2004.9588779569999</v>
      </c>
      <c r="BK112" s="1">
        <v>0</v>
      </c>
      <c r="BL112" s="1">
        <v>0</v>
      </c>
      <c r="BM112" s="1">
        <v>1651.7814328679999</v>
      </c>
      <c r="BN112" s="1">
        <v>3.0307164719999999</v>
      </c>
      <c r="BO112" s="1">
        <v>10238.668092169999</v>
      </c>
      <c r="BP112" s="1">
        <v>0</v>
      </c>
      <c r="BQ112" s="1">
        <v>0</v>
      </c>
      <c r="BR112" s="1">
        <v>0</v>
      </c>
      <c r="BS112" s="1">
        <v>21290</v>
      </c>
      <c r="BT112" s="1">
        <v>0</v>
      </c>
      <c r="BU112" s="1">
        <v>0</v>
      </c>
      <c r="BV112" s="1">
        <v>819.99999999999989</v>
      </c>
      <c r="BW112" s="1">
        <v>0</v>
      </c>
      <c r="BX112" s="1">
        <v>0</v>
      </c>
      <c r="BY112" s="1">
        <v>0</v>
      </c>
      <c r="BZ112" s="1">
        <v>0</v>
      </c>
      <c r="CA112" s="1">
        <v>0</v>
      </c>
      <c r="CB112" s="1">
        <v>21660</v>
      </c>
    </row>
    <row r="113" spans="2:80">
      <c r="B113">
        <v>111</v>
      </c>
      <c r="C113" s="1" t="s">
        <v>16</v>
      </c>
      <c r="D113" s="1" t="s">
        <v>19</v>
      </c>
      <c r="E113" s="1" t="s">
        <v>149</v>
      </c>
      <c r="F113" s="1" t="s">
        <v>146</v>
      </c>
      <c r="G113" s="1">
        <v>1167990</v>
      </c>
      <c r="H113" s="1">
        <v>14789094</v>
      </c>
      <c r="I113" s="1">
        <v>315037.84000000003</v>
      </c>
      <c r="J113" s="1">
        <v>174922.89</v>
      </c>
      <c r="K113" s="1">
        <v>55527.85</v>
      </c>
      <c r="L113" s="1">
        <v>186240.67</v>
      </c>
      <c r="M113" s="1">
        <v>0</v>
      </c>
      <c r="N113" s="1">
        <v>-2537.2310000000002</v>
      </c>
      <c r="O113" s="1">
        <v>-1105.2550000000001</v>
      </c>
      <c r="P113" s="1">
        <v>0</v>
      </c>
      <c r="Q113" s="1">
        <v>-1368.5840000000001</v>
      </c>
      <c r="R113" s="1">
        <v>-2328.2020000000002</v>
      </c>
      <c r="S113" s="1">
        <v>-6398.4939999999997</v>
      </c>
      <c r="T113" s="1">
        <v>1015.841</v>
      </c>
      <c r="U113" s="1">
        <v>601.01400000000001</v>
      </c>
      <c r="V113" s="1">
        <v>1424.3969999999999</v>
      </c>
      <c r="W113" s="1">
        <v>2518.7979999999998</v>
      </c>
      <c r="X113" s="1">
        <v>0</v>
      </c>
      <c r="Y113" s="1">
        <v>-8177.7139999999999</v>
      </c>
      <c r="Z113" s="1">
        <v>-27341.266</v>
      </c>
      <c r="AA113" s="1">
        <v>14383</v>
      </c>
      <c r="AB113" s="1">
        <v>0</v>
      </c>
      <c r="AC113" s="1">
        <v>1582897</v>
      </c>
      <c r="AD113" s="1">
        <v>253522</v>
      </c>
      <c r="AE113" s="1">
        <v>5731.5626642120005</v>
      </c>
      <c r="AF113" s="1">
        <v>0</v>
      </c>
      <c r="AG113" s="1">
        <v>10979.398406116001</v>
      </c>
      <c r="AH113" s="1">
        <v>45.559723181000003</v>
      </c>
      <c r="AI113" s="1">
        <v>3599.5252985090001</v>
      </c>
      <c r="AJ113" s="1">
        <v>170.006811828</v>
      </c>
      <c r="AK113" s="1">
        <v>3481.7027826910003</v>
      </c>
      <c r="AL113" s="1">
        <v>6062.5728756460003</v>
      </c>
      <c r="AM113" s="1">
        <v>0</v>
      </c>
      <c r="AN113" s="1">
        <v>0</v>
      </c>
      <c r="AO113" s="1">
        <v>4533.7197602200004</v>
      </c>
      <c r="AP113" s="1">
        <v>26.549485851</v>
      </c>
      <c r="AQ113" s="1">
        <v>0</v>
      </c>
      <c r="AR113" s="1">
        <v>0</v>
      </c>
      <c r="AS113" s="1">
        <v>0</v>
      </c>
      <c r="AT113" s="1">
        <v>25268.7</v>
      </c>
      <c r="AU113" s="1">
        <v>0</v>
      </c>
      <c r="AV113" s="1">
        <v>0</v>
      </c>
      <c r="AW113" s="1">
        <v>3573.5</v>
      </c>
      <c r="AX113" s="1">
        <v>0</v>
      </c>
      <c r="AY113" s="1">
        <v>0</v>
      </c>
      <c r="AZ113" s="1">
        <v>0</v>
      </c>
      <c r="BA113" s="1">
        <v>0</v>
      </c>
      <c r="BB113" s="1">
        <v>0</v>
      </c>
      <c r="BC113" s="1">
        <v>1574.115910304</v>
      </c>
      <c r="BD113" s="1">
        <v>0</v>
      </c>
      <c r="BE113" s="1">
        <v>2890.951978481</v>
      </c>
      <c r="BF113" s="1">
        <v>18.078496792999999</v>
      </c>
      <c r="BG113" s="1">
        <v>2336.7165296019998</v>
      </c>
      <c r="BH113" s="1">
        <v>1446.0101188889998</v>
      </c>
      <c r="BI113" s="1">
        <v>532.81565543500005</v>
      </c>
      <c r="BJ113" s="1">
        <v>1790.6278377260001</v>
      </c>
      <c r="BK113" s="1">
        <v>0</v>
      </c>
      <c r="BL113" s="1">
        <v>0</v>
      </c>
      <c r="BM113" s="1">
        <v>1651.7814328679999</v>
      </c>
      <c r="BN113" s="1">
        <v>3.0307164719999999</v>
      </c>
      <c r="BO113" s="1">
        <v>10929.859161081</v>
      </c>
      <c r="BP113" s="1">
        <v>0</v>
      </c>
      <c r="BQ113" s="1">
        <v>0</v>
      </c>
      <c r="BR113" s="1">
        <v>0</v>
      </c>
      <c r="BS113" s="1">
        <v>24790</v>
      </c>
      <c r="BT113" s="1">
        <v>0</v>
      </c>
      <c r="BU113" s="1">
        <v>0</v>
      </c>
      <c r="BV113" s="1">
        <v>2130</v>
      </c>
      <c r="BW113" s="1">
        <v>0</v>
      </c>
      <c r="BX113" s="1">
        <v>0</v>
      </c>
      <c r="BY113" s="1">
        <v>0</v>
      </c>
      <c r="BZ113" s="1">
        <v>0</v>
      </c>
      <c r="CA113" s="1">
        <v>0</v>
      </c>
      <c r="CB113" s="1">
        <v>26510.000000000004</v>
      </c>
    </row>
    <row r="114" spans="2:80">
      <c r="B114">
        <v>112</v>
      </c>
      <c r="C114" s="1" t="s">
        <v>16</v>
      </c>
      <c r="D114" s="1" t="s">
        <v>19</v>
      </c>
      <c r="E114" s="1" t="s">
        <v>151</v>
      </c>
      <c r="F114" s="1" t="s">
        <v>148</v>
      </c>
      <c r="G114" s="1">
        <v>1167990</v>
      </c>
      <c r="H114" s="1">
        <v>14789094</v>
      </c>
      <c r="I114" s="1">
        <v>315037.84000000003</v>
      </c>
      <c r="J114" s="1">
        <v>174922.89</v>
      </c>
      <c r="K114" s="1">
        <v>55527.85</v>
      </c>
      <c r="L114" s="1">
        <v>186240.67</v>
      </c>
      <c r="M114" s="1">
        <v>0</v>
      </c>
      <c r="N114" s="1">
        <v>-2537.2310000000002</v>
      </c>
      <c r="O114" s="1">
        <v>-1105.2550000000001</v>
      </c>
      <c r="P114" s="1">
        <v>0</v>
      </c>
      <c r="Q114" s="1">
        <v>-1368.5840000000001</v>
      </c>
      <c r="R114" s="1">
        <v>-2328.2020000000002</v>
      </c>
      <c r="S114" s="1">
        <v>-6398.4939999999997</v>
      </c>
      <c r="T114" s="1">
        <v>1015.841</v>
      </c>
      <c r="U114" s="1">
        <v>601.01400000000001</v>
      </c>
      <c r="V114" s="1">
        <v>1424.3969999999999</v>
      </c>
      <c r="W114" s="1">
        <v>2518.7979999999998</v>
      </c>
      <c r="X114" s="1">
        <v>0</v>
      </c>
      <c r="Y114" s="1">
        <v>-8177.7139999999999</v>
      </c>
      <c r="Z114" s="1">
        <v>-15497.531999999999</v>
      </c>
      <c r="AA114" s="1">
        <v>14383</v>
      </c>
      <c r="AB114" s="1">
        <v>0</v>
      </c>
      <c r="AC114" s="1">
        <v>1635617</v>
      </c>
      <c r="AD114" s="1">
        <v>146856</v>
      </c>
      <c r="AE114" s="1">
        <v>5731.5626642120005</v>
      </c>
      <c r="AF114" s="1">
        <v>0</v>
      </c>
      <c r="AG114" s="1">
        <v>10979.398406116001</v>
      </c>
      <c r="AH114" s="1">
        <v>29.638222796000001</v>
      </c>
      <c r="AI114" s="1">
        <v>3639.9007217789999</v>
      </c>
      <c r="AJ114" s="1">
        <v>135.36858944700001</v>
      </c>
      <c r="AK114" s="1">
        <v>3643.1020867010002</v>
      </c>
      <c r="AL114" s="1">
        <v>7064.7468538990006</v>
      </c>
      <c r="AM114" s="1">
        <v>0</v>
      </c>
      <c r="AN114" s="1">
        <v>0</v>
      </c>
      <c r="AO114" s="1">
        <v>4533.7197602200004</v>
      </c>
      <c r="AP114" s="1">
        <v>26.549485851</v>
      </c>
      <c r="AQ114" s="1">
        <v>0</v>
      </c>
      <c r="AR114" s="1">
        <v>0</v>
      </c>
      <c r="AS114" s="1">
        <v>0</v>
      </c>
      <c r="AT114" s="1">
        <v>15901.6</v>
      </c>
      <c r="AU114" s="1">
        <v>0</v>
      </c>
      <c r="AV114" s="1">
        <v>0</v>
      </c>
      <c r="AW114" s="1">
        <v>805.5</v>
      </c>
      <c r="AX114" s="1">
        <v>0</v>
      </c>
      <c r="AY114" s="1">
        <v>0</v>
      </c>
      <c r="AZ114" s="1">
        <v>0</v>
      </c>
      <c r="BA114" s="1">
        <v>0</v>
      </c>
      <c r="BB114" s="1">
        <v>0</v>
      </c>
      <c r="BC114" s="1">
        <v>1574.115910304</v>
      </c>
      <c r="BD114" s="1">
        <v>0</v>
      </c>
      <c r="BE114" s="1">
        <v>2890.951978481</v>
      </c>
      <c r="BF114" s="1">
        <v>18.078496792999999</v>
      </c>
      <c r="BG114" s="1">
        <v>1254.552796896</v>
      </c>
      <c r="BH114" s="1">
        <v>589.23885894299997</v>
      </c>
      <c r="BI114" s="1">
        <v>465.651838484</v>
      </c>
      <c r="BJ114" s="1">
        <v>1935.2421601939998</v>
      </c>
      <c r="BK114" s="1">
        <v>0</v>
      </c>
      <c r="BL114" s="1">
        <v>0</v>
      </c>
      <c r="BM114" s="1">
        <v>1651.7814328679999</v>
      </c>
      <c r="BN114" s="1">
        <v>3.0307164719999999</v>
      </c>
      <c r="BO114" s="1">
        <v>9573.9616626989991</v>
      </c>
      <c r="BP114" s="1">
        <v>0</v>
      </c>
      <c r="BQ114" s="1">
        <v>0</v>
      </c>
      <c r="BR114" s="1">
        <v>0</v>
      </c>
      <c r="BS114" s="1">
        <v>21390</v>
      </c>
      <c r="BT114" s="1">
        <v>0</v>
      </c>
      <c r="BU114" s="1">
        <v>0</v>
      </c>
      <c r="BV114" s="1">
        <v>819.99999999999989</v>
      </c>
      <c r="BW114" s="1">
        <v>0</v>
      </c>
      <c r="BX114" s="1">
        <v>0</v>
      </c>
      <c r="BY114" s="1">
        <v>0</v>
      </c>
      <c r="BZ114" s="1">
        <v>0</v>
      </c>
      <c r="CA114" s="1">
        <v>0</v>
      </c>
      <c r="CB114" s="1">
        <v>21760</v>
      </c>
    </row>
    <row r="115" spans="2:80">
      <c r="B115">
        <v>113</v>
      </c>
      <c r="C115" s="1" t="s">
        <v>16</v>
      </c>
      <c r="D115" s="1" t="s">
        <v>19</v>
      </c>
      <c r="E115" s="1" t="s">
        <v>153</v>
      </c>
      <c r="F115" s="1" t="s">
        <v>150</v>
      </c>
      <c r="G115" s="1">
        <v>1167990</v>
      </c>
      <c r="H115" s="1">
        <v>14789094</v>
      </c>
      <c r="I115" s="1">
        <v>315037.84000000003</v>
      </c>
      <c r="J115" s="1">
        <v>174922.89</v>
      </c>
      <c r="K115" s="1">
        <v>55527.85</v>
      </c>
      <c r="L115" s="1">
        <v>186240.67</v>
      </c>
      <c r="M115" s="1">
        <v>0</v>
      </c>
      <c r="N115" s="1">
        <v>-2379.674</v>
      </c>
      <c r="O115" s="1">
        <v>-1103.6079999999999</v>
      </c>
      <c r="P115" s="1">
        <v>0</v>
      </c>
      <c r="Q115" s="1">
        <v>-1368.5840000000001</v>
      </c>
      <c r="R115" s="1">
        <v>-2542.453</v>
      </c>
      <c r="S115" s="1">
        <v>-4809.7079999999996</v>
      </c>
      <c r="T115" s="1">
        <v>875.35299999999995</v>
      </c>
      <c r="U115" s="1">
        <v>499.18099999999998</v>
      </c>
      <c r="V115" s="1">
        <v>1514.865</v>
      </c>
      <c r="W115" s="1">
        <v>2137.203</v>
      </c>
      <c r="X115" s="1">
        <v>0</v>
      </c>
      <c r="Y115" s="1">
        <v>-7177.4250000000002</v>
      </c>
      <c r="Z115" s="1">
        <v>-25696.594000000001</v>
      </c>
      <c r="AA115" s="1">
        <v>14321</v>
      </c>
      <c r="AB115" s="1">
        <v>0</v>
      </c>
      <c r="AC115" s="1">
        <v>1666839</v>
      </c>
      <c r="AD115" s="1">
        <v>239789</v>
      </c>
      <c r="AE115" s="1">
        <v>7386.8492162430002</v>
      </c>
      <c r="AF115" s="1">
        <v>0</v>
      </c>
      <c r="AG115" s="1">
        <v>10979.398406116001</v>
      </c>
      <c r="AH115" s="1">
        <v>44.658699365000004</v>
      </c>
      <c r="AI115" s="1">
        <v>3692.6072020460001</v>
      </c>
      <c r="AJ115" s="1">
        <v>185.890769554</v>
      </c>
      <c r="AK115" s="1">
        <v>3486.9997105790003</v>
      </c>
      <c r="AL115" s="1">
        <v>6130.4397642109998</v>
      </c>
      <c r="AM115" s="1">
        <v>0</v>
      </c>
      <c r="AN115" s="1">
        <v>0</v>
      </c>
      <c r="AO115" s="1">
        <v>4533.7197602200004</v>
      </c>
      <c r="AP115" s="1">
        <v>26.549485851</v>
      </c>
      <c r="AQ115" s="1">
        <v>0</v>
      </c>
      <c r="AR115" s="1">
        <v>0</v>
      </c>
      <c r="AS115" s="1">
        <v>0</v>
      </c>
      <c r="AT115" s="1">
        <v>23706.3</v>
      </c>
      <c r="AU115" s="1">
        <v>0</v>
      </c>
      <c r="AV115" s="1">
        <v>0</v>
      </c>
      <c r="AW115" s="1">
        <v>3573.5</v>
      </c>
      <c r="AX115" s="1">
        <v>0</v>
      </c>
      <c r="AY115" s="1">
        <v>0</v>
      </c>
      <c r="AZ115" s="1">
        <v>0</v>
      </c>
      <c r="BA115" s="1">
        <v>0</v>
      </c>
      <c r="BB115" s="1">
        <v>0</v>
      </c>
      <c r="BC115" s="1">
        <v>2048.9008538319999</v>
      </c>
      <c r="BD115" s="1">
        <v>0</v>
      </c>
      <c r="BE115" s="1">
        <v>2890.951978481</v>
      </c>
      <c r="BF115" s="1">
        <v>18.051193040999998</v>
      </c>
      <c r="BG115" s="1">
        <v>2414.0953627700001</v>
      </c>
      <c r="BH115" s="1">
        <v>1551.3752978569999</v>
      </c>
      <c r="BI115" s="1">
        <v>535.76446065100004</v>
      </c>
      <c r="BJ115" s="1">
        <v>1871.8360221119999</v>
      </c>
      <c r="BK115" s="1">
        <v>0</v>
      </c>
      <c r="BL115" s="1">
        <v>0</v>
      </c>
      <c r="BM115" s="1">
        <v>1651.7814328679999</v>
      </c>
      <c r="BN115" s="1">
        <v>3.0307164719999999</v>
      </c>
      <c r="BO115" s="1">
        <v>11631.029751348</v>
      </c>
      <c r="BP115" s="1">
        <v>0</v>
      </c>
      <c r="BQ115" s="1">
        <v>0</v>
      </c>
      <c r="BR115" s="1">
        <v>0</v>
      </c>
      <c r="BS115" s="1">
        <v>24370</v>
      </c>
      <c r="BT115" s="1">
        <v>0</v>
      </c>
      <c r="BU115" s="1">
        <v>0</v>
      </c>
      <c r="BV115" s="1">
        <v>2130</v>
      </c>
      <c r="BW115" s="1">
        <v>0</v>
      </c>
      <c r="BX115" s="1">
        <v>0</v>
      </c>
      <c r="BY115" s="1">
        <v>0</v>
      </c>
      <c r="BZ115" s="1">
        <v>0</v>
      </c>
      <c r="CA115" s="1">
        <v>0</v>
      </c>
      <c r="CB115" s="1">
        <v>26089.999999999996</v>
      </c>
    </row>
    <row r="116" spans="2:80">
      <c r="B116">
        <v>114</v>
      </c>
      <c r="C116" s="1" t="s">
        <v>16</v>
      </c>
      <c r="D116" s="1" t="s">
        <v>19</v>
      </c>
      <c r="E116" s="1" t="s">
        <v>155</v>
      </c>
      <c r="F116" s="1" t="s">
        <v>152</v>
      </c>
      <c r="G116" s="1">
        <v>1167990</v>
      </c>
      <c r="H116" s="1">
        <v>14789094</v>
      </c>
      <c r="I116" s="1">
        <v>315037.84000000003</v>
      </c>
      <c r="J116" s="1">
        <v>174922.89</v>
      </c>
      <c r="K116" s="1">
        <v>55527.85</v>
      </c>
      <c r="L116" s="1">
        <v>186240.67</v>
      </c>
      <c r="M116" s="1">
        <v>0</v>
      </c>
      <c r="N116" s="1">
        <v>-2379.674</v>
      </c>
      <c r="O116" s="1">
        <v>-1103.6079999999999</v>
      </c>
      <c r="P116" s="1">
        <v>0</v>
      </c>
      <c r="Q116" s="1">
        <v>-1368.5840000000001</v>
      </c>
      <c r="R116" s="1">
        <v>-2542.453</v>
      </c>
      <c r="S116" s="1">
        <v>-4809.7079999999996</v>
      </c>
      <c r="T116" s="1">
        <v>875.35299999999995</v>
      </c>
      <c r="U116" s="1">
        <v>499.18099999999998</v>
      </c>
      <c r="V116" s="1">
        <v>1514.865</v>
      </c>
      <c r="W116" s="1">
        <v>2137.203</v>
      </c>
      <c r="X116" s="1">
        <v>0</v>
      </c>
      <c r="Y116" s="1">
        <v>-7177.4250000000002</v>
      </c>
      <c r="Z116" s="1">
        <v>-13857.492</v>
      </c>
      <c r="AA116" s="1">
        <v>14319</v>
      </c>
      <c r="AB116" s="1">
        <v>0</v>
      </c>
      <c r="AC116" s="1">
        <v>1719246</v>
      </c>
      <c r="AD116" s="1">
        <v>131987</v>
      </c>
      <c r="AE116" s="1">
        <v>7386.8492162430002</v>
      </c>
      <c r="AF116" s="1">
        <v>0</v>
      </c>
      <c r="AG116" s="1">
        <v>10979.398406116001</v>
      </c>
      <c r="AH116" s="1">
        <v>27.071670107999999</v>
      </c>
      <c r="AI116" s="1">
        <v>3729.6310897580001</v>
      </c>
      <c r="AJ116" s="1">
        <v>151.269612018</v>
      </c>
      <c r="AK116" s="1">
        <v>3646.538946484</v>
      </c>
      <c r="AL116" s="1">
        <v>7132.651285123</v>
      </c>
      <c r="AM116" s="1">
        <v>0</v>
      </c>
      <c r="AN116" s="1">
        <v>0</v>
      </c>
      <c r="AO116" s="1">
        <v>4533.7197602200004</v>
      </c>
      <c r="AP116" s="1">
        <v>26.549485851</v>
      </c>
      <c r="AQ116" s="1">
        <v>0</v>
      </c>
      <c r="AR116" s="1">
        <v>0</v>
      </c>
      <c r="AS116" s="1">
        <v>0</v>
      </c>
      <c r="AT116" s="1">
        <v>14210.1</v>
      </c>
      <c r="AU116" s="1">
        <v>0</v>
      </c>
      <c r="AV116" s="1">
        <v>0</v>
      </c>
      <c r="AW116" s="1">
        <v>805.5</v>
      </c>
      <c r="AX116" s="1">
        <v>0</v>
      </c>
      <c r="AY116" s="1">
        <v>0</v>
      </c>
      <c r="AZ116" s="1">
        <v>0</v>
      </c>
      <c r="BA116" s="1">
        <v>0</v>
      </c>
      <c r="BB116" s="1">
        <v>0</v>
      </c>
      <c r="BC116" s="1">
        <v>2048.9008538319999</v>
      </c>
      <c r="BD116" s="1">
        <v>0</v>
      </c>
      <c r="BE116" s="1">
        <v>2890.951978481</v>
      </c>
      <c r="BF116" s="1">
        <v>18.044367102999999</v>
      </c>
      <c r="BG116" s="1">
        <v>1339.2524485690001</v>
      </c>
      <c r="BH116" s="1">
        <v>680.10574559899999</v>
      </c>
      <c r="BI116" s="1">
        <v>465.38562690200001</v>
      </c>
      <c r="BJ116" s="1">
        <v>2016.8394230459999</v>
      </c>
      <c r="BK116" s="1">
        <v>0</v>
      </c>
      <c r="BL116" s="1">
        <v>0</v>
      </c>
      <c r="BM116" s="1">
        <v>1651.7814328679999</v>
      </c>
      <c r="BN116" s="1">
        <v>3.0307164719999999</v>
      </c>
      <c r="BO116" s="1">
        <v>10283.552047489</v>
      </c>
      <c r="BP116" s="1">
        <v>0</v>
      </c>
      <c r="BQ116" s="1">
        <v>0</v>
      </c>
      <c r="BR116" s="1">
        <v>0</v>
      </c>
      <c r="BS116" s="1">
        <v>20940</v>
      </c>
      <c r="BT116" s="1">
        <v>0</v>
      </c>
      <c r="BU116" s="1">
        <v>0</v>
      </c>
      <c r="BV116" s="1">
        <v>819.99999999999989</v>
      </c>
      <c r="BW116" s="1">
        <v>0</v>
      </c>
      <c r="BX116" s="1">
        <v>0</v>
      </c>
      <c r="BY116" s="1">
        <v>0</v>
      </c>
      <c r="BZ116" s="1">
        <v>0</v>
      </c>
      <c r="CA116" s="1">
        <v>0</v>
      </c>
      <c r="CB116" s="1">
        <v>21310</v>
      </c>
    </row>
    <row r="117" spans="2:80">
      <c r="B117">
        <v>115</v>
      </c>
      <c r="C117" s="1" t="s">
        <v>16</v>
      </c>
      <c r="D117" s="1" t="s">
        <v>19</v>
      </c>
      <c r="E117" s="1" t="s">
        <v>157</v>
      </c>
      <c r="F117" s="1" t="s">
        <v>154</v>
      </c>
      <c r="G117" s="1">
        <v>1167990</v>
      </c>
      <c r="H117" s="1">
        <v>14789094</v>
      </c>
      <c r="I117" s="1">
        <v>315037.84000000003</v>
      </c>
      <c r="J117" s="1">
        <v>174922.89</v>
      </c>
      <c r="K117" s="1">
        <v>55527.85</v>
      </c>
      <c r="L117" s="1">
        <v>186240.67</v>
      </c>
      <c r="M117" s="1">
        <v>0</v>
      </c>
      <c r="N117" s="1">
        <v>-2466.0259999999998</v>
      </c>
      <c r="O117" s="1">
        <v>-1106.7739999999999</v>
      </c>
      <c r="P117" s="1">
        <v>0</v>
      </c>
      <c r="Q117" s="1">
        <v>-1368.5840000000001</v>
      </c>
      <c r="R117" s="1">
        <v>-2650.19</v>
      </c>
      <c r="S117" s="1">
        <v>-5027.2510000000002</v>
      </c>
      <c r="T117" s="1">
        <v>925.34500000000003</v>
      </c>
      <c r="U117" s="1">
        <v>554.59400000000005</v>
      </c>
      <c r="V117" s="1">
        <v>1328.4010000000001</v>
      </c>
      <c r="W117" s="1">
        <v>2325.7550000000001</v>
      </c>
      <c r="X117" s="1">
        <v>0</v>
      </c>
      <c r="Y117" s="1">
        <v>-7484.73</v>
      </c>
      <c r="Z117" s="1">
        <v>-26586.651999999998</v>
      </c>
      <c r="AA117" s="1">
        <v>14393</v>
      </c>
      <c r="AB117" s="1">
        <v>0</v>
      </c>
      <c r="AC117" s="1">
        <v>1583765</v>
      </c>
      <c r="AD117" s="1">
        <v>247303</v>
      </c>
      <c r="AE117" s="1">
        <v>5731.5626642120005</v>
      </c>
      <c r="AF117" s="1">
        <v>0</v>
      </c>
      <c r="AG117" s="1">
        <v>10979.398406116001</v>
      </c>
      <c r="AH117" s="1">
        <v>45.235491125999999</v>
      </c>
      <c r="AI117" s="1">
        <v>3607.9928745980001</v>
      </c>
      <c r="AJ117" s="1">
        <v>172.16380823599999</v>
      </c>
      <c r="AK117" s="1">
        <v>3481.0304277979999</v>
      </c>
      <c r="AL117" s="1">
        <v>6071.9141717990005</v>
      </c>
      <c r="AM117" s="1">
        <v>0</v>
      </c>
      <c r="AN117" s="1">
        <v>0</v>
      </c>
      <c r="AO117" s="1">
        <v>4533.7197602200004</v>
      </c>
      <c r="AP117" s="1">
        <v>26.549485851</v>
      </c>
      <c r="AQ117" s="1">
        <v>0</v>
      </c>
      <c r="AR117" s="1">
        <v>0</v>
      </c>
      <c r="AS117" s="1">
        <v>0</v>
      </c>
      <c r="AT117" s="1">
        <v>24561.1</v>
      </c>
      <c r="AU117" s="1">
        <v>0</v>
      </c>
      <c r="AV117" s="1">
        <v>0</v>
      </c>
      <c r="AW117" s="1">
        <v>3573.5</v>
      </c>
      <c r="AX117" s="1">
        <v>0</v>
      </c>
      <c r="AY117" s="1">
        <v>0</v>
      </c>
      <c r="AZ117" s="1">
        <v>0</v>
      </c>
      <c r="BA117" s="1">
        <v>0</v>
      </c>
      <c r="BB117" s="1">
        <v>0</v>
      </c>
      <c r="BC117" s="1">
        <v>1574.115910304</v>
      </c>
      <c r="BD117" s="1">
        <v>0</v>
      </c>
      <c r="BE117" s="1">
        <v>2890.951978481</v>
      </c>
      <c r="BF117" s="1">
        <v>18.017063351000001</v>
      </c>
      <c r="BG117" s="1">
        <v>2351.078303154</v>
      </c>
      <c r="BH117" s="1">
        <v>1465.955509725</v>
      </c>
      <c r="BI117" s="1">
        <v>533.37196938199997</v>
      </c>
      <c r="BJ117" s="1">
        <v>1801.9452429299999</v>
      </c>
      <c r="BK117" s="1">
        <v>0</v>
      </c>
      <c r="BL117" s="1">
        <v>0</v>
      </c>
      <c r="BM117" s="1">
        <v>1651.7814328679999</v>
      </c>
      <c r="BN117" s="1">
        <v>3.0307164719999999</v>
      </c>
      <c r="BO117" s="1">
        <v>10968.821615184999</v>
      </c>
      <c r="BP117" s="1">
        <v>0</v>
      </c>
      <c r="BQ117" s="1">
        <v>0</v>
      </c>
      <c r="BR117" s="1">
        <v>0</v>
      </c>
      <c r="BS117" s="1">
        <v>24460</v>
      </c>
      <c r="BT117" s="1">
        <v>0</v>
      </c>
      <c r="BU117" s="1">
        <v>0</v>
      </c>
      <c r="BV117" s="1">
        <v>2130</v>
      </c>
      <c r="BW117" s="1">
        <v>0</v>
      </c>
      <c r="BX117" s="1">
        <v>0</v>
      </c>
      <c r="BY117" s="1">
        <v>0</v>
      </c>
      <c r="BZ117" s="1">
        <v>0</v>
      </c>
      <c r="CA117" s="1">
        <v>0</v>
      </c>
      <c r="CB117" s="1">
        <v>26180</v>
      </c>
    </row>
    <row r="118" spans="2:80">
      <c r="B118">
        <v>116</v>
      </c>
      <c r="C118" s="1" t="s">
        <v>16</v>
      </c>
      <c r="D118" s="1" t="s">
        <v>19</v>
      </c>
      <c r="E118" s="1" t="s">
        <v>159</v>
      </c>
      <c r="F118" s="1" t="s">
        <v>156</v>
      </c>
      <c r="G118" s="1">
        <v>1167990</v>
      </c>
      <c r="H118" s="1">
        <v>14789094</v>
      </c>
      <c r="I118" s="1">
        <v>315037.84000000003</v>
      </c>
      <c r="J118" s="1">
        <v>174922.89</v>
      </c>
      <c r="K118" s="1">
        <v>55527.85</v>
      </c>
      <c r="L118" s="1">
        <v>186240.67</v>
      </c>
      <c r="M118" s="1">
        <v>0</v>
      </c>
      <c r="N118" s="1">
        <v>-2466.0259999999998</v>
      </c>
      <c r="O118" s="1">
        <v>-1106.7739999999999</v>
      </c>
      <c r="P118" s="1">
        <v>0</v>
      </c>
      <c r="Q118" s="1">
        <v>-1368.5840000000001</v>
      </c>
      <c r="R118" s="1">
        <v>-2650.19</v>
      </c>
      <c r="S118" s="1">
        <v>-5027.2510000000002</v>
      </c>
      <c r="T118" s="1">
        <v>925.34500000000003</v>
      </c>
      <c r="U118" s="1">
        <v>554.59400000000005</v>
      </c>
      <c r="V118" s="1">
        <v>1328.4010000000001</v>
      </c>
      <c r="W118" s="1">
        <v>2325.7550000000001</v>
      </c>
      <c r="X118" s="1">
        <v>0</v>
      </c>
      <c r="Y118" s="1">
        <v>-7484.73</v>
      </c>
      <c r="Z118" s="1">
        <v>-14744.101000000001</v>
      </c>
      <c r="AA118" s="1">
        <v>14392</v>
      </c>
      <c r="AB118" s="1">
        <v>0</v>
      </c>
      <c r="AC118" s="1">
        <v>1636507</v>
      </c>
      <c r="AD118" s="1">
        <v>140173</v>
      </c>
      <c r="AE118" s="1">
        <v>5731.5626642120005</v>
      </c>
      <c r="AF118" s="1">
        <v>0</v>
      </c>
      <c r="AG118" s="1">
        <v>10979.398406116001</v>
      </c>
      <c r="AH118" s="1">
        <v>28.750850856</v>
      </c>
      <c r="AI118" s="1">
        <v>3650.0338267400002</v>
      </c>
      <c r="AJ118" s="1">
        <v>137.31739474599999</v>
      </c>
      <c r="AK118" s="1">
        <v>3642.01334959</v>
      </c>
      <c r="AL118" s="1">
        <v>7074.1359316180005</v>
      </c>
      <c r="AM118" s="1">
        <v>0</v>
      </c>
      <c r="AN118" s="1">
        <v>0</v>
      </c>
      <c r="AO118" s="1">
        <v>4533.7197602200004</v>
      </c>
      <c r="AP118" s="1">
        <v>26.549485851</v>
      </c>
      <c r="AQ118" s="1">
        <v>0</v>
      </c>
      <c r="AR118" s="1">
        <v>0</v>
      </c>
      <c r="AS118" s="1">
        <v>0</v>
      </c>
      <c r="AT118" s="1">
        <v>15141.4</v>
      </c>
      <c r="AU118" s="1">
        <v>0</v>
      </c>
      <c r="AV118" s="1">
        <v>0</v>
      </c>
      <c r="AW118" s="1">
        <v>805.5</v>
      </c>
      <c r="AX118" s="1">
        <v>0</v>
      </c>
      <c r="AY118" s="1">
        <v>0</v>
      </c>
      <c r="AZ118" s="1">
        <v>0</v>
      </c>
      <c r="BA118" s="1">
        <v>0</v>
      </c>
      <c r="BB118" s="1">
        <v>0</v>
      </c>
      <c r="BC118" s="1">
        <v>1574.115910304</v>
      </c>
      <c r="BD118" s="1">
        <v>0</v>
      </c>
      <c r="BE118" s="1">
        <v>2890.951978481</v>
      </c>
      <c r="BF118" s="1">
        <v>18.071670855000001</v>
      </c>
      <c r="BG118" s="1">
        <v>1269.7609867600002</v>
      </c>
      <c r="BH118" s="1">
        <v>602.49141756999995</v>
      </c>
      <c r="BI118" s="1">
        <v>464.82931295499998</v>
      </c>
      <c r="BJ118" s="1">
        <v>1946.51860977</v>
      </c>
      <c r="BK118" s="1">
        <v>0</v>
      </c>
      <c r="BL118" s="1">
        <v>0</v>
      </c>
      <c r="BM118" s="1">
        <v>1651.7814328679999</v>
      </c>
      <c r="BN118" s="1">
        <v>3.0307164719999999</v>
      </c>
      <c r="BO118" s="1">
        <v>9614.4326491009997</v>
      </c>
      <c r="BP118" s="1">
        <v>0</v>
      </c>
      <c r="BQ118" s="1">
        <v>0</v>
      </c>
      <c r="BR118" s="1">
        <v>0</v>
      </c>
      <c r="BS118" s="1">
        <v>21050</v>
      </c>
      <c r="BT118" s="1">
        <v>0</v>
      </c>
      <c r="BU118" s="1">
        <v>0</v>
      </c>
      <c r="BV118" s="1">
        <v>819.99999999999989</v>
      </c>
      <c r="BW118" s="1">
        <v>0</v>
      </c>
      <c r="BX118" s="1">
        <v>0</v>
      </c>
      <c r="BY118" s="1">
        <v>0</v>
      </c>
      <c r="BZ118" s="1">
        <v>0</v>
      </c>
      <c r="CA118" s="1">
        <v>0</v>
      </c>
      <c r="CB118" s="1">
        <v>21420</v>
      </c>
    </row>
    <row r="119" spans="2:80">
      <c r="B119">
        <v>117</v>
      </c>
      <c r="C119" s="1" t="s">
        <v>16</v>
      </c>
      <c r="D119" s="1" t="s">
        <v>19</v>
      </c>
      <c r="E119" s="1" t="s">
        <v>161</v>
      </c>
      <c r="F119" s="1" t="s">
        <v>158</v>
      </c>
      <c r="G119" s="1">
        <v>1167990</v>
      </c>
      <c r="H119" s="1">
        <v>14789094</v>
      </c>
      <c r="I119" s="1">
        <v>315037.84000000003</v>
      </c>
      <c r="J119" s="1">
        <v>174922.89</v>
      </c>
      <c r="K119" s="1">
        <v>55527.85</v>
      </c>
      <c r="L119" s="1">
        <v>186240.67</v>
      </c>
      <c r="M119" s="1">
        <v>0</v>
      </c>
      <c r="N119" s="1">
        <v>-2340.7199999999998</v>
      </c>
      <c r="O119" s="1">
        <v>-1099.367</v>
      </c>
      <c r="P119" s="1">
        <v>0</v>
      </c>
      <c r="Q119" s="1">
        <v>-1368.5840000000001</v>
      </c>
      <c r="R119" s="1">
        <v>-2093.9549999999999</v>
      </c>
      <c r="S119" s="1">
        <v>-4702.7610000000004</v>
      </c>
      <c r="T119" s="1">
        <v>846.96799999999996</v>
      </c>
      <c r="U119" s="1">
        <v>474.036</v>
      </c>
      <c r="V119" s="1">
        <v>1453.5070000000001</v>
      </c>
      <c r="W119" s="1">
        <v>2047.615</v>
      </c>
      <c r="X119" s="1">
        <v>0</v>
      </c>
      <c r="Y119" s="1">
        <v>-6783.2619999999997</v>
      </c>
      <c r="Z119" s="1">
        <v>-24974.375</v>
      </c>
      <c r="AA119" s="1">
        <v>14170</v>
      </c>
      <c r="AB119" s="1">
        <v>0</v>
      </c>
      <c r="AC119" s="1">
        <v>1667400</v>
      </c>
      <c r="AD119" s="1">
        <v>233899</v>
      </c>
      <c r="AE119" s="1">
        <v>7386.8492162430002</v>
      </c>
      <c r="AF119" s="1">
        <v>0</v>
      </c>
      <c r="AG119" s="1">
        <v>10979.398406116001</v>
      </c>
      <c r="AH119" s="1">
        <v>44.470986070000002</v>
      </c>
      <c r="AI119" s="1">
        <v>3694.7095909499999</v>
      </c>
      <c r="AJ119" s="1">
        <v>187.19452371200001</v>
      </c>
      <c r="AK119" s="1">
        <v>3485.7437379870003</v>
      </c>
      <c r="AL119" s="1">
        <v>6140.7571694979997</v>
      </c>
      <c r="AM119" s="1">
        <v>0</v>
      </c>
      <c r="AN119" s="1">
        <v>0</v>
      </c>
      <c r="AO119" s="1">
        <v>4533.7197602200004</v>
      </c>
      <c r="AP119" s="1">
        <v>26.549485851</v>
      </c>
      <c r="AQ119" s="1">
        <v>0</v>
      </c>
      <c r="AR119" s="1">
        <v>0</v>
      </c>
      <c r="AS119" s="1">
        <v>0</v>
      </c>
      <c r="AT119" s="1">
        <v>23036.2</v>
      </c>
      <c r="AU119" s="1">
        <v>0</v>
      </c>
      <c r="AV119" s="1">
        <v>0</v>
      </c>
      <c r="AW119" s="1">
        <v>3573.5</v>
      </c>
      <c r="AX119" s="1">
        <v>0</v>
      </c>
      <c r="AY119" s="1">
        <v>0</v>
      </c>
      <c r="AZ119" s="1">
        <v>0</v>
      </c>
      <c r="BA119" s="1">
        <v>0</v>
      </c>
      <c r="BB119" s="1">
        <v>0</v>
      </c>
      <c r="BC119" s="1">
        <v>2048.9008538319999</v>
      </c>
      <c r="BD119" s="1">
        <v>0</v>
      </c>
      <c r="BE119" s="1">
        <v>2890.951978481</v>
      </c>
      <c r="BF119" s="1">
        <v>18.051193040999998</v>
      </c>
      <c r="BG119" s="1">
        <v>2400.388879266</v>
      </c>
      <c r="BH119" s="1">
        <v>1531.9247875259998</v>
      </c>
      <c r="BI119" s="1">
        <v>535.30370983599994</v>
      </c>
      <c r="BJ119" s="1">
        <v>1880.9827790320001</v>
      </c>
      <c r="BK119" s="1">
        <v>0</v>
      </c>
      <c r="BL119" s="1">
        <v>0</v>
      </c>
      <c r="BM119" s="1">
        <v>1651.7814328679999</v>
      </c>
      <c r="BN119" s="1">
        <v>3.0307164719999999</v>
      </c>
      <c r="BO119" s="1">
        <v>11621.811322078998</v>
      </c>
      <c r="BP119" s="1">
        <v>0</v>
      </c>
      <c r="BQ119" s="1">
        <v>0</v>
      </c>
      <c r="BR119" s="1">
        <v>0</v>
      </c>
      <c r="BS119" s="1">
        <v>23990</v>
      </c>
      <c r="BT119" s="1">
        <v>0</v>
      </c>
      <c r="BU119" s="1">
        <v>0</v>
      </c>
      <c r="BV119" s="1">
        <v>2130</v>
      </c>
      <c r="BW119" s="1">
        <v>0</v>
      </c>
      <c r="BX119" s="1">
        <v>0</v>
      </c>
      <c r="BY119" s="1">
        <v>0</v>
      </c>
      <c r="BZ119" s="1">
        <v>0</v>
      </c>
      <c r="CA119" s="1">
        <v>0</v>
      </c>
      <c r="CB119" s="1">
        <v>25710.000000000004</v>
      </c>
    </row>
    <row r="120" spans="2:80">
      <c r="B120">
        <v>118</v>
      </c>
      <c r="C120" s="1" t="s">
        <v>16</v>
      </c>
      <c r="D120" s="1" t="s">
        <v>19</v>
      </c>
      <c r="E120" s="1" t="s">
        <v>163</v>
      </c>
      <c r="F120" s="1" t="s">
        <v>160</v>
      </c>
      <c r="G120" s="1">
        <v>1167990</v>
      </c>
      <c r="H120" s="1">
        <v>14789094</v>
      </c>
      <c r="I120" s="1">
        <v>315037.84000000003</v>
      </c>
      <c r="J120" s="1">
        <v>174922.89</v>
      </c>
      <c r="K120" s="1">
        <v>55527.85</v>
      </c>
      <c r="L120" s="1">
        <v>186240.67</v>
      </c>
      <c r="M120" s="1">
        <v>0</v>
      </c>
      <c r="N120" s="1">
        <v>-2340.7199999999998</v>
      </c>
      <c r="O120" s="1">
        <v>-1099.367</v>
      </c>
      <c r="P120" s="1">
        <v>0</v>
      </c>
      <c r="Q120" s="1">
        <v>-1368.5840000000001</v>
      </c>
      <c r="R120" s="1">
        <v>-2093.9549999999999</v>
      </c>
      <c r="S120" s="1">
        <v>-4702.7610000000004</v>
      </c>
      <c r="T120" s="1">
        <v>846.96799999999996</v>
      </c>
      <c r="U120" s="1">
        <v>474.036</v>
      </c>
      <c r="V120" s="1">
        <v>1453.5070000000001</v>
      </c>
      <c r="W120" s="1">
        <v>2047.615</v>
      </c>
      <c r="X120" s="1">
        <v>0</v>
      </c>
      <c r="Y120" s="1">
        <v>-6783.2619999999997</v>
      </c>
      <c r="Z120" s="1">
        <v>-13137.049000000001</v>
      </c>
      <c r="AA120" s="1">
        <v>14170</v>
      </c>
      <c r="AB120" s="1">
        <v>0</v>
      </c>
      <c r="AC120" s="1">
        <v>1719851</v>
      </c>
      <c r="AD120" s="1">
        <v>125674</v>
      </c>
      <c r="AE120" s="1">
        <v>7386.8492162430002</v>
      </c>
      <c r="AF120" s="1">
        <v>0</v>
      </c>
      <c r="AG120" s="1">
        <v>10979.398406116001</v>
      </c>
      <c r="AH120" s="1">
        <v>26.180885199000002</v>
      </c>
      <c r="AI120" s="1">
        <v>3733.7710211550002</v>
      </c>
      <c r="AJ120" s="1">
        <v>152.83616478900001</v>
      </c>
      <c r="AK120" s="1">
        <v>3644.3990149209999</v>
      </c>
      <c r="AL120" s="1">
        <v>7143.1973593330003</v>
      </c>
      <c r="AM120" s="1">
        <v>0</v>
      </c>
      <c r="AN120" s="1">
        <v>0</v>
      </c>
      <c r="AO120" s="1">
        <v>4533.7197602200004</v>
      </c>
      <c r="AP120" s="1">
        <v>26.549485851</v>
      </c>
      <c r="AQ120" s="1">
        <v>0</v>
      </c>
      <c r="AR120" s="1">
        <v>0</v>
      </c>
      <c r="AS120" s="1">
        <v>0</v>
      </c>
      <c r="AT120" s="1">
        <v>13491.9</v>
      </c>
      <c r="AU120" s="1">
        <v>0</v>
      </c>
      <c r="AV120" s="1">
        <v>0</v>
      </c>
      <c r="AW120" s="1">
        <v>805.5</v>
      </c>
      <c r="AX120" s="1">
        <v>0</v>
      </c>
      <c r="AY120" s="1">
        <v>0</v>
      </c>
      <c r="AZ120" s="1">
        <v>0</v>
      </c>
      <c r="BA120" s="1">
        <v>0</v>
      </c>
      <c r="BB120" s="1">
        <v>0</v>
      </c>
      <c r="BC120" s="1">
        <v>2048.9008538319999</v>
      </c>
      <c r="BD120" s="1">
        <v>0</v>
      </c>
      <c r="BE120" s="1">
        <v>2890.951978481</v>
      </c>
      <c r="BF120" s="1">
        <v>18.034128195999998</v>
      </c>
      <c r="BG120" s="1">
        <v>1326.4094462219998</v>
      </c>
      <c r="BH120" s="1">
        <v>677.66888573299991</v>
      </c>
      <c r="BI120" s="1">
        <v>464.15354509300005</v>
      </c>
      <c r="BJ120" s="1">
        <v>2026.0817430980001</v>
      </c>
      <c r="BK120" s="1">
        <v>0</v>
      </c>
      <c r="BL120" s="1">
        <v>0</v>
      </c>
      <c r="BM120" s="1">
        <v>1651.7814328679999</v>
      </c>
      <c r="BN120" s="1">
        <v>3.0307164719999999</v>
      </c>
      <c r="BO120" s="1">
        <v>10273.418942528</v>
      </c>
      <c r="BP120" s="1">
        <v>0</v>
      </c>
      <c r="BQ120" s="1">
        <v>0</v>
      </c>
      <c r="BR120" s="1">
        <v>0</v>
      </c>
      <c r="BS120" s="1">
        <v>20500</v>
      </c>
      <c r="BT120" s="1">
        <v>0</v>
      </c>
      <c r="BU120" s="1">
        <v>0</v>
      </c>
      <c r="BV120" s="1">
        <v>819.99999999999989</v>
      </c>
      <c r="BW120" s="1">
        <v>0</v>
      </c>
      <c r="BX120" s="1">
        <v>0</v>
      </c>
      <c r="BY120" s="1">
        <v>0</v>
      </c>
      <c r="BZ120" s="1">
        <v>0</v>
      </c>
      <c r="CA120" s="1">
        <v>0</v>
      </c>
      <c r="CB120" s="1">
        <v>20860</v>
      </c>
    </row>
    <row r="121" spans="2:80">
      <c r="B121">
        <v>119</v>
      </c>
      <c r="C121" s="1" t="s">
        <v>16</v>
      </c>
      <c r="D121" s="1" t="s">
        <v>19</v>
      </c>
      <c r="E121" s="1" t="s">
        <v>165</v>
      </c>
      <c r="F121" s="1" t="s">
        <v>162</v>
      </c>
      <c r="G121" s="1">
        <v>1167990</v>
      </c>
      <c r="H121" s="1">
        <v>14789094</v>
      </c>
      <c r="I121" s="1">
        <v>315037.84000000003</v>
      </c>
      <c r="J121" s="1">
        <v>174922.89</v>
      </c>
      <c r="K121" s="1">
        <v>55527.85</v>
      </c>
      <c r="L121" s="1">
        <v>186240.67</v>
      </c>
      <c r="M121" s="1">
        <v>0</v>
      </c>
      <c r="N121" s="1">
        <v>-2426.5709999999999</v>
      </c>
      <c r="O121" s="1">
        <v>-1102.7080000000001</v>
      </c>
      <c r="P121" s="1">
        <v>0</v>
      </c>
      <c r="Q121" s="1">
        <v>-1368.5840000000001</v>
      </c>
      <c r="R121" s="1">
        <v>-2185.1819999999998</v>
      </c>
      <c r="S121" s="1">
        <v>-4918.8190000000004</v>
      </c>
      <c r="T121" s="1">
        <v>895.93200000000002</v>
      </c>
      <c r="U121" s="1">
        <v>526.38900000000001</v>
      </c>
      <c r="V121" s="1">
        <v>1277.2560000000001</v>
      </c>
      <c r="W121" s="1">
        <v>2228.1990000000001</v>
      </c>
      <c r="X121" s="1">
        <v>0</v>
      </c>
      <c r="Y121" s="1">
        <v>-7074.0870000000004</v>
      </c>
      <c r="Z121" s="1">
        <v>-25842.300999999999</v>
      </c>
      <c r="AA121" s="1">
        <v>14229</v>
      </c>
      <c r="AB121" s="1">
        <v>0</v>
      </c>
      <c r="AC121" s="1">
        <v>1584273</v>
      </c>
      <c r="AD121" s="1">
        <v>241137</v>
      </c>
      <c r="AE121" s="1">
        <v>5731.5626642120005</v>
      </c>
      <c r="AF121" s="1">
        <v>0</v>
      </c>
      <c r="AG121" s="1">
        <v>10979.398406116001</v>
      </c>
      <c r="AH121" s="1">
        <v>44.914672039999999</v>
      </c>
      <c r="AI121" s="1">
        <v>3609.672055346</v>
      </c>
      <c r="AJ121" s="1">
        <v>173.836163046</v>
      </c>
      <c r="AK121" s="1">
        <v>3479.4160934609999</v>
      </c>
      <c r="AL121" s="1">
        <v>6081.6445464180006</v>
      </c>
      <c r="AM121" s="1">
        <v>0</v>
      </c>
      <c r="AN121" s="1">
        <v>0</v>
      </c>
      <c r="AO121" s="1">
        <v>4533.7197602200004</v>
      </c>
      <c r="AP121" s="1">
        <v>26.549485851</v>
      </c>
      <c r="AQ121" s="1">
        <v>0</v>
      </c>
      <c r="AR121" s="1">
        <v>0</v>
      </c>
      <c r="AS121" s="1">
        <v>0</v>
      </c>
      <c r="AT121" s="1">
        <v>23859.7</v>
      </c>
      <c r="AU121" s="1">
        <v>0</v>
      </c>
      <c r="AV121" s="1">
        <v>0</v>
      </c>
      <c r="AW121" s="1">
        <v>3573.5</v>
      </c>
      <c r="AX121" s="1">
        <v>0</v>
      </c>
      <c r="AY121" s="1">
        <v>0</v>
      </c>
      <c r="AZ121" s="1">
        <v>0</v>
      </c>
      <c r="BA121" s="1">
        <v>0</v>
      </c>
      <c r="BB121" s="1">
        <v>0</v>
      </c>
      <c r="BC121" s="1">
        <v>1574.115910304</v>
      </c>
      <c r="BD121" s="1">
        <v>0</v>
      </c>
      <c r="BE121" s="1">
        <v>2890.951978481</v>
      </c>
      <c r="BF121" s="1">
        <v>18.030715227000002</v>
      </c>
      <c r="BG121" s="1">
        <v>2338.5424680169999</v>
      </c>
      <c r="BH121" s="1">
        <v>1448.2626784290001</v>
      </c>
      <c r="BI121" s="1">
        <v>532.93510935000006</v>
      </c>
      <c r="BJ121" s="1">
        <v>1810.7848326399999</v>
      </c>
      <c r="BK121" s="1">
        <v>0</v>
      </c>
      <c r="BL121" s="1">
        <v>0</v>
      </c>
      <c r="BM121" s="1">
        <v>1651.7814328679999</v>
      </c>
      <c r="BN121" s="1">
        <v>3.0307164719999999</v>
      </c>
      <c r="BO121" s="1">
        <v>10961.333561198999</v>
      </c>
      <c r="BP121" s="1">
        <v>0</v>
      </c>
      <c r="BQ121" s="1">
        <v>0</v>
      </c>
      <c r="BR121" s="1">
        <v>0</v>
      </c>
      <c r="BS121" s="1">
        <v>24090</v>
      </c>
      <c r="BT121" s="1">
        <v>0</v>
      </c>
      <c r="BU121" s="1">
        <v>0</v>
      </c>
      <c r="BV121" s="1">
        <v>2130</v>
      </c>
      <c r="BW121" s="1">
        <v>0</v>
      </c>
      <c r="BX121" s="1">
        <v>0</v>
      </c>
      <c r="BY121" s="1">
        <v>0</v>
      </c>
      <c r="BZ121" s="1">
        <v>0</v>
      </c>
      <c r="CA121" s="1">
        <v>0</v>
      </c>
      <c r="CB121" s="1">
        <v>25810.000000000004</v>
      </c>
    </row>
    <row r="122" spans="2:80">
      <c r="B122">
        <v>120</v>
      </c>
      <c r="C122" s="1" t="s">
        <v>16</v>
      </c>
      <c r="D122" s="1" t="s">
        <v>19</v>
      </c>
      <c r="E122" s="1" t="s">
        <v>167</v>
      </c>
      <c r="F122" s="1" t="s">
        <v>164</v>
      </c>
      <c r="G122" s="1">
        <v>1167990</v>
      </c>
      <c r="H122" s="1">
        <v>14789094</v>
      </c>
      <c r="I122" s="1">
        <v>315037.84000000003</v>
      </c>
      <c r="J122" s="1">
        <v>174922.89</v>
      </c>
      <c r="K122" s="1">
        <v>55527.85</v>
      </c>
      <c r="L122" s="1">
        <v>186240.67</v>
      </c>
      <c r="M122" s="1">
        <v>0</v>
      </c>
      <c r="N122" s="1">
        <v>-2426.5709999999999</v>
      </c>
      <c r="O122" s="1">
        <v>-1102.7080000000001</v>
      </c>
      <c r="P122" s="1">
        <v>0</v>
      </c>
      <c r="Q122" s="1">
        <v>-1368.5840000000001</v>
      </c>
      <c r="R122" s="1">
        <v>-2185.1819999999998</v>
      </c>
      <c r="S122" s="1">
        <v>-4918.8190000000004</v>
      </c>
      <c r="T122" s="1">
        <v>895.93200000000002</v>
      </c>
      <c r="U122" s="1">
        <v>526.38900000000001</v>
      </c>
      <c r="V122" s="1">
        <v>1277.2560000000001</v>
      </c>
      <c r="W122" s="1">
        <v>2228.1990000000001</v>
      </c>
      <c r="X122" s="1">
        <v>0</v>
      </c>
      <c r="Y122" s="1">
        <v>-7074.0870000000004</v>
      </c>
      <c r="Z122" s="1">
        <v>-14000.962</v>
      </c>
      <c r="AA122" s="1">
        <v>14228</v>
      </c>
      <c r="AB122" s="1">
        <v>0</v>
      </c>
      <c r="AC122" s="1">
        <v>1637068</v>
      </c>
      <c r="AD122" s="1">
        <v>133599</v>
      </c>
      <c r="AE122" s="1">
        <v>5731.5626642120005</v>
      </c>
      <c r="AF122" s="1">
        <v>0</v>
      </c>
      <c r="AG122" s="1">
        <v>10979.398406116001</v>
      </c>
      <c r="AH122" s="1">
        <v>27.778154691000001</v>
      </c>
      <c r="AI122" s="1">
        <v>3654.0474782840001</v>
      </c>
      <c r="AJ122" s="1">
        <v>138.84299188899999</v>
      </c>
      <c r="AK122" s="1">
        <v>3639.842701306</v>
      </c>
      <c r="AL122" s="1">
        <v>7084.0130639039999</v>
      </c>
      <c r="AM122" s="1">
        <v>0</v>
      </c>
      <c r="AN122" s="1">
        <v>0</v>
      </c>
      <c r="AO122" s="1">
        <v>4533.7197602200004</v>
      </c>
      <c r="AP122" s="1">
        <v>26.549485851</v>
      </c>
      <c r="AQ122" s="1">
        <v>0</v>
      </c>
      <c r="AR122" s="1">
        <v>0</v>
      </c>
      <c r="AS122" s="1">
        <v>0</v>
      </c>
      <c r="AT122" s="1">
        <v>14393.5</v>
      </c>
      <c r="AU122" s="1">
        <v>0</v>
      </c>
      <c r="AV122" s="1">
        <v>0</v>
      </c>
      <c r="AW122" s="1">
        <v>805.5</v>
      </c>
      <c r="AX122" s="1">
        <v>0</v>
      </c>
      <c r="AY122" s="1">
        <v>0</v>
      </c>
      <c r="AZ122" s="1">
        <v>0</v>
      </c>
      <c r="BA122" s="1">
        <v>0</v>
      </c>
      <c r="BB122" s="1">
        <v>0</v>
      </c>
      <c r="BC122" s="1">
        <v>1574.115910304</v>
      </c>
      <c r="BD122" s="1">
        <v>0</v>
      </c>
      <c r="BE122" s="1">
        <v>2890.951978481</v>
      </c>
      <c r="BF122" s="1">
        <v>18.013650381999998</v>
      </c>
      <c r="BG122" s="1">
        <v>1256.3787353110001</v>
      </c>
      <c r="BH122" s="1">
        <v>593.08527500599996</v>
      </c>
      <c r="BI122" s="1">
        <v>463.58699223899993</v>
      </c>
      <c r="BJ122" s="1">
        <v>1955.3377216659999</v>
      </c>
      <c r="BK122" s="1">
        <v>0</v>
      </c>
      <c r="BL122" s="1">
        <v>0</v>
      </c>
      <c r="BM122" s="1">
        <v>1651.7814328679999</v>
      </c>
      <c r="BN122" s="1">
        <v>3.0307164719999999</v>
      </c>
      <c r="BO122" s="1">
        <v>9606.5145610209984</v>
      </c>
      <c r="BP122" s="1">
        <v>0</v>
      </c>
      <c r="BQ122" s="1">
        <v>0</v>
      </c>
      <c r="BR122" s="1">
        <v>0</v>
      </c>
      <c r="BS122" s="1">
        <v>20610</v>
      </c>
      <c r="BT122" s="1">
        <v>0</v>
      </c>
      <c r="BU122" s="1">
        <v>0</v>
      </c>
      <c r="BV122" s="1">
        <v>819.99999999999989</v>
      </c>
      <c r="BW122" s="1">
        <v>0</v>
      </c>
      <c r="BX122" s="1">
        <v>0</v>
      </c>
      <c r="BY122" s="1">
        <v>0</v>
      </c>
      <c r="BZ122" s="1">
        <v>0</v>
      </c>
      <c r="CA122" s="1">
        <v>0</v>
      </c>
      <c r="CB122" s="1">
        <v>20980</v>
      </c>
    </row>
    <row r="123" spans="2:80">
      <c r="B123">
        <v>121</v>
      </c>
      <c r="C123" s="1" t="s">
        <v>16</v>
      </c>
      <c r="D123" s="1" t="s">
        <v>19</v>
      </c>
      <c r="E123" s="1" t="s">
        <v>169</v>
      </c>
      <c r="F123" s="1" t="s">
        <v>166</v>
      </c>
      <c r="G123" s="1">
        <v>1167990</v>
      </c>
      <c r="H123" s="1">
        <v>14789094</v>
      </c>
      <c r="I123" s="1">
        <v>315037.84000000003</v>
      </c>
      <c r="J123" s="1">
        <v>174922.89</v>
      </c>
      <c r="K123" s="1">
        <v>55527.85</v>
      </c>
      <c r="L123" s="1">
        <v>186240.67</v>
      </c>
      <c r="M123" s="1">
        <v>0</v>
      </c>
      <c r="N123" s="1">
        <v>-2061.7339999999999</v>
      </c>
      <c r="O123" s="1">
        <v>-1109.454</v>
      </c>
      <c r="P123" s="1">
        <v>0</v>
      </c>
      <c r="Q123" s="1">
        <v>-1368.5840000000001</v>
      </c>
      <c r="R123" s="1">
        <v>-2933.3820000000001</v>
      </c>
      <c r="S123" s="1">
        <v>-9236.5460000000003</v>
      </c>
      <c r="T123" s="1">
        <v>1162.8330000000001</v>
      </c>
      <c r="U123" s="1">
        <v>685.56799999999998</v>
      </c>
      <c r="V123" s="1">
        <v>1996.693</v>
      </c>
      <c r="W123" s="1">
        <v>2846.5479999999998</v>
      </c>
      <c r="X123" s="1">
        <v>0</v>
      </c>
      <c r="Y123" s="1">
        <v>-10018.06</v>
      </c>
      <c r="Z123" s="1">
        <v>-29404.657999999999</v>
      </c>
      <c r="AA123" s="1">
        <v>14655</v>
      </c>
      <c r="AB123" s="1">
        <v>0</v>
      </c>
      <c r="AC123" s="1">
        <v>1662928</v>
      </c>
      <c r="AD123" s="1">
        <v>270416</v>
      </c>
      <c r="AE123" s="1">
        <v>7386.8492162430002</v>
      </c>
      <c r="AF123" s="1">
        <v>0</v>
      </c>
      <c r="AG123" s="1">
        <v>10979.398406116001</v>
      </c>
      <c r="AH123" s="1">
        <v>46.153579786999998</v>
      </c>
      <c r="AI123" s="1">
        <v>3661.8222216660001</v>
      </c>
      <c r="AJ123" s="1">
        <v>174.587016226</v>
      </c>
      <c r="AK123" s="1">
        <v>3491.6140446670001</v>
      </c>
      <c r="AL123" s="1">
        <v>6080.8527376100001</v>
      </c>
      <c r="AM123" s="1">
        <v>0</v>
      </c>
      <c r="AN123" s="1">
        <v>0</v>
      </c>
      <c r="AO123" s="1">
        <v>4533.7197602200004</v>
      </c>
      <c r="AP123" s="1">
        <v>26.549485851</v>
      </c>
      <c r="AQ123" s="1">
        <v>0</v>
      </c>
      <c r="AR123" s="1">
        <v>0</v>
      </c>
      <c r="AS123" s="1">
        <v>0</v>
      </c>
      <c r="AT123" s="1">
        <v>27190.6</v>
      </c>
      <c r="AU123" s="1">
        <v>0</v>
      </c>
      <c r="AV123" s="1">
        <v>0</v>
      </c>
      <c r="AW123" s="1">
        <v>3573.5</v>
      </c>
      <c r="AX123" s="1">
        <v>0</v>
      </c>
      <c r="AY123" s="1">
        <v>0</v>
      </c>
      <c r="AZ123" s="1">
        <v>0</v>
      </c>
      <c r="BA123" s="1">
        <v>0</v>
      </c>
      <c r="BB123" s="1">
        <v>0</v>
      </c>
      <c r="BC123" s="1">
        <v>2048.9008538319999</v>
      </c>
      <c r="BD123" s="1">
        <v>0</v>
      </c>
      <c r="BE123" s="1">
        <v>2890.951978481</v>
      </c>
      <c r="BF123" s="1">
        <v>18.037541165</v>
      </c>
      <c r="BG123" s="1">
        <v>2409.405943364</v>
      </c>
      <c r="BH123" s="1">
        <v>1545.1602813080001</v>
      </c>
      <c r="BI123" s="1">
        <v>535.47435828599998</v>
      </c>
      <c r="BJ123" s="1">
        <v>1811.8667438129999</v>
      </c>
      <c r="BK123" s="1">
        <v>0</v>
      </c>
      <c r="BL123" s="1">
        <v>0</v>
      </c>
      <c r="BM123" s="1">
        <v>1651.7814328679999</v>
      </c>
      <c r="BN123" s="1">
        <v>3.0307164719999999</v>
      </c>
      <c r="BO123" s="1">
        <v>11534.115083623999</v>
      </c>
      <c r="BP123" s="1">
        <v>0</v>
      </c>
      <c r="BQ123" s="1">
        <v>0</v>
      </c>
      <c r="BR123" s="1">
        <v>0</v>
      </c>
      <c r="BS123" s="1">
        <v>25810.000000000004</v>
      </c>
      <c r="BT123" s="1">
        <v>0</v>
      </c>
      <c r="BU123" s="1">
        <v>0</v>
      </c>
      <c r="BV123" s="1">
        <v>2130</v>
      </c>
      <c r="BW123" s="1">
        <v>0</v>
      </c>
      <c r="BX123" s="1">
        <v>0</v>
      </c>
      <c r="BY123" s="1">
        <v>0</v>
      </c>
      <c r="BZ123" s="1">
        <v>0</v>
      </c>
      <c r="CA123" s="1">
        <v>0</v>
      </c>
      <c r="CB123" s="1">
        <v>27530</v>
      </c>
    </row>
    <row r="124" spans="2:80">
      <c r="B124">
        <v>122</v>
      </c>
      <c r="C124" s="1" t="s">
        <v>16</v>
      </c>
      <c r="D124" s="1" t="s">
        <v>19</v>
      </c>
      <c r="E124" s="1" t="s">
        <v>171</v>
      </c>
      <c r="F124" s="1" t="s">
        <v>168</v>
      </c>
      <c r="G124" s="1">
        <v>1167990</v>
      </c>
      <c r="H124" s="1">
        <v>14789094</v>
      </c>
      <c r="I124" s="1">
        <v>315037.84000000003</v>
      </c>
      <c r="J124" s="1">
        <v>174922.89</v>
      </c>
      <c r="K124" s="1">
        <v>55527.85</v>
      </c>
      <c r="L124" s="1">
        <v>186240.67</v>
      </c>
      <c r="M124" s="1">
        <v>0</v>
      </c>
      <c r="N124" s="1">
        <v>-2061.7339999999999</v>
      </c>
      <c r="O124" s="1">
        <v>-1109.454</v>
      </c>
      <c r="P124" s="1">
        <v>0</v>
      </c>
      <c r="Q124" s="1">
        <v>-1368.5840000000001</v>
      </c>
      <c r="R124" s="1">
        <v>-2933.3820000000001</v>
      </c>
      <c r="S124" s="1">
        <v>-9236.5460000000003</v>
      </c>
      <c r="T124" s="1">
        <v>1162.8330000000001</v>
      </c>
      <c r="U124" s="1">
        <v>685.56799999999998</v>
      </c>
      <c r="V124" s="1">
        <v>1996.693</v>
      </c>
      <c r="W124" s="1">
        <v>2846.5479999999998</v>
      </c>
      <c r="X124" s="1">
        <v>0</v>
      </c>
      <c r="Y124" s="1">
        <v>-10018.06</v>
      </c>
      <c r="Z124" s="1">
        <v>-17559.386999999999</v>
      </c>
      <c r="AA124" s="1">
        <v>14652</v>
      </c>
      <c r="AB124" s="1">
        <v>0</v>
      </c>
      <c r="AC124" s="1">
        <v>1715291</v>
      </c>
      <c r="AD124" s="1">
        <v>164330</v>
      </c>
      <c r="AE124" s="1">
        <v>7386.8492162430002</v>
      </c>
      <c r="AF124" s="1">
        <v>0</v>
      </c>
      <c r="AG124" s="1">
        <v>10979.398406116001</v>
      </c>
      <c r="AH124" s="1">
        <v>31.580202157000002</v>
      </c>
      <c r="AI124" s="1">
        <v>3691.4570314930002</v>
      </c>
      <c r="AJ124" s="1">
        <v>140.08531260500001</v>
      </c>
      <c r="AK124" s="1">
        <v>3654.4331437810001</v>
      </c>
      <c r="AL124" s="1">
        <v>7083.0676714910005</v>
      </c>
      <c r="AM124" s="1">
        <v>0</v>
      </c>
      <c r="AN124" s="1">
        <v>0</v>
      </c>
      <c r="AO124" s="1">
        <v>4533.7197602200004</v>
      </c>
      <c r="AP124" s="1">
        <v>26.549485851</v>
      </c>
      <c r="AQ124" s="1">
        <v>0</v>
      </c>
      <c r="AR124" s="1">
        <v>0</v>
      </c>
      <c r="AS124" s="1">
        <v>0</v>
      </c>
      <c r="AT124" s="1">
        <v>17889.599999999999</v>
      </c>
      <c r="AU124" s="1">
        <v>0</v>
      </c>
      <c r="AV124" s="1">
        <v>0</v>
      </c>
      <c r="AW124" s="1">
        <v>805.5</v>
      </c>
      <c r="AX124" s="1">
        <v>0</v>
      </c>
      <c r="AY124" s="1">
        <v>0</v>
      </c>
      <c r="AZ124" s="1">
        <v>0</v>
      </c>
      <c r="BA124" s="1">
        <v>0</v>
      </c>
      <c r="BB124" s="1">
        <v>0</v>
      </c>
      <c r="BC124" s="1">
        <v>2048.9008538319999</v>
      </c>
      <c r="BD124" s="1">
        <v>0</v>
      </c>
      <c r="BE124" s="1">
        <v>2890.951978481</v>
      </c>
      <c r="BF124" s="1">
        <v>18.088735699999997</v>
      </c>
      <c r="BG124" s="1">
        <v>1331.1910157909999</v>
      </c>
      <c r="BH124" s="1">
        <v>663.99653191899995</v>
      </c>
      <c r="BI124" s="1">
        <v>468.26617273799997</v>
      </c>
      <c r="BJ124" s="1">
        <v>1955.1124657119999</v>
      </c>
      <c r="BK124" s="1">
        <v>0</v>
      </c>
      <c r="BL124" s="1">
        <v>0</v>
      </c>
      <c r="BM124" s="1">
        <v>1651.7814328679999</v>
      </c>
      <c r="BN124" s="1">
        <v>3.0307164719999999</v>
      </c>
      <c r="BO124" s="1">
        <v>10181.988915987</v>
      </c>
      <c r="BP124" s="1">
        <v>0</v>
      </c>
      <c r="BQ124" s="1">
        <v>0</v>
      </c>
      <c r="BR124" s="1">
        <v>0</v>
      </c>
      <c r="BS124" s="1">
        <v>22360</v>
      </c>
      <c r="BT124" s="1">
        <v>0</v>
      </c>
      <c r="BU124" s="1">
        <v>0</v>
      </c>
      <c r="BV124" s="1">
        <v>819.99999999999989</v>
      </c>
      <c r="BW124" s="1">
        <v>0</v>
      </c>
      <c r="BX124" s="1">
        <v>0</v>
      </c>
      <c r="BY124" s="1">
        <v>0</v>
      </c>
      <c r="BZ124" s="1">
        <v>0</v>
      </c>
      <c r="CA124" s="1">
        <v>0</v>
      </c>
      <c r="CB124" s="1">
        <v>22720</v>
      </c>
    </row>
    <row r="125" spans="2:80">
      <c r="B125">
        <v>123</v>
      </c>
      <c r="C125" s="1" t="s">
        <v>16</v>
      </c>
      <c r="D125" s="1" t="s">
        <v>19</v>
      </c>
      <c r="E125" s="1" t="s">
        <v>173</v>
      </c>
      <c r="F125" s="1" t="s">
        <v>170</v>
      </c>
      <c r="G125" s="1">
        <v>1167990</v>
      </c>
      <c r="H125" s="1">
        <v>14789094</v>
      </c>
      <c r="I125" s="1">
        <v>315037.84000000003</v>
      </c>
      <c r="J125" s="1">
        <v>174922.89</v>
      </c>
      <c r="K125" s="1">
        <v>55527.85</v>
      </c>
      <c r="L125" s="1">
        <v>186240.67</v>
      </c>
      <c r="M125" s="1">
        <v>0</v>
      </c>
      <c r="N125" s="1">
        <v>-2132.6999999999998</v>
      </c>
      <c r="O125" s="1">
        <v>-1112.068</v>
      </c>
      <c r="P125" s="1">
        <v>0</v>
      </c>
      <c r="Q125" s="1">
        <v>-1368.5840000000001</v>
      </c>
      <c r="R125" s="1">
        <v>-3066.5410000000002</v>
      </c>
      <c r="S125" s="1">
        <v>-9686.3940000000002</v>
      </c>
      <c r="T125" s="1">
        <v>1232.1790000000001</v>
      </c>
      <c r="U125" s="1">
        <v>778.36</v>
      </c>
      <c r="V125" s="1">
        <v>1753.213</v>
      </c>
      <c r="W125" s="1">
        <v>3146.58</v>
      </c>
      <c r="X125" s="1">
        <v>0</v>
      </c>
      <c r="Y125" s="1">
        <v>-10455.950000000001</v>
      </c>
      <c r="Z125" s="1">
        <v>-30387.85</v>
      </c>
      <c r="AA125" s="1">
        <v>14719</v>
      </c>
      <c r="AB125" s="1">
        <v>0</v>
      </c>
      <c r="AC125" s="1">
        <v>1580737</v>
      </c>
      <c r="AD125" s="1">
        <v>278587</v>
      </c>
      <c r="AE125" s="1">
        <v>5731.5626642120005</v>
      </c>
      <c r="AF125" s="1">
        <v>0</v>
      </c>
      <c r="AG125" s="1">
        <v>10979.398406116001</v>
      </c>
      <c r="AH125" s="1">
        <v>46.952214533000003</v>
      </c>
      <c r="AI125" s="1">
        <v>3586.6072108440003</v>
      </c>
      <c r="AJ125" s="1">
        <v>162.747426765</v>
      </c>
      <c r="AK125" s="1">
        <v>3487.125990432</v>
      </c>
      <c r="AL125" s="1">
        <v>6028.6820934759999</v>
      </c>
      <c r="AM125" s="1">
        <v>0</v>
      </c>
      <c r="AN125" s="1">
        <v>0</v>
      </c>
      <c r="AO125" s="1">
        <v>4533.7197602200004</v>
      </c>
      <c r="AP125" s="1">
        <v>26.549485851</v>
      </c>
      <c r="AQ125" s="1">
        <v>0</v>
      </c>
      <c r="AR125" s="1">
        <v>0</v>
      </c>
      <c r="AS125" s="1">
        <v>0</v>
      </c>
      <c r="AT125" s="1">
        <v>28120.1</v>
      </c>
      <c r="AU125" s="1">
        <v>0</v>
      </c>
      <c r="AV125" s="1">
        <v>0</v>
      </c>
      <c r="AW125" s="1">
        <v>3573.5</v>
      </c>
      <c r="AX125" s="1">
        <v>0</v>
      </c>
      <c r="AY125" s="1">
        <v>0</v>
      </c>
      <c r="AZ125" s="1">
        <v>0</v>
      </c>
      <c r="BA125" s="1">
        <v>0</v>
      </c>
      <c r="BB125" s="1">
        <v>0</v>
      </c>
      <c r="BC125" s="1">
        <v>1574.115910304</v>
      </c>
      <c r="BD125" s="1">
        <v>0</v>
      </c>
      <c r="BE125" s="1">
        <v>2890.951978481</v>
      </c>
      <c r="BF125" s="1">
        <v>18.030715227000002</v>
      </c>
      <c r="BG125" s="1">
        <v>2346.4161875</v>
      </c>
      <c r="BH125" s="1">
        <v>1459.812165525</v>
      </c>
      <c r="BI125" s="1">
        <v>533.12282264500004</v>
      </c>
      <c r="BJ125" s="1">
        <v>1743.955486651</v>
      </c>
      <c r="BK125" s="1">
        <v>0</v>
      </c>
      <c r="BL125" s="1">
        <v>0</v>
      </c>
      <c r="BM125" s="1">
        <v>1651.7814328679999</v>
      </c>
      <c r="BN125" s="1">
        <v>3.0307164719999999</v>
      </c>
      <c r="BO125" s="1">
        <v>10877.053704713</v>
      </c>
      <c r="BP125" s="1">
        <v>0</v>
      </c>
      <c r="BQ125" s="1">
        <v>0</v>
      </c>
      <c r="BR125" s="1">
        <v>0</v>
      </c>
      <c r="BS125" s="1">
        <v>25870</v>
      </c>
      <c r="BT125" s="1">
        <v>0</v>
      </c>
      <c r="BU125" s="1">
        <v>0</v>
      </c>
      <c r="BV125" s="1">
        <v>2130</v>
      </c>
      <c r="BW125" s="1">
        <v>0</v>
      </c>
      <c r="BX125" s="1">
        <v>0</v>
      </c>
      <c r="BY125" s="1">
        <v>0</v>
      </c>
      <c r="BZ125" s="1">
        <v>0</v>
      </c>
      <c r="CA125" s="1">
        <v>0</v>
      </c>
      <c r="CB125" s="1">
        <v>27600</v>
      </c>
    </row>
    <row r="126" spans="2:80">
      <c r="B126">
        <v>124</v>
      </c>
      <c r="C126" s="1" t="s">
        <v>16</v>
      </c>
      <c r="D126" s="1" t="s">
        <v>19</v>
      </c>
      <c r="E126" s="1" t="s">
        <v>175</v>
      </c>
      <c r="F126" s="1" t="s">
        <v>172</v>
      </c>
      <c r="G126" s="1">
        <v>1167990</v>
      </c>
      <c r="H126" s="1">
        <v>14789094</v>
      </c>
      <c r="I126" s="1">
        <v>315037.84000000003</v>
      </c>
      <c r="J126" s="1">
        <v>174922.89</v>
      </c>
      <c r="K126" s="1">
        <v>55527.85</v>
      </c>
      <c r="L126" s="1">
        <v>186240.67</v>
      </c>
      <c r="M126" s="1">
        <v>0</v>
      </c>
      <c r="N126" s="1">
        <v>-2132.6999999999998</v>
      </c>
      <c r="O126" s="1">
        <v>-1112.068</v>
      </c>
      <c r="P126" s="1">
        <v>0</v>
      </c>
      <c r="Q126" s="1">
        <v>-1368.5840000000001</v>
      </c>
      <c r="R126" s="1">
        <v>-3066.5410000000002</v>
      </c>
      <c r="S126" s="1">
        <v>-9686.3940000000002</v>
      </c>
      <c r="T126" s="1">
        <v>1232.1790000000001</v>
      </c>
      <c r="U126" s="1">
        <v>778.36</v>
      </c>
      <c r="V126" s="1">
        <v>1753.213</v>
      </c>
      <c r="W126" s="1">
        <v>3146.58</v>
      </c>
      <c r="X126" s="1">
        <v>0</v>
      </c>
      <c r="Y126" s="1">
        <v>-10455.950000000001</v>
      </c>
      <c r="Z126" s="1">
        <v>-18540.817999999999</v>
      </c>
      <c r="AA126" s="1">
        <v>14718</v>
      </c>
      <c r="AB126" s="1">
        <v>0</v>
      </c>
      <c r="AC126" s="1">
        <v>1633181</v>
      </c>
      <c r="AD126" s="1">
        <v>173074</v>
      </c>
      <c r="AE126" s="1">
        <v>5731.5626642120005</v>
      </c>
      <c r="AF126" s="1">
        <v>0</v>
      </c>
      <c r="AG126" s="1">
        <v>10979.398406116001</v>
      </c>
      <c r="AH126" s="1">
        <v>32.924911942999998</v>
      </c>
      <c r="AI126" s="1">
        <v>3616.7812697730001</v>
      </c>
      <c r="AJ126" s="1">
        <v>128.02388015900002</v>
      </c>
      <c r="AK126" s="1">
        <v>3650.815396641</v>
      </c>
      <c r="AL126" s="1">
        <v>7030.9209181400001</v>
      </c>
      <c r="AM126" s="1">
        <v>0</v>
      </c>
      <c r="AN126" s="1">
        <v>0</v>
      </c>
      <c r="AO126" s="1">
        <v>4533.7197602200004</v>
      </c>
      <c r="AP126" s="1">
        <v>26.549485851</v>
      </c>
      <c r="AQ126" s="1">
        <v>0</v>
      </c>
      <c r="AR126" s="1">
        <v>0</v>
      </c>
      <c r="AS126" s="1">
        <v>0</v>
      </c>
      <c r="AT126" s="1">
        <v>18884.5</v>
      </c>
      <c r="AU126" s="1">
        <v>0</v>
      </c>
      <c r="AV126" s="1">
        <v>0</v>
      </c>
      <c r="AW126" s="1">
        <v>805.5</v>
      </c>
      <c r="AX126" s="1">
        <v>0</v>
      </c>
      <c r="AY126" s="1">
        <v>0</v>
      </c>
      <c r="AZ126" s="1">
        <v>0</v>
      </c>
      <c r="BA126" s="1">
        <v>0</v>
      </c>
      <c r="BB126" s="1">
        <v>0</v>
      </c>
      <c r="BC126" s="1">
        <v>1574.115910304</v>
      </c>
      <c r="BD126" s="1">
        <v>0</v>
      </c>
      <c r="BE126" s="1">
        <v>2890.951978481</v>
      </c>
      <c r="BF126" s="1">
        <v>18.006824443999999</v>
      </c>
      <c r="BG126" s="1">
        <v>1265.0169598499999</v>
      </c>
      <c r="BH126" s="1">
        <v>595.60063315899993</v>
      </c>
      <c r="BI126" s="1">
        <v>467.576753</v>
      </c>
      <c r="BJ126" s="1">
        <v>1887.7131539</v>
      </c>
      <c r="BK126" s="1">
        <v>0</v>
      </c>
      <c r="BL126" s="1">
        <v>0</v>
      </c>
      <c r="BM126" s="1">
        <v>1651.7814328679999</v>
      </c>
      <c r="BN126" s="1">
        <v>3.0307164719999999</v>
      </c>
      <c r="BO126" s="1">
        <v>9519.5418719940008</v>
      </c>
      <c r="BP126" s="1">
        <v>0</v>
      </c>
      <c r="BQ126" s="1">
        <v>0</v>
      </c>
      <c r="BR126" s="1">
        <v>0</v>
      </c>
      <c r="BS126" s="1">
        <v>22410</v>
      </c>
      <c r="BT126" s="1">
        <v>0</v>
      </c>
      <c r="BU126" s="1">
        <v>0</v>
      </c>
      <c r="BV126" s="1">
        <v>819.99999999999989</v>
      </c>
      <c r="BW126" s="1">
        <v>0</v>
      </c>
      <c r="BX126" s="1">
        <v>0</v>
      </c>
      <c r="BY126" s="1">
        <v>0</v>
      </c>
      <c r="BZ126" s="1">
        <v>0</v>
      </c>
      <c r="CA126" s="1">
        <v>0</v>
      </c>
      <c r="CB126" s="1">
        <v>22770</v>
      </c>
    </row>
    <row r="127" spans="2:80">
      <c r="B127">
        <v>125</v>
      </c>
      <c r="C127" s="1" t="s">
        <v>16</v>
      </c>
      <c r="D127" s="1" t="s">
        <v>19</v>
      </c>
      <c r="E127" s="1" t="s">
        <v>177</v>
      </c>
      <c r="F127" s="1" t="s">
        <v>174</v>
      </c>
      <c r="G127" s="1">
        <v>1167990</v>
      </c>
      <c r="H127" s="1">
        <v>14789094</v>
      </c>
      <c r="I127" s="1">
        <v>315037.84000000003</v>
      </c>
      <c r="J127" s="1">
        <v>174922.89</v>
      </c>
      <c r="K127" s="1">
        <v>55527.85</v>
      </c>
      <c r="L127" s="1">
        <v>186240.67</v>
      </c>
      <c r="M127" s="1">
        <v>0</v>
      </c>
      <c r="N127" s="1">
        <v>-2035.671</v>
      </c>
      <c r="O127" s="1">
        <v>-1105.962</v>
      </c>
      <c r="P127" s="1">
        <v>0</v>
      </c>
      <c r="Q127" s="1">
        <v>-1368.5840000000001</v>
      </c>
      <c r="R127" s="1">
        <v>-2432.857</v>
      </c>
      <c r="S127" s="1">
        <v>-9069.1219999999994</v>
      </c>
      <c r="T127" s="1">
        <v>1132.8900000000001</v>
      </c>
      <c r="U127" s="1">
        <v>652.86599999999999</v>
      </c>
      <c r="V127" s="1">
        <v>1919.6479999999999</v>
      </c>
      <c r="W127" s="1">
        <v>2738.8870000000002</v>
      </c>
      <c r="X127" s="1">
        <v>0</v>
      </c>
      <c r="Y127" s="1">
        <v>-9567.9040000000005</v>
      </c>
      <c r="Z127" s="1">
        <v>-28669.217000000001</v>
      </c>
      <c r="AA127" s="1">
        <v>14514</v>
      </c>
      <c r="AB127" s="1">
        <v>0</v>
      </c>
      <c r="AC127" s="1">
        <v>1663173</v>
      </c>
      <c r="AD127" s="1">
        <v>264407</v>
      </c>
      <c r="AE127" s="1">
        <v>7386.8492162430002</v>
      </c>
      <c r="AF127" s="1">
        <v>0</v>
      </c>
      <c r="AG127" s="1">
        <v>10979.398406116001</v>
      </c>
      <c r="AH127" s="1">
        <v>45.877129298</v>
      </c>
      <c r="AI127" s="1">
        <v>3661.8188086969999</v>
      </c>
      <c r="AJ127" s="1">
        <v>175.69964412000002</v>
      </c>
      <c r="AK127" s="1">
        <v>3489.9041471979999</v>
      </c>
      <c r="AL127" s="1">
        <v>6087.0848190040006</v>
      </c>
      <c r="AM127" s="1">
        <v>0</v>
      </c>
      <c r="AN127" s="1">
        <v>0</v>
      </c>
      <c r="AO127" s="1">
        <v>4533.7197602200004</v>
      </c>
      <c r="AP127" s="1">
        <v>26.549485851</v>
      </c>
      <c r="AQ127" s="1">
        <v>0</v>
      </c>
      <c r="AR127" s="1">
        <v>0</v>
      </c>
      <c r="AS127" s="1">
        <v>0</v>
      </c>
      <c r="AT127" s="1">
        <v>26507</v>
      </c>
      <c r="AU127" s="1">
        <v>0</v>
      </c>
      <c r="AV127" s="1">
        <v>0</v>
      </c>
      <c r="AW127" s="1">
        <v>3573.5</v>
      </c>
      <c r="AX127" s="1">
        <v>0</v>
      </c>
      <c r="AY127" s="1">
        <v>0</v>
      </c>
      <c r="AZ127" s="1">
        <v>0</v>
      </c>
      <c r="BA127" s="1">
        <v>0</v>
      </c>
      <c r="BB127" s="1">
        <v>0</v>
      </c>
      <c r="BC127" s="1">
        <v>2048.9008538319999</v>
      </c>
      <c r="BD127" s="1">
        <v>0</v>
      </c>
      <c r="BE127" s="1">
        <v>2890.951978481</v>
      </c>
      <c r="BF127" s="1">
        <v>18.071670855000001</v>
      </c>
      <c r="BG127" s="1">
        <v>2395.634613449</v>
      </c>
      <c r="BH127" s="1">
        <v>1525.778030357</v>
      </c>
      <c r="BI127" s="1">
        <v>534.92828324599998</v>
      </c>
      <c r="BJ127" s="1">
        <v>1820.0510434749999</v>
      </c>
      <c r="BK127" s="1">
        <v>0</v>
      </c>
      <c r="BL127" s="1">
        <v>0</v>
      </c>
      <c r="BM127" s="1">
        <v>1651.7814328679999</v>
      </c>
      <c r="BN127" s="1">
        <v>3.0307164719999999</v>
      </c>
      <c r="BO127" s="1">
        <v>11524.937609982999</v>
      </c>
      <c r="BP127" s="1">
        <v>0</v>
      </c>
      <c r="BQ127" s="1">
        <v>0</v>
      </c>
      <c r="BR127" s="1">
        <v>0</v>
      </c>
      <c r="BS127" s="1">
        <v>25540</v>
      </c>
      <c r="BT127" s="1">
        <v>0</v>
      </c>
      <c r="BU127" s="1">
        <v>0</v>
      </c>
      <c r="BV127" s="1">
        <v>2130</v>
      </c>
      <c r="BW127" s="1">
        <v>0</v>
      </c>
      <c r="BX127" s="1">
        <v>0</v>
      </c>
      <c r="BY127" s="1">
        <v>0</v>
      </c>
      <c r="BZ127" s="1">
        <v>0</v>
      </c>
      <c r="CA127" s="1">
        <v>0</v>
      </c>
      <c r="CB127" s="1">
        <v>27260.000000000004</v>
      </c>
    </row>
    <row r="128" spans="2:80">
      <c r="B128">
        <v>126</v>
      </c>
      <c r="C128" s="1" t="s">
        <v>16</v>
      </c>
      <c r="D128" s="1" t="s">
        <v>19</v>
      </c>
      <c r="E128" s="1" t="s">
        <v>179</v>
      </c>
      <c r="F128" s="1" t="s">
        <v>176</v>
      </c>
      <c r="G128" s="1">
        <v>1167990</v>
      </c>
      <c r="H128" s="1">
        <v>14789094</v>
      </c>
      <c r="I128" s="1">
        <v>315037.84000000003</v>
      </c>
      <c r="J128" s="1">
        <v>174922.89</v>
      </c>
      <c r="K128" s="1">
        <v>55527.85</v>
      </c>
      <c r="L128" s="1">
        <v>186240.67</v>
      </c>
      <c r="M128" s="1">
        <v>0</v>
      </c>
      <c r="N128" s="1">
        <v>-2035.671</v>
      </c>
      <c r="O128" s="1">
        <v>-1105.962</v>
      </c>
      <c r="P128" s="1">
        <v>0</v>
      </c>
      <c r="Q128" s="1">
        <v>-1368.5840000000001</v>
      </c>
      <c r="R128" s="1">
        <v>-2432.857</v>
      </c>
      <c r="S128" s="1">
        <v>-9069.1219999999994</v>
      </c>
      <c r="T128" s="1">
        <v>1132.8900000000001</v>
      </c>
      <c r="U128" s="1">
        <v>652.86599999999999</v>
      </c>
      <c r="V128" s="1">
        <v>1919.6479999999999</v>
      </c>
      <c r="W128" s="1">
        <v>2738.8870000000002</v>
      </c>
      <c r="X128" s="1">
        <v>0</v>
      </c>
      <c r="Y128" s="1">
        <v>-9567.9040000000005</v>
      </c>
      <c r="Z128" s="1">
        <v>-16824.813999999998</v>
      </c>
      <c r="AA128" s="1">
        <v>14512</v>
      </c>
      <c r="AB128" s="1">
        <v>0</v>
      </c>
      <c r="AC128" s="1">
        <v>1715587</v>
      </c>
      <c r="AD128" s="1">
        <v>157953</v>
      </c>
      <c r="AE128" s="1">
        <v>7386.8492162430002</v>
      </c>
      <c r="AF128" s="1">
        <v>0</v>
      </c>
      <c r="AG128" s="1">
        <v>10979.398406116001</v>
      </c>
      <c r="AH128" s="1">
        <v>30.600680054000001</v>
      </c>
      <c r="AI128" s="1">
        <v>3693.9860415220001</v>
      </c>
      <c r="AJ128" s="1">
        <v>141.07507361500001</v>
      </c>
      <c r="AK128" s="1">
        <v>3652.2966251870002</v>
      </c>
      <c r="AL128" s="1">
        <v>7089.1325174040003</v>
      </c>
      <c r="AM128" s="1">
        <v>0</v>
      </c>
      <c r="AN128" s="1">
        <v>0</v>
      </c>
      <c r="AO128" s="1">
        <v>4533.7197602200004</v>
      </c>
      <c r="AP128" s="1">
        <v>26.549485851</v>
      </c>
      <c r="AQ128" s="1">
        <v>0</v>
      </c>
      <c r="AR128" s="1">
        <v>0</v>
      </c>
      <c r="AS128" s="1">
        <v>0</v>
      </c>
      <c r="AT128" s="1">
        <v>17164.2</v>
      </c>
      <c r="AU128" s="1">
        <v>0</v>
      </c>
      <c r="AV128" s="1">
        <v>0</v>
      </c>
      <c r="AW128" s="1">
        <v>805.5</v>
      </c>
      <c r="AX128" s="1">
        <v>0</v>
      </c>
      <c r="AY128" s="1">
        <v>0</v>
      </c>
      <c r="AZ128" s="1">
        <v>0</v>
      </c>
      <c r="BA128" s="1">
        <v>0</v>
      </c>
      <c r="BB128" s="1">
        <v>0</v>
      </c>
      <c r="BC128" s="1">
        <v>2048.9008538319999</v>
      </c>
      <c r="BD128" s="1">
        <v>0</v>
      </c>
      <c r="BE128" s="1">
        <v>2890.951978481</v>
      </c>
      <c r="BF128" s="1">
        <v>17.948803971</v>
      </c>
      <c r="BG128" s="1">
        <v>1318.313883754</v>
      </c>
      <c r="BH128" s="1">
        <v>652.01018479099992</v>
      </c>
      <c r="BI128" s="1">
        <v>467.85661645799996</v>
      </c>
      <c r="BJ128" s="1">
        <v>1963.7541032199999</v>
      </c>
      <c r="BK128" s="1">
        <v>0</v>
      </c>
      <c r="BL128" s="1">
        <v>0</v>
      </c>
      <c r="BM128" s="1">
        <v>1651.7814328679999</v>
      </c>
      <c r="BN128" s="1">
        <v>3.0307164719999999</v>
      </c>
      <c r="BO128" s="1">
        <v>10172.210759801999</v>
      </c>
      <c r="BP128" s="1">
        <v>0</v>
      </c>
      <c r="BQ128" s="1">
        <v>0</v>
      </c>
      <c r="BR128" s="1">
        <v>0</v>
      </c>
      <c r="BS128" s="1">
        <v>22130</v>
      </c>
      <c r="BT128" s="1">
        <v>0</v>
      </c>
      <c r="BU128" s="1">
        <v>0</v>
      </c>
      <c r="BV128" s="1">
        <v>819.99999999999989</v>
      </c>
      <c r="BW128" s="1">
        <v>0</v>
      </c>
      <c r="BX128" s="1">
        <v>0</v>
      </c>
      <c r="BY128" s="1">
        <v>0</v>
      </c>
      <c r="BZ128" s="1">
        <v>0</v>
      </c>
      <c r="CA128" s="1">
        <v>0</v>
      </c>
      <c r="CB128" s="1">
        <v>22500</v>
      </c>
    </row>
    <row r="129" spans="2:80">
      <c r="B129">
        <v>127</v>
      </c>
      <c r="C129" s="1" t="s">
        <v>16</v>
      </c>
      <c r="D129" s="1" t="s">
        <v>19</v>
      </c>
      <c r="E129" s="1" t="s">
        <v>181</v>
      </c>
      <c r="F129" s="1" t="s">
        <v>178</v>
      </c>
      <c r="G129" s="1">
        <v>1167990</v>
      </c>
      <c r="H129" s="1">
        <v>14789094</v>
      </c>
      <c r="I129" s="1">
        <v>315037.84000000003</v>
      </c>
      <c r="J129" s="1">
        <v>174922.89</v>
      </c>
      <c r="K129" s="1">
        <v>55527.85</v>
      </c>
      <c r="L129" s="1">
        <v>186240.67</v>
      </c>
      <c r="M129" s="1">
        <v>0</v>
      </c>
      <c r="N129" s="1">
        <v>-2106.2669999999998</v>
      </c>
      <c r="O129" s="1">
        <v>-1109.0820000000001</v>
      </c>
      <c r="P129" s="1">
        <v>0</v>
      </c>
      <c r="Q129" s="1">
        <v>-1368.5840000000001</v>
      </c>
      <c r="R129" s="1">
        <v>-2542.893</v>
      </c>
      <c r="S129" s="1">
        <v>-9507.8259999999991</v>
      </c>
      <c r="T129" s="1">
        <v>1201.8920000000001</v>
      </c>
      <c r="U129" s="1">
        <v>739.84199999999998</v>
      </c>
      <c r="V129" s="1">
        <v>1685.9110000000001</v>
      </c>
      <c r="W129" s="1">
        <v>3022.0810000000001</v>
      </c>
      <c r="X129" s="1">
        <v>0</v>
      </c>
      <c r="Y129" s="1">
        <v>-9984.9279999999999</v>
      </c>
      <c r="Z129" s="1">
        <v>-29639.732</v>
      </c>
      <c r="AA129" s="1">
        <v>14579</v>
      </c>
      <c r="AB129" s="1">
        <v>0</v>
      </c>
      <c r="AC129" s="1">
        <v>1580824</v>
      </c>
      <c r="AD129" s="1">
        <v>272472</v>
      </c>
      <c r="AE129" s="1">
        <v>5731.5626642120005</v>
      </c>
      <c r="AF129" s="1">
        <v>0</v>
      </c>
      <c r="AG129" s="1">
        <v>10979.398406116001</v>
      </c>
      <c r="AH129" s="1">
        <v>46.501702625</v>
      </c>
      <c r="AI129" s="1">
        <v>3585.0065283829999</v>
      </c>
      <c r="AJ129" s="1">
        <v>163.757665589</v>
      </c>
      <c r="AK129" s="1">
        <v>3485.484352343</v>
      </c>
      <c r="AL129" s="1">
        <v>6033.2793627190003</v>
      </c>
      <c r="AM129" s="1">
        <v>0</v>
      </c>
      <c r="AN129" s="1">
        <v>0</v>
      </c>
      <c r="AO129" s="1">
        <v>4533.7197602200004</v>
      </c>
      <c r="AP129" s="1">
        <v>26.549485851</v>
      </c>
      <c r="AQ129" s="1">
        <v>0</v>
      </c>
      <c r="AR129" s="1">
        <v>0</v>
      </c>
      <c r="AS129" s="1">
        <v>0</v>
      </c>
      <c r="AT129" s="1">
        <v>27424.5</v>
      </c>
      <c r="AU129" s="1">
        <v>0</v>
      </c>
      <c r="AV129" s="1">
        <v>0</v>
      </c>
      <c r="AW129" s="1">
        <v>3573.5</v>
      </c>
      <c r="AX129" s="1">
        <v>0</v>
      </c>
      <c r="AY129" s="1">
        <v>0</v>
      </c>
      <c r="AZ129" s="1">
        <v>0</v>
      </c>
      <c r="BA129" s="1">
        <v>0</v>
      </c>
      <c r="BB129" s="1">
        <v>0</v>
      </c>
      <c r="BC129" s="1">
        <v>1574.115910304</v>
      </c>
      <c r="BD129" s="1">
        <v>0</v>
      </c>
      <c r="BE129" s="1">
        <v>2890.951978481</v>
      </c>
      <c r="BF129" s="1">
        <v>18.027302257999999</v>
      </c>
      <c r="BG129" s="1">
        <v>2333.7950281379999</v>
      </c>
      <c r="BH129" s="1">
        <v>1442.2797437720001</v>
      </c>
      <c r="BI129" s="1">
        <v>532.61770323299993</v>
      </c>
      <c r="BJ129" s="1">
        <v>1751.7302300329998</v>
      </c>
      <c r="BK129" s="1">
        <v>0</v>
      </c>
      <c r="BL129" s="1">
        <v>0</v>
      </c>
      <c r="BM129" s="1">
        <v>1651.7814328679999</v>
      </c>
      <c r="BN129" s="1">
        <v>3.0307164719999999</v>
      </c>
      <c r="BO129" s="1">
        <v>10869.528108068</v>
      </c>
      <c r="BP129" s="1">
        <v>0</v>
      </c>
      <c r="BQ129" s="1">
        <v>0</v>
      </c>
      <c r="BR129" s="1">
        <v>0</v>
      </c>
      <c r="BS129" s="1">
        <v>25610.000000000004</v>
      </c>
      <c r="BT129" s="1">
        <v>0</v>
      </c>
      <c r="BU129" s="1">
        <v>0</v>
      </c>
      <c r="BV129" s="1">
        <v>2130</v>
      </c>
      <c r="BW129" s="1">
        <v>0</v>
      </c>
      <c r="BX129" s="1">
        <v>0</v>
      </c>
      <c r="BY129" s="1">
        <v>0</v>
      </c>
      <c r="BZ129" s="1">
        <v>0</v>
      </c>
      <c r="CA129" s="1">
        <v>0</v>
      </c>
      <c r="CB129" s="1">
        <v>27330</v>
      </c>
    </row>
    <row r="130" spans="2:80">
      <c r="B130">
        <v>128</v>
      </c>
      <c r="C130" s="1" t="s">
        <v>16</v>
      </c>
      <c r="D130" s="1" t="s">
        <v>19</v>
      </c>
      <c r="E130" s="1" t="s">
        <v>183</v>
      </c>
      <c r="F130" s="1" t="s">
        <v>180</v>
      </c>
      <c r="G130" s="1">
        <v>1167990</v>
      </c>
      <c r="H130" s="1">
        <v>14789094</v>
      </c>
      <c r="I130" s="1">
        <v>315037.84000000003</v>
      </c>
      <c r="J130" s="1">
        <v>174922.89</v>
      </c>
      <c r="K130" s="1">
        <v>55527.85</v>
      </c>
      <c r="L130" s="1">
        <v>186240.67</v>
      </c>
      <c r="M130" s="1">
        <v>0</v>
      </c>
      <c r="N130" s="1">
        <v>-2106.2669999999998</v>
      </c>
      <c r="O130" s="1">
        <v>-1109.0820000000001</v>
      </c>
      <c r="P130" s="1">
        <v>0</v>
      </c>
      <c r="Q130" s="1">
        <v>-1368.5840000000001</v>
      </c>
      <c r="R130" s="1">
        <v>-2542.893</v>
      </c>
      <c r="S130" s="1">
        <v>-9507.8259999999991</v>
      </c>
      <c r="T130" s="1">
        <v>1201.8920000000001</v>
      </c>
      <c r="U130" s="1">
        <v>739.84199999999998</v>
      </c>
      <c r="V130" s="1">
        <v>1685.9110000000001</v>
      </c>
      <c r="W130" s="1">
        <v>3022.0810000000001</v>
      </c>
      <c r="X130" s="1">
        <v>0</v>
      </c>
      <c r="Y130" s="1">
        <v>-9984.9279999999999</v>
      </c>
      <c r="Z130" s="1">
        <v>-17793.205000000002</v>
      </c>
      <c r="AA130" s="1">
        <v>14578</v>
      </c>
      <c r="AB130" s="1">
        <v>0</v>
      </c>
      <c r="AC130" s="1">
        <v>1633367</v>
      </c>
      <c r="AD130" s="1">
        <v>166702</v>
      </c>
      <c r="AE130" s="1">
        <v>5731.5626642120005</v>
      </c>
      <c r="AF130" s="1">
        <v>0</v>
      </c>
      <c r="AG130" s="1">
        <v>10979.398406116001</v>
      </c>
      <c r="AH130" s="1">
        <v>32.208188452999998</v>
      </c>
      <c r="AI130" s="1">
        <v>3618.1805870630001</v>
      </c>
      <c r="AJ130" s="1">
        <v>128.94196882</v>
      </c>
      <c r="AK130" s="1">
        <v>3648.6549872640003</v>
      </c>
      <c r="AL130" s="1">
        <v>7035.5659689490003</v>
      </c>
      <c r="AM130" s="1">
        <v>0</v>
      </c>
      <c r="AN130" s="1">
        <v>0</v>
      </c>
      <c r="AO130" s="1">
        <v>4533.7197602200004</v>
      </c>
      <c r="AP130" s="1">
        <v>26.549485851</v>
      </c>
      <c r="AQ130" s="1">
        <v>0</v>
      </c>
      <c r="AR130" s="1">
        <v>0</v>
      </c>
      <c r="AS130" s="1">
        <v>0</v>
      </c>
      <c r="AT130" s="1">
        <v>18159.400000000001</v>
      </c>
      <c r="AU130" s="1">
        <v>0</v>
      </c>
      <c r="AV130" s="1">
        <v>0</v>
      </c>
      <c r="AW130" s="1">
        <v>805.5</v>
      </c>
      <c r="AX130" s="1">
        <v>0</v>
      </c>
      <c r="AY130" s="1">
        <v>0</v>
      </c>
      <c r="AZ130" s="1">
        <v>0</v>
      </c>
      <c r="BA130" s="1">
        <v>0</v>
      </c>
      <c r="BB130" s="1">
        <v>0</v>
      </c>
      <c r="BC130" s="1">
        <v>1574.115910304</v>
      </c>
      <c r="BD130" s="1">
        <v>0</v>
      </c>
      <c r="BE130" s="1">
        <v>2890.951978481</v>
      </c>
      <c r="BF130" s="1">
        <v>18.051193040999998</v>
      </c>
      <c r="BG130" s="1">
        <v>1251.5664490209999</v>
      </c>
      <c r="BH130" s="1">
        <v>584.93169206499999</v>
      </c>
      <c r="BI130" s="1">
        <v>467.13989296800003</v>
      </c>
      <c r="BJ130" s="1">
        <v>1895.965712942</v>
      </c>
      <c r="BK130" s="1">
        <v>0</v>
      </c>
      <c r="BL130" s="1">
        <v>0</v>
      </c>
      <c r="BM130" s="1">
        <v>1651.7814328679999</v>
      </c>
      <c r="BN130" s="1">
        <v>3.0307164719999999</v>
      </c>
      <c r="BO130" s="1">
        <v>9511.8592787750003</v>
      </c>
      <c r="BP130" s="1">
        <v>0</v>
      </c>
      <c r="BQ130" s="1">
        <v>0</v>
      </c>
      <c r="BR130" s="1">
        <v>0</v>
      </c>
      <c r="BS130" s="1">
        <v>22190</v>
      </c>
      <c r="BT130" s="1">
        <v>0</v>
      </c>
      <c r="BU130" s="1">
        <v>0</v>
      </c>
      <c r="BV130" s="1">
        <v>819.99999999999989</v>
      </c>
      <c r="BW130" s="1">
        <v>0</v>
      </c>
      <c r="BX130" s="1">
        <v>0</v>
      </c>
      <c r="BY130" s="1">
        <v>0</v>
      </c>
      <c r="BZ130" s="1">
        <v>0</v>
      </c>
      <c r="CA130" s="1">
        <v>0</v>
      </c>
      <c r="CB130" s="1">
        <v>22560</v>
      </c>
    </row>
    <row r="131" spans="2:80">
      <c r="B131">
        <v>129</v>
      </c>
      <c r="C131" s="1" t="s">
        <v>16</v>
      </c>
      <c r="D131" s="1" t="s">
        <v>19</v>
      </c>
      <c r="E131" s="1" t="s">
        <v>185</v>
      </c>
      <c r="F131" s="1" t="s">
        <v>182</v>
      </c>
      <c r="G131" s="1">
        <v>1167990</v>
      </c>
      <c r="H131" s="1">
        <v>14789094</v>
      </c>
      <c r="I131" s="1">
        <v>315037.84000000003</v>
      </c>
      <c r="J131" s="1">
        <v>174922.89</v>
      </c>
      <c r="K131" s="1">
        <v>55527.85</v>
      </c>
      <c r="L131" s="1">
        <v>186240.67</v>
      </c>
      <c r="M131" s="1">
        <v>0</v>
      </c>
      <c r="N131" s="1">
        <v>-1919.807</v>
      </c>
      <c r="O131" s="1">
        <v>-1105.069</v>
      </c>
      <c r="P131" s="1">
        <v>0</v>
      </c>
      <c r="Q131" s="1">
        <v>-1368.5840000000001</v>
      </c>
      <c r="R131" s="1">
        <v>-2635.7860000000001</v>
      </c>
      <c r="S131" s="1">
        <v>-6090.3630000000003</v>
      </c>
      <c r="T131" s="1">
        <v>944.85199999999998</v>
      </c>
      <c r="U131" s="1">
        <v>536.35500000000002</v>
      </c>
      <c r="V131" s="1">
        <v>1614.4349999999999</v>
      </c>
      <c r="W131" s="1">
        <v>2288.1080000000002</v>
      </c>
      <c r="X131" s="1">
        <v>0</v>
      </c>
      <c r="Y131" s="1">
        <v>-7735.8580000000002</v>
      </c>
      <c r="Z131" s="1">
        <v>-26445.143</v>
      </c>
      <c r="AA131" s="1">
        <v>14391</v>
      </c>
      <c r="AB131" s="1">
        <v>0</v>
      </c>
      <c r="AC131" s="1">
        <v>1665373</v>
      </c>
      <c r="AD131" s="1">
        <v>245908</v>
      </c>
      <c r="AE131" s="1">
        <v>7386.8492162430002</v>
      </c>
      <c r="AF131" s="1">
        <v>0</v>
      </c>
      <c r="AG131" s="1">
        <v>10979.398406116001</v>
      </c>
      <c r="AH131" s="1">
        <v>44.911259071000003</v>
      </c>
      <c r="AI131" s="1">
        <v>3681.2693190280002</v>
      </c>
      <c r="AJ131" s="1">
        <v>182.409541174</v>
      </c>
      <c r="AK131" s="1">
        <v>3487.8631917359999</v>
      </c>
      <c r="AL131" s="1">
        <v>6112.0882298980005</v>
      </c>
      <c r="AM131" s="1">
        <v>0</v>
      </c>
      <c r="AN131" s="1">
        <v>0</v>
      </c>
      <c r="AO131" s="1">
        <v>4533.7197602200004</v>
      </c>
      <c r="AP131" s="1">
        <v>26.549485851</v>
      </c>
      <c r="AQ131" s="1">
        <v>0</v>
      </c>
      <c r="AR131" s="1">
        <v>0</v>
      </c>
      <c r="AS131" s="1">
        <v>0</v>
      </c>
      <c r="AT131" s="1">
        <v>24402.400000000001</v>
      </c>
      <c r="AU131" s="1">
        <v>0</v>
      </c>
      <c r="AV131" s="1">
        <v>0</v>
      </c>
      <c r="AW131" s="1">
        <v>3573.5</v>
      </c>
      <c r="AX131" s="1">
        <v>0</v>
      </c>
      <c r="AY131" s="1">
        <v>0</v>
      </c>
      <c r="AZ131" s="1">
        <v>0</v>
      </c>
      <c r="BA131" s="1">
        <v>0</v>
      </c>
      <c r="BB131" s="1">
        <v>0</v>
      </c>
      <c r="BC131" s="1">
        <v>2048.9008538319999</v>
      </c>
      <c r="BD131" s="1">
        <v>0</v>
      </c>
      <c r="BE131" s="1">
        <v>2890.951978481</v>
      </c>
      <c r="BF131" s="1">
        <v>18.054606010000001</v>
      </c>
      <c r="BG131" s="1">
        <v>2412.675567666</v>
      </c>
      <c r="BH131" s="1">
        <v>1549.330929426</v>
      </c>
      <c r="BI131" s="1">
        <v>535.66207158100008</v>
      </c>
      <c r="BJ131" s="1">
        <v>1851.2182763830001</v>
      </c>
      <c r="BK131" s="1">
        <v>0</v>
      </c>
      <c r="BL131" s="1">
        <v>0</v>
      </c>
      <c r="BM131" s="1">
        <v>1651.7814328679999</v>
      </c>
      <c r="BN131" s="1">
        <v>3.0307164719999999</v>
      </c>
      <c r="BO131" s="1">
        <v>11598.797672111999</v>
      </c>
      <c r="BP131" s="1">
        <v>0</v>
      </c>
      <c r="BQ131" s="1">
        <v>0</v>
      </c>
      <c r="BR131" s="1">
        <v>0</v>
      </c>
      <c r="BS131" s="1">
        <v>24710</v>
      </c>
      <c r="BT131" s="1">
        <v>0</v>
      </c>
      <c r="BU131" s="1">
        <v>0</v>
      </c>
      <c r="BV131" s="1">
        <v>2130</v>
      </c>
      <c r="BW131" s="1">
        <v>0</v>
      </c>
      <c r="BX131" s="1">
        <v>0</v>
      </c>
      <c r="BY131" s="1">
        <v>0</v>
      </c>
      <c r="BZ131" s="1">
        <v>0</v>
      </c>
      <c r="CA131" s="1">
        <v>0</v>
      </c>
      <c r="CB131" s="1">
        <v>26430</v>
      </c>
    </row>
    <row r="132" spans="2:80">
      <c r="B132">
        <v>130</v>
      </c>
      <c r="C132" s="1" t="s">
        <v>16</v>
      </c>
      <c r="D132" s="1" t="s">
        <v>19</v>
      </c>
      <c r="E132" s="1" t="s">
        <v>187</v>
      </c>
      <c r="F132" s="1" t="s">
        <v>253</v>
      </c>
      <c r="G132" s="1">
        <v>1167990</v>
      </c>
      <c r="H132" s="1">
        <v>14789094</v>
      </c>
      <c r="I132" s="1">
        <v>315037.84000000003</v>
      </c>
      <c r="J132" s="1">
        <v>174922.89</v>
      </c>
      <c r="K132" s="1">
        <v>55527.85</v>
      </c>
      <c r="L132" s="1">
        <v>186240.67</v>
      </c>
      <c r="M132" s="1">
        <v>0</v>
      </c>
      <c r="N132" s="1">
        <v>-1919.807</v>
      </c>
      <c r="O132" s="1">
        <v>-1105.069</v>
      </c>
      <c r="P132" s="1">
        <v>0</v>
      </c>
      <c r="Q132" s="1">
        <v>-1368.5840000000001</v>
      </c>
      <c r="R132" s="1">
        <v>-2635.7860000000001</v>
      </c>
      <c r="S132" s="1">
        <v>-6090.3630000000003</v>
      </c>
      <c r="T132" s="1">
        <v>944.85199999999998</v>
      </c>
      <c r="U132" s="1">
        <v>536.35500000000002</v>
      </c>
      <c r="V132" s="1">
        <v>1614.4349999999999</v>
      </c>
      <c r="W132" s="1">
        <v>2288.1080000000002</v>
      </c>
      <c r="X132" s="1">
        <v>0</v>
      </c>
      <c r="Y132" s="1">
        <v>-7735.8580000000002</v>
      </c>
      <c r="Z132" s="1">
        <v>-14604.075000000001</v>
      </c>
      <c r="AA132" s="1">
        <v>14389</v>
      </c>
      <c r="AB132" s="1">
        <v>0</v>
      </c>
      <c r="AC132" s="1">
        <v>1717811</v>
      </c>
      <c r="AD132" s="1">
        <v>138583</v>
      </c>
      <c r="AE132" s="1">
        <v>7386.8492162430002</v>
      </c>
      <c r="AF132" s="1">
        <v>0</v>
      </c>
      <c r="AG132" s="1">
        <v>10979.398406116001</v>
      </c>
      <c r="AH132" s="1">
        <v>28.071670025</v>
      </c>
      <c r="AI132" s="1">
        <v>3717.4502033970002</v>
      </c>
      <c r="AJ132" s="1">
        <v>147.82933926600001</v>
      </c>
      <c r="AK132" s="1">
        <v>3648.0713695650002</v>
      </c>
      <c r="AL132" s="1">
        <v>7114.3372934690005</v>
      </c>
      <c r="AM132" s="1">
        <v>0</v>
      </c>
      <c r="AN132" s="1">
        <v>0</v>
      </c>
      <c r="AO132" s="1">
        <v>4533.7197602200004</v>
      </c>
      <c r="AP132" s="1">
        <v>26.549485851</v>
      </c>
      <c r="AQ132" s="1">
        <v>0</v>
      </c>
      <c r="AR132" s="1">
        <v>0</v>
      </c>
      <c r="AS132" s="1">
        <v>0</v>
      </c>
      <c r="AT132" s="1">
        <v>14960.6</v>
      </c>
      <c r="AU132" s="1">
        <v>0</v>
      </c>
      <c r="AV132" s="1">
        <v>0</v>
      </c>
      <c r="AW132" s="1">
        <v>805.5</v>
      </c>
      <c r="AX132" s="1">
        <v>0</v>
      </c>
      <c r="AY132" s="1">
        <v>0</v>
      </c>
      <c r="AZ132" s="1">
        <v>0</v>
      </c>
      <c r="BA132" s="1">
        <v>0</v>
      </c>
      <c r="BB132" s="1">
        <v>0</v>
      </c>
      <c r="BC132" s="1">
        <v>2048.9008538319999</v>
      </c>
      <c r="BD132" s="1">
        <v>0</v>
      </c>
      <c r="BE132" s="1">
        <v>2890.951978481</v>
      </c>
      <c r="BF132" s="1">
        <v>17.996585536999998</v>
      </c>
      <c r="BG132" s="1">
        <v>1336.955520432</v>
      </c>
      <c r="BH132" s="1">
        <v>669.27980793099994</v>
      </c>
      <c r="BI132" s="1">
        <v>466.26958587299998</v>
      </c>
      <c r="BJ132" s="1">
        <v>1995.1329402059998</v>
      </c>
      <c r="BK132" s="1">
        <v>0</v>
      </c>
      <c r="BL132" s="1">
        <v>0</v>
      </c>
      <c r="BM132" s="1">
        <v>1651.7814328679999</v>
      </c>
      <c r="BN132" s="1">
        <v>3.0307164719999999</v>
      </c>
      <c r="BO132" s="1">
        <v>10249.647613442999</v>
      </c>
      <c r="BP132" s="1">
        <v>0</v>
      </c>
      <c r="BQ132" s="1">
        <v>0</v>
      </c>
      <c r="BR132" s="1">
        <v>0</v>
      </c>
      <c r="BS132" s="1">
        <v>21320</v>
      </c>
      <c r="BT132" s="1">
        <v>0</v>
      </c>
      <c r="BU132" s="1">
        <v>0</v>
      </c>
      <c r="BV132" s="1">
        <v>819.99999999999989</v>
      </c>
      <c r="BW132" s="1">
        <v>0</v>
      </c>
      <c r="BX132" s="1">
        <v>0</v>
      </c>
      <c r="BY132" s="1">
        <v>0</v>
      </c>
      <c r="BZ132" s="1">
        <v>0</v>
      </c>
      <c r="CA132" s="1">
        <v>0</v>
      </c>
      <c r="CB132" s="1">
        <v>21690</v>
      </c>
    </row>
    <row r="133" spans="2:80">
      <c r="B133">
        <v>131</v>
      </c>
      <c r="C133" s="1" t="s">
        <v>16</v>
      </c>
      <c r="D133" s="1" t="s">
        <v>19</v>
      </c>
      <c r="E133" s="1" t="s">
        <v>189</v>
      </c>
      <c r="F133" s="1" t="s">
        <v>254</v>
      </c>
      <c r="G133" s="1">
        <v>1167990</v>
      </c>
      <c r="H133" s="1">
        <v>14789094</v>
      </c>
      <c r="I133" s="1">
        <v>315037.84000000003</v>
      </c>
      <c r="J133" s="1">
        <v>174922.89</v>
      </c>
      <c r="K133" s="1">
        <v>55527.85</v>
      </c>
      <c r="L133" s="1">
        <v>186240.67</v>
      </c>
      <c r="M133" s="1">
        <v>0</v>
      </c>
      <c r="N133" s="1">
        <v>-1980.672</v>
      </c>
      <c r="O133" s="1">
        <v>-1108.2760000000001</v>
      </c>
      <c r="P133" s="1">
        <v>0</v>
      </c>
      <c r="Q133" s="1">
        <v>-1368.5840000000001</v>
      </c>
      <c r="R133" s="1">
        <v>-2743.4720000000002</v>
      </c>
      <c r="S133" s="1">
        <v>-6354.567</v>
      </c>
      <c r="T133" s="1">
        <v>999.91899999999998</v>
      </c>
      <c r="U133" s="1">
        <v>592.93600000000004</v>
      </c>
      <c r="V133" s="1">
        <v>1407.0509999999999</v>
      </c>
      <c r="W133" s="1">
        <v>2487.569</v>
      </c>
      <c r="X133" s="1">
        <v>0</v>
      </c>
      <c r="Y133" s="1">
        <v>-8068.0969999999998</v>
      </c>
      <c r="Z133" s="1">
        <v>-27360.708999999999</v>
      </c>
      <c r="AA133" s="1">
        <v>14465</v>
      </c>
      <c r="AB133" s="1">
        <v>0</v>
      </c>
      <c r="AC133" s="1">
        <v>1582524</v>
      </c>
      <c r="AD133" s="1">
        <v>253730</v>
      </c>
      <c r="AE133" s="1">
        <v>5731.5626642120005</v>
      </c>
      <c r="AF133" s="1">
        <v>0</v>
      </c>
      <c r="AG133" s="1">
        <v>10979.398406116001</v>
      </c>
      <c r="AH133" s="1">
        <v>45.645047406000003</v>
      </c>
      <c r="AI133" s="1">
        <v>3598.9075511199999</v>
      </c>
      <c r="AJ133" s="1">
        <v>169.12626582600001</v>
      </c>
      <c r="AK133" s="1">
        <v>3482.4160932119999</v>
      </c>
      <c r="AL133" s="1">
        <v>6055.0950605670005</v>
      </c>
      <c r="AM133" s="1">
        <v>0</v>
      </c>
      <c r="AN133" s="1">
        <v>0</v>
      </c>
      <c r="AO133" s="1">
        <v>4533.7197602200004</v>
      </c>
      <c r="AP133" s="1">
        <v>26.549485851</v>
      </c>
      <c r="AQ133" s="1">
        <v>0</v>
      </c>
      <c r="AR133" s="1">
        <v>0</v>
      </c>
      <c r="AS133" s="1">
        <v>0</v>
      </c>
      <c r="AT133" s="1">
        <v>25292.3</v>
      </c>
      <c r="AU133" s="1">
        <v>0</v>
      </c>
      <c r="AV133" s="1">
        <v>0</v>
      </c>
      <c r="AW133" s="1">
        <v>3573.5</v>
      </c>
      <c r="AX133" s="1">
        <v>0</v>
      </c>
      <c r="AY133" s="1">
        <v>0</v>
      </c>
      <c r="AZ133" s="1">
        <v>0</v>
      </c>
      <c r="BA133" s="1">
        <v>0</v>
      </c>
      <c r="BB133" s="1">
        <v>0</v>
      </c>
      <c r="BC133" s="1">
        <v>1574.115910304</v>
      </c>
      <c r="BD133" s="1">
        <v>0</v>
      </c>
      <c r="BE133" s="1">
        <v>2890.951978481</v>
      </c>
      <c r="BF133" s="1">
        <v>18.02047632</v>
      </c>
      <c r="BG133" s="1">
        <v>2349.535641166</v>
      </c>
      <c r="BH133" s="1">
        <v>1463.709776123</v>
      </c>
      <c r="BI133" s="1">
        <v>533.29005812599996</v>
      </c>
      <c r="BJ133" s="1">
        <v>1781.4537770540001</v>
      </c>
      <c r="BK133" s="1">
        <v>0</v>
      </c>
      <c r="BL133" s="1">
        <v>0</v>
      </c>
      <c r="BM133" s="1">
        <v>1651.7814328679999</v>
      </c>
      <c r="BN133" s="1">
        <v>3.0307164719999999</v>
      </c>
      <c r="BO133" s="1">
        <v>10937.954723548999</v>
      </c>
      <c r="BP133" s="1">
        <v>0</v>
      </c>
      <c r="BQ133" s="1">
        <v>0</v>
      </c>
      <c r="BR133" s="1">
        <v>0</v>
      </c>
      <c r="BS133" s="1">
        <v>24790</v>
      </c>
      <c r="BT133" s="1">
        <v>0</v>
      </c>
      <c r="BU133" s="1">
        <v>0</v>
      </c>
      <c r="BV133" s="1">
        <v>2130</v>
      </c>
      <c r="BW133" s="1">
        <v>0</v>
      </c>
      <c r="BX133" s="1">
        <v>0</v>
      </c>
      <c r="BY133" s="1">
        <v>0</v>
      </c>
      <c r="BZ133" s="1">
        <v>0</v>
      </c>
      <c r="CA133" s="1">
        <v>0</v>
      </c>
      <c r="CB133" s="1">
        <v>26510.000000000004</v>
      </c>
    </row>
    <row r="134" spans="2:80">
      <c r="B134">
        <v>132</v>
      </c>
      <c r="C134" s="1" t="s">
        <v>16</v>
      </c>
      <c r="D134" s="1" t="s">
        <v>19</v>
      </c>
      <c r="E134" s="1" t="s">
        <v>191</v>
      </c>
      <c r="F134" s="1" t="s">
        <v>255</v>
      </c>
      <c r="G134" s="1">
        <v>1167990</v>
      </c>
      <c r="H134" s="1">
        <v>14789094</v>
      </c>
      <c r="I134" s="1">
        <v>315037.84000000003</v>
      </c>
      <c r="J134" s="1">
        <v>174922.89</v>
      </c>
      <c r="K134" s="1">
        <v>55527.85</v>
      </c>
      <c r="L134" s="1">
        <v>186240.67</v>
      </c>
      <c r="M134" s="1">
        <v>0</v>
      </c>
      <c r="N134" s="1">
        <v>-1980.672</v>
      </c>
      <c r="O134" s="1">
        <v>-1108.2760000000001</v>
      </c>
      <c r="P134" s="1">
        <v>0</v>
      </c>
      <c r="Q134" s="1">
        <v>-1368.5840000000001</v>
      </c>
      <c r="R134" s="1">
        <v>-2743.4720000000002</v>
      </c>
      <c r="S134" s="1">
        <v>-6354.567</v>
      </c>
      <c r="T134" s="1">
        <v>999.91899999999998</v>
      </c>
      <c r="U134" s="1">
        <v>592.93600000000004</v>
      </c>
      <c r="V134" s="1">
        <v>1407.0509999999999</v>
      </c>
      <c r="W134" s="1">
        <v>2487.569</v>
      </c>
      <c r="X134" s="1">
        <v>0</v>
      </c>
      <c r="Y134" s="1">
        <v>-8068.0969999999998</v>
      </c>
      <c r="Z134" s="1">
        <v>-15516.529</v>
      </c>
      <c r="AA134" s="1">
        <v>14463</v>
      </c>
      <c r="AB134" s="1">
        <v>0</v>
      </c>
      <c r="AC134" s="1">
        <v>1635259</v>
      </c>
      <c r="AD134" s="1">
        <v>147013</v>
      </c>
      <c r="AE134" s="1">
        <v>5731.5626642120005</v>
      </c>
      <c r="AF134" s="1">
        <v>0</v>
      </c>
      <c r="AG134" s="1">
        <v>10979.398406116001</v>
      </c>
      <c r="AH134" s="1">
        <v>29.761089680000001</v>
      </c>
      <c r="AI134" s="1">
        <v>3638.7095955979999</v>
      </c>
      <c r="AJ134" s="1">
        <v>134.94879426</v>
      </c>
      <c r="AK134" s="1">
        <v>3644.0031105170001</v>
      </c>
      <c r="AL134" s="1">
        <v>7057.5250114950004</v>
      </c>
      <c r="AM134" s="1">
        <v>0</v>
      </c>
      <c r="AN134" s="1">
        <v>0</v>
      </c>
      <c r="AO134" s="1">
        <v>4533.7197602200004</v>
      </c>
      <c r="AP134" s="1">
        <v>26.549485851</v>
      </c>
      <c r="AQ134" s="1">
        <v>0</v>
      </c>
      <c r="AR134" s="1">
        <v>0</v>
      </c>
      <c r="AS134" s="1">
        <v>0</v>
      </c>
      <c r="AT134" s="1">
        <v>15919.6</v>
      </c>
      <c r="AU134" s="1">
        <v>0</v>
      </c>
      <c r="AV134" s="1">
        <v>0</v>
      </c>
      <c r="AW134" s="1">
        <v>805.5</v>
      </c>
      <c r="AX134" s="1">
        <v>0</v>
      </c>
      <c r="AY134" s="1">
        <v>0</v>
      </c>
      <c r="AZ134" s="1">
        <v>0</v>
      </c>
      <c r="BA134" s="1">
        <v>0</v>
      </c>
      <c r="BB134" s="1">
        <v>0</v>
      </c>
      <c r="BC134" s="1">
        <v>1574.115910304</v>
      </c>
      <c r="BD134" s="1">
        <v>0</v>
      </c>
      <c r="BE134" s="1">
        <v>2890.951978481</v>
      </c>
      <c r="BF134" s="1">
        <v>18.037541165</v>
      </c>
      <c r="BG134" s="1">
        <v>1268.1159357019999</v>
      </c>
      <c r="BH134" s="1">
        <v>600.35148600699995</v>
      </c>
      <c r="BI134" s="1">
        <v>465.64159957699997</v>
      </c>
      <c r="BJ134" s="1">
        <v>1925.6926729319998</v>
      </c>
      <c r="BK134" s="1">
        <v>0</v>
      </c>
      <c r="BL134" s="1">
        <v>0</v>
      </c>
      <c r="BM134" s="1">
        <v>1651.7814328679999</v>
      </c>
      <c r="BN134" s="1">
        <v>3.0307164719999999</v>
      </c>
      <c r="BO134" s="1">
        <v>9582.3370886249995</v>
      </c>
      <c r="BP134" s="1">
        <v>0</v>
      </c>
      <c r="BQ134" s="1">
        <v>0</v>
      </c>
      <c r="BR134" s="1">
        <v>0</v>
      </c>
      <c r="BS134" s="1">
        <v>21420</v>
      </c>
      <c r="BT134" s="1">
        <v>0</v>
      </c>
      <c r="BU134" s="1">
        <v>0</v>
      </c>
      <c r="BV134" s="1">
        <v>819.99999999999989</v>
      </c>
      <c r="BW134" s="1">
        <v>0</v>
      </c>
      <c r="BX134" s="1">
        <v>0</v>
      </c>
      <c r="BY134" s="1">
        <v>0</v>
      </c>
      <c r="BZ134" s="1">
        <v>0</v>
      </c>
      <c r="CA134" s="1">
        <v>0</v>
      </c>
      <c r="CB134" s="1">
        <v>21780</v>
      </c>
    </row>
    <row r="135" spans="2:80">
      <c r="B135">
        <v>133</v>
      </c>
      <c r="C135" s="1" t="s">
        <v>16</v>
      </c>
      <c r="D135" s="1" t="s">
        <v>19</v>
      </c>
      <c r="E135" s="1" t="s">
        <v>193</v>
      </c>
      <c r="F135" s="1" t="s">
        <v>190</v>
      </c>
      <c r="G135" s="1">
        <v>1167990</v>
      </c>
      <c r="H135" s="1">
        <v>14789094</v>
      </c>
      <c r="I135" s="1">
        <v>315037.84000000003</v>
      </c>
      <c r="J135" s="1">
        <v>174922.89</v>
      </c>
      <c r="K135" s="1">
        <v>55527.85</v>
      </c>
      <c r="L135" s="1">
        <v>186240.67</v>
      </c>
      <c r="M135" s="1">
        <v>0</v>
      </c>
      <c r="N135" s="1">
        <v>-1890.9670000000001</v>
      </c>
      <c r="O135" s="1">
        <v>-1101.0329999999999</v>
      </c>
      <c r="P135" s="1">
        <v>0</v>
      </c>
      <c r="Q135" s="1">
        <v>-1368.5840000000001</v>
      </c>
      <c r="R135" s="1">
        <v>-2175.5140000000001</v>
      </c>
      <c r="S135" s="1">
        <v>-5960.7030000000004</v>
      </c>
      <c r="T135" s="1">
        <v>915.14400000000001</v>
      </c>
      <c r="U135" s="1">
        <v>509.03399999999999</v>
      </c>
      <c r="V135" s="1">
        <v>1549.085</v>
      </c>
      <c r="W135" s="1">
        <v>2194.663</v>
      </c>
      <c r="X135" s="1">
        <v>0</v>
      </c>
      <c r="Y135" s="1">
        <v>-7328.8739999999998</v>
      </c>
      <c r="Z135" s="1">
        <v>-25715.548999999999</v>
      </c>
      <c r="AA135" s="1">
        <v>14242</v>
      </c>
      <c r="AB135" s="1">
        <v>0</v>
      </c>
      <c r="AC135" s="1">
        <v>1665885</v>
      </c>
      <c r="AD135" s="1">
        <v>239939</v>
      </c>
      <c r="AE135" s="1">
        <v>7386.8492162430002</v>
      </c>
      <c r="AF135" s="1">
        <v>0</v>
      </c>
      <c r="AG135" s="1">
        <v>10979.398406116001</v>
      </c>
      <c r="AH135" s="1">
        <v>44.651873426999998</v>
      </c>
      <c r="AI135" s="1">
        <v>3683.1054963500001</v>
      </c>
      <c r="AJ135" s="1">
        <v>184.15356833300001</v>
      </c>
      <c r="AK135" s="1">
        <v>3486.525307888</v>
      </c>
      <c r="AL135" s="1">
        <v>6121.3134851049999</v>
      </c>
      <c r="AM135" s="1">
        <v>0</v>
      </c>
      <c r="AN135" s="1">
        <v>0</v>
      </c>
      <c r="AO135" s="1">
        <v>4533.7197602200004</v>
      </c>
      <c r="AP135" s="1">
        <v>26.549485851</v>
      </c>
      <c r="AQ135" s="1">
        <v>0</v>
      </c>
      <c r="AR135" s="1">
        <v>0</v>
      </c>
      <c r="AS135" s="1">
        <v>0</v>
      </c>
      <c r="AT135" s="1">
        <v>23723.4</v>
      </c>
      <c r="AU135" s="1">
        <v>0</v>
      </c>
      <c r="AV135" s="1">
        <v>0</v>
      </c>
      <c r="AW135" s="1">
        <v>3573.5</v>
      </c>
      <c r="AX135" s="1">
        <v>0</v>
      </c>
      <c r="AY135" s="1">
        <v>0</v>
      </c>
      <c r="AZ135" s="1">
        <v>0</v>
      </c>
      <c r="BA135" s="1">
        <v>0</v>
      </c>
      <c r="BB135" s="1">
        <v>0</v>
      </c>
      <c r="BC135" s="1">
        <v>2048.9008538319999</v>
      </c>
      <c r="BD135" s="1">
        <v>0</v>
      </c>
      <c r="BE135" s="1">
        <v>2890.951978481</v>
      </c>
      <c r="BF135" s="1">
        <v>18.030715227000002</v>
      </c>
      <c r="BG135" s="1">
        <v>2398.9451933789996</v>
      </c>
      <c r="BH135" s="1">
        <v>1530.0066989479999</v>
      </c>
      <c r="BI135" s="1">
        <v>535.20132076599998</v>
      </c>
      <c r="BJ135" s="1">
        <v>1860.344555489</v>
      </c>
      <c r="BK135" s="1">
        <v>0</v>
      </c>
      <c r="BL135" s="1">
        <v>0</v>
      </c>
      <c r="BM135" s="1">
        <v>1651.7814328679999</v>
      </c>
      <c r="BN135" s="1">
        <v>3.0307164719999999</v>
      </c>
      <c r="BO135" s="1">
        <v>11589.647502222999</v>
      </c>
      <c r="BP135" s="1">
        <v>0</v>
      </c>
      <c r="BQ135" s="1">
        <v>0</v>
      </c>
      <c r="BR135" s="1">
        <v>0</v>
      </c>
      <c r="BS135" s="1">
        <v>24360</v>
      </c>
      <c r="BT135" s="1">
        <v>0</v>
      </c>
      <c r="BU135" s="1">
        <v>0</v>
      </c>
      <c r="BV135" s="1">
        <v>2130</v>
      </c>
      <c r="BW135" s="1">
        <v>0</v>
      </c>
      <c r="BX135" s="1">
        <v>0</v>
      </c>
      <c r="BY135" s="1">
        <v>0</v>
      </c>
      <c r="BZ135" s="1">
        <v>0</v>
      </c>
      <c r="CA135" s="1">
        <v>0</v>
      </c>
      <c r="CB135" s="1">
        <v>26080</v>
      </c>
    </row>
    <row r="136" spans="2:80">
      <c r="B136">
        <v>134</v>
      </c>
      <c r="C136" s="1" t="s">
        <v>16</v>
      </c>
      <c r="D136" s="1" t="s">
        <v>19</v>
      </c>
      <c r="E136" s="1" t="s">
        <v>195</v>
      </c>
      <c r="F136" s="1" t="s">
        <v>192</v>
      </c>
      <c r="G136" s="1">
        <v>1167990</v>
      </c>
      <c r="H136" s="1">
        <v>14789094</v>
      </c>
      <c r="I136" s="1">
        <v>315037.84000000003</v>
      </c>
      <c r="J136" s="1">
        <v>174922.89</v>
      </c>
      <c r="K136" s="1">
        <v>55527.85</v>
      </c>
      <c r="L136" s="1">
        <v>186240.67</v>
      </c>
      <c r="M136" s="1">
        <v>0</v>
      </c>
      <c r="N136" s="1">
        <v>-1890.9670000000001</v>
      </c>
      <c r="O136" s="1">
        <v>-1101.0329999999999</v>
      </c>
      <c r="P136" s="1">
        <v>0</v>
      </c>
      <c r="Q136" s="1">
        <v>-1368.5840000000001</v>
      </c>
      <c r="R136" s="1">
        <v>-2175.5140000000001</v>
      </c>
      <c r="S136" s="1">
        <v>-5960.7030000000004</v>
      </c>
      <c r="T136" s="1">
        <v>915.14400000000001</v>
      </c>
      <c r="U136" s="1">
        <v>509.03399999999999</v>
      </c>
      <c r="V136" s="1">
        <v>1549.085</v>
      </c>
      <c r="W136" s="1">
        <v>2194.663</v>
      </c>
      <c r="X136" s="1">
        <v>0</v>
      </c>
      <c r="Y136" s="1">
        <v>-7328.8739999999998</v>
      </c>
      <c r="Z136" s="1">
        <v>-13876.085999999999</v>
      </c>
      <c r="AA136" s="1">
        <v>14242</v>
      </c>
      <c r="AB136" s="1">
        <v>0</v>
      </c>
      <c r="AC136" s="1">
        <v>1718353</v>
      </c>
      <c r="AD136" s="1">
        <v>132185</v>
      </c>
      <c r="AE136" s="1">
        <v>7386.8492162430002</v>
      </c>
      <c r="AF136" s="1">
        <v>0</v>
      </c>
      <c r="AG136" s="1">
        <v>10979.398406116001</v>
      </c>
      <c r="AH136" s="1">
        <v>27.160407301999999</v>
      </c>
      <c r="AI136" s="1">
        <v>3721.344401026</v>
      </c>
      <c r="AJ136" s="1">
        <v>149.42660875800001</v>
      </c>
      <c r="AK136" s="1">
        <v>3646.1942366150001</v>
      </c>
      <c r="AL136" s="1">
        <v>7123.5011152340003</v>
      </c>
      <c r="AM136" s="1">
        <v>0</v>
      </c>
      <c r="AN136" s="1">
        <v>0</v>
      </c>
      <c r="AO136" s="1">
        <v>4533.7197602200004</v>
      </c>
      <c r="AP136" s="1">
        <v>26.549485851</v>
      </c>
      <c r="AQ136" s="1">
        <v>0</v>
      </c>
      <c r="AR136" s="1">
        <v>0</v>
      </c>
      <c r="AS136" s="1">
        <v>0</v>
      </c>
      <c r="AT136" s="1">
        <v>14232.7</v>
      </c>
      <c r="AU136" s="1">
        <v>0</v>
      </c>
      <c r="AV136" s="1">
        <v>0</v>
      </c>
      <c r="AW136" s="1">
        <v>805.5</v>
      </c>
      <c r="AX136" s="1">
        <v>0</v>
      </c>
      <c r="AY136" s="1">
        <v>0</v>
      </c>
      <c r="AZ136" s="1">
        <v>0</v>
      </c>
      <c r="BA136" s="1">
        <v>0</v>
      </c>
      <c r="BB136" s="1">
        <v>0</v>
      </c>
      <c r="BC136" s="1">
        <v>2048.9008538319999</v>
      </c>
      <c r="BD136" s="1">
        <v>0</v>
      </c>
      <c r="BE136" s="1">
        <v>2890.951978481</v>
      </c>
      <c r="BF136" s="1">
        <v>18.051193040999998</v>
      </c>
      <c r="BG136" s="1">
        <v>1324.1091051159999</v>
      </c>
      <c r="BH136" s="1">
        <v>663.03748762999999</v>
      </c>
      <c r="BI136" s="1">
        <v>465.16378391699999</v>
      </c>
      <c r="BJ136" s="1">
        <v>2004.1397653969998</v>
      </c>
      <c r="BK136" s="1">
        <v>0</v>
      </c>
      <c r="BL136" s="1">
        <v>0</v>
      </c>
      <c r="BM136" s="1">
        <v>1651.7814328679999</v>
      </c>
      <c r="BN136" s="1">
        <v>3.0307164719999999</v>
      </c>
      <c r="BO136" s="1">
        <v>10239.773894126</v>
      </c>
      <c r="BP136" s="1">
        <v>0</v>
      </c>
      <c r="BQ136" s="1">
        <v>0</v>
      </c>
      <c r="BR136" s="1">
        <v>0</v>
      </c>
      <c r="BS136" s="1">
        <v>20920</v>
      </c>
      <c r="BT136" s="1">
        <v>0</v>
      </c>
      <c r="BU136" s="1">
        <v>0</v>
      </c>
      <c r="BV136" s="1">
        <v>819.99999999999989</v>
      </c>
      <c r="BW136" s="1">
        <v>0</v>
      </c>
      <c r="BX136" s="1">
        <v>0</v>
      </c>
      <c r="BY136" s="1">
        <v>0</v>
      </c>
      <c r="BZ136" s="1">
        <v>0</v>
      </c>
      <c r="CA136" s="1">
        <v>0</v>
      </c>
      <c r="CB136" s="1">
        <v>21280</v>
      </c>
    </row>
    <row r="137" spans="2:80">
      <c r="B137">
        <v>135</v>
      </c>
      <c r="C137" s="1" t="s">
        <v>16</v>
      </c>
      <c r="D137" s="1" t="s">
        <v>19</v>
      </c>
      <c r="E137" s="1" t="s">
        <v>197</v>
      </c>
      <c r="F137" s="1" t="s">
        <v>194</v>
      </c>
      <c r="G137" s="1">
        <v>1167990</v>
      </c>
      <c r="H137" s="1">
        <v>14789094</v>
      </c>
      <c r="I137" s="1">
        <v>315037.84000000003</v>
      </c>
      <c r="J137" s="1">
        <v>174922.89</v>
      </c>
      <c r="K137" s="1">
        <v>55527.85</v>
      </c>
      <c r="L137" s="1">
        <v>186240.67</v>
      </c>
      <c r="M137" s="1">
        <v>0</v>
      </c>
      <c r="N137" s="1">
        <v>-1953.508</v>
      </c>
      <c r="O137" s="1">
        <v>-1104.2629999999999</v>
      </c>
      <c r="P137" s="1">
        <v>0</v>
      </c>
      <c r="Q137" s="1">
        <v>-1368.5840000000001</v>
      </c>
      <c r="R137" s="1">
        <v>-2267.42</v>
      </c>
      <c r="S137" s="1">
        <v>-6226.9889999999996</v>
      </c>
      <c r="T137" s="1">
        <v>968.36199999999997</v>
      </c>
      <c r="U137" s="1">
        <v>564.53899999999999</v>
      </c>
      <c r="V137" s="1">
        <v>1355.3579999999999</v>
      </c>
      <c r="W137" s="1">
        <v>2387.511</v>
      </c>
      <c r="X137" s="1">
        <v>0</v>
      </c>
      <c r="Y137" s="1">
        <v>-7644.9949999999999</v>
      </c>
      <c r="Z137" s="1">
        <v>-26612.596000000001</v>
      </c>
      <c r="AA137" s="1">
        <v>14316</v>
      </c>
      <c r="AB137" s="1">
        <v>0</v>
      </c>
      <c r="AC137" s="1">
        <v>1582943</v>
      </c>
      <c r="AD137" s="1">
        <v>247516</v>
      </c>
      <c r="AE137" s="1">
        <v>5731.5626642120005</v>
      </c>
      <c r="AF137" s="1">
        <v>0</v>
      </c>
      <c r="AG137" s="1">
        <v>10979.398406116001</v>
      </c>
      <c r="AH137" s="1">
        <v>45.255968940000002</v>
      </c>
      <c r="AI137" s="1">
        <v>3599.9382677580002</v>
      </c>
      <c r="AJ137" s="1">
        <v>170.63479812400001</v>
      </c>
      <c r="AK137" s="1">
        <v>3480.6550012080002</v>
      </c>
      <c r="AL137" s="1">
        <v>6063.8936946490003</v>
      </c>
      <c r="AM137" s="1">
        <v>0</v>
      </c>
      <c r="AN137" s="1">
        <v>0</v>
      </c>
      <c r="AO137" s="1">
        <v>4533.7197602200004</v>
      </c>
      <c r="AP137" s="1">
        <v>26.549485851</v>
      </c>
      <c r="AQ137" s="1">
        <v>0</v>
      </c>
      <c r="AR137" s="1">
        <v>0</v>
      </c>
      <c r="AS137" s="1">
        <v>0</v>
      </c>
      <c r="AT137" s="1">
        <v>24585.4</v>
      </c>
      <c r="AU137" s="1">
        <v>0</v>
      </c>
      <c r="AV137" s="1">
        <v>0</v>
      </c>
      <c r="AW137" s="1">
        <v>3573.5</v>
      </c>
      <c r="AX137" s="1">
        <v>0</v>
      </c>
      <c r="AY137" s="1">
        <v>0</v>
      </c>
      <c r="AZ137" s="1">
        <v>0</v>
      </c>
      <c r="BA137" s="1">
        <v>0</v>
      </c>
      <c r="BB137" s="1">
        <v>0</v>
      </c>
      <c r="BC137" s="1">
        <v>1574.115910304</v>
      </c>
      <c r="BD137" s="1">
        <v>0</v>
      </c>
      <c r="BE137" s="1">
        <v>2890.951978481</v>
      </c>
      <c r="BF137" s="1">
        <v>18.017063351000001</v>
      </c>
      <c r="BG137" s="1">
        <v>2336.9383725869998</v>
      </c>
      <c r="BH137" s="1">
        <v>1446.057900455</v>
      </c>
      <c r="BI137" s="1">
        <v>532.84978512500004</v>
      </c>
      <c r="BJ137" s="1">
        <v>1790.2216944149998</v>
      </c>
      <c r="BK137" s="1">
        <v>0</v>
      </c>
      <c r="BL137" s="1">
        <v>0</v>
      </c>
      <c r="BM137" s="1">
        <v>1651.7814328679999</v>
      </c>
      <c r="BN137" s="1">
        <v>3.0307164719999999</v>
      </c>
      <c r="BO137" s="1">
        <v>10930.401823152</v>
      </c>
      <c r="BP137" s="1">
        <v>0</v>
      </c>
      <c r="BQ137" s="1">
        <v>0</v>
      </c>
      <c r="BR137" s="1">
        <v>0</v>
      </c>
      <c r="BS137" s="1">
        <v>24450</v>
      </c>
      <c r="BT137" s="1">
        <v>0</v>
      </c>
      <c r="BU137" s="1">
        <v>0</v>
      </c>
      <c r="BV137" s="1">
        <v>2130</v>
      </c>
      <c r="BW137" s="1">
        <v>0</v>
      </c>
      <c r="BX137" s="1">
        <v>0</v>
      </c>
      <c r="BY137" s="1">
        <v>0</v>
      </c>
      <c r="BZ137" s="1">
        <v>0</v>
      </c>
      <c r="CA137" s="1">
        <v>0</v>
      </c>
      <c r="CB137" s="1">
        <v>26170</v>
      </c>
    </row>
    <row r="138" spans="2:80">
      <c r="B138">
        <v>136</v>
      </c>
      <c r="C138" s="1" t="s">
        <v>16</v>
      </c>
      <c r="D138" s="1" t="s">
        <v>19</v>
      </c>
      <c r="E138" s="1" t="s">
        <v>199</v>
      </c>
      <c r="F138" s="1" t="s">
        <v>256</v>
      </c>
      <c r="G138" s="1">
        <v>1167990</v>
      </c>
      <c r="H138" s="1">
        <v>14789094</v>
      </c>
      <c r="I138" s="1">
        <v>315037.84000000003</v>
      </c>
      <c r="J138" s="1">
        <v>174922.89</v>
      </c>
      <c r="K138" s="1">
        <v>55527.85</v>
      </c>
      <c r="L138" s="1">
        <v>186240.67</v>
      </c>
      <c r="M138" s="1">
        <v>0</v>
      </c>
      <c r="N138" s="1">
        <v>-1953.508</v>
      </c>
      <c r="O138" s="1">
        <v>-1104.2629999999999</v>
      </c>
      <c r="P138" s="1">
        <v>0</v>
      </c>
      <c r="Q138" s="1">
        <v>-1368.5840000000001</v>
      </c>
      <c r="R138" s="1">
        <v>-2267.42</v>
      </c>
      <c r="S138" s="1">
        <v>-6226.9889999999996</v>
      </c>
      <c r="T138" s="1">
        <v>968.36199999999997</v>
      </c>
      <c r="U138" s="1">
        <v>564.53899999999999</v>
      </c>
      <c r="V138" s="1">
        <v>1355.3579999999999</v>
      </c>
      <c r="W138" s="1">
        <v>2387.511</v>
      </c>
      <c r="X138" s="1">
        <v>0</v>
      </c>
      <c r="Y138" s="1">
        <v>-7644.9949999999999</v>
      </c>
      <c r="Z138" s="1">
        <v>-14769.745000000001</v>
      </c>
      <c r="AA138" s="1">
        <v>14313</v>
      </c>
      <c r="AB138" s="1">
        <v>0</v>
      </c>
      <c r="AC138" s="1">
        <v>1635729</v>
      </c>
      <c r="AD138" s="1">
        <v>140413</v>
      </c>
      <c r="AE138" s="1">
        <v>5731.5626642120005</v>
      </c>
      <c r="AF138" s="1">
        <v>0</v>
      </c>
      <c r="AG138" s="1">
        <v>10979.398406116001</v>
      </c>
      <c r="AH138" s="1">
        <v>28.781567577000001</v>
      </c>
      <c r="AI138" s="1">
        <v>3642.5014041570003</v>
      </c>
      <c r="AJ138" s="1">
        <v>136.116029658</v>
      </c>
      <c r="AK138" s="1">
        <v>3641.648161907</v>
      </c>
      <c r="AL138" s="1">
        <v>7066.163236034</v>
      </c>
      <c r="AM138" s="1">
        <v>0</v>
      </c>
      <c r="AN138" s="1">
        <v>0</v>
      </c>
      <c r="AO138" s="1">
        <v>4533.7197602200004</v>
      </c>
      <c r="AP138" s="1">
        <v>26.549485851</v>
      </c>
      <c r="AQ138" s="1">
        <v>0</v>
      </c>
      <c r="AR138" s="1">
        <v>0</v>
      </c>
      <c r="AS138" s="1">
        <v>0</v>
      </c>
      <c r="AT138" s="1">
        <v>15168.7</v>
      </c>
      <c r="AU138" s="1">
        <v>0</v>
      </c>
      <c r="AV138" s="1">
        <v>0</v>
      </c>
      <c r="AW138" s="1">
        <v>805.5</v>
      </c>
      <c r="AX138" s="1">
        <v>0</v>
      </c>
      <c r="AY138" s="1">
        <v>0</v>
      </c>
      <c r="AZ138" s="1">
        <v>0</v>
      </c>
      <c r="BA138" s="1">
        <v>0</v>
      </c>
      <c r="BB138" s="1">
        <v>0</v>
      </c>
      <c r="BC138" s="1">
        <v>1574.115910304</v>
      </c>
      <c r="BD138" s="1">
        <v>0</v>
      </c>
      <c r="BE138" s="1">
        <v>2890.951978481</v>
      </c>
      <c r="BF138" s="1">
        <v>18.064844916999999</v>
      </c>
      <c r="BG138" s="1">
        <v>1254.6722508110001</v>
      </c>
      <c r="BH138" s="1">
        <v>589.75080429299999</v>
      </c>
      <c r="BI138" s="1">
        <v>464.60746996999995</v>
      </c>
      <c r="BJ138" s="1">
        <v>1934.2626380910001</v>
      </c>
      <c r="BK138" s="1">
        <v>0</v>
      </c>
      <c r="BL138" s="1">
        <v>0</v>
      </c>
      <c r="BM138" s="1">
        <v>1651.7814328679999</v>
      </c>
      <c r="BN138" s="1">
        <v>3.0307164719999999</v>
      </c>
      <c r="BO138" s="1">
        <v>9574.4155875760007</v>
      </c>
      <c r="BP138" s="1">
        <v>0</v>
      </c>
      <c r="BQ138" s="1">
        <v>0</v>
      </c>
      <c r="BR138" s="1">
        <v>0</v>
      </c>
      <c r="BS138" s="1">
        <v>21030</v>
      </c>
      <c r="BT138" s="1">
        <v>0</v>
      </c>
      <c r="BU138" s="1">
        <v>0</v>
      </c>
      <c r="BV138" s="1">
        <v>819.99999999999989</v>
      </c>
      <c r="BW138" s="1">
        <v>0</v>
      </c>
      <c r="BX138" s="1">
        <v>0</v>
      </c>
      <c r="BY138" s="1">
        <v>0</v>
      </c>
      <c r="BZ138" s="1">
        <v>0</v>
      </c>
      <c r="CA138" s="1">
        <v>0</v>
      </c>
      <c r="CB138" s="1">
        <v>21390</v>
      </c>
    </row>
    <row r="139" spans="2:80">
      <c r="B139">
        <v>137</v>
      </c>
      <c r="C139" s="1" t="s">
        <v>16</v>
      </c>
      <c r="D139" s="1" t="s">
        <v>19</v>
      </c>
      <c r="E139" s="1" t="s">
        <v>201</v>
      </c>
      <c r="F139" s="1" t="s">
        <v>257</v>
      </c>
      <c r="G139" s="1">
        <v>1167990</v>
      </c>
      <c r="H139" s="1">
        <v>14789094</v>
      </c>
      <c r="I139" s="1">
        <v>315037.84000000003</v>
      </c>
      <c r="J139" s="1">
        <v>174922.89</v>
      </c>
      <c r="K139" s="1">
        <v>55527.85</v>
      </c>
      <c r="L139" s="1">
        <v>186240.67</v>
      </c>
      <c r="M139" s="1">
        <v>0</v>
      </c>
      <c r="N139" s="1">
        <v>-1837.453</v>
      </c>
      <c r="O139" s="1">
        <v>-1102.529</v>
      </c>
      <c r="P139" s="1">
        <v>0</v>
      </c>
      <c r="Q139" s="1">
        <v>-1368.5840000000001</v>
      </c>
      <c r="R139" s="1">
        <v>-2471.0369999999998</v>
      </c>
      <c r="S139" s="1">
        <v>-4668.9030000000002</v>
      </c>
      <c r="T139" s="1">
        <v>834.55600000000004</v>
      </c>
      <c r="U139" s="1">
        <v>468.01400000000001</v>
      </c>
      <c r="V139" s="1">
        <v>1436.3689999999999</v>
      </c>
      <c r="W139" s="1">
        <v>2024.2159999999999</v>
      </c>
      <c r="X139" s="1">
        <v>0</v>
      </c>
      <c r="Y139" s="1">
        <v>-6685.35</v>
      </c>
      <c r="Z139" s="1">
        <v>-24993.053</v>
      </c>
      <c r="AA139" s="1">
        <v>14239</v>
      </c>
      <c r="AB139" s="1">
        <v>0</v>
      </c>
      <c r="AC139" s="1">
        <v>1666896</v>
      </c>
      <c r="AD139" s="1">
        <v>234049</v>
      </c>
      <c r="AE139" s="1">
        <v>7386.8492162430002</v>
      </c>
      <c r="AF139" s="1">
        <v>0</v>
      </c>
      <c r="AG139" s="1">
        <v>10979.398406116001</v>
      </c>
      <c r="AH139" s="1">
        <v>44.505115760000002</v>
      </c>
      <c r="AI139" s="1">
        <v>3693.1532770859999</v>
      </c>
      <c r="AJ139" s="1">
        <v>186.842987905</v>
      </c>
      <c r="AK139" s="1">
        <v>3486.3375945930002</v>
      </c>
      <c r="AL139" s="1">
        <v>6131.0267948789997</v>
      </c>
      <c r="AM139" s="1">
        <v>0</v>
      </c>
      <c r="AN139" s="1">
        <v>0</v>
      </c>
      <c r="AO139" s="1">
        <v>4533.7197602200004</v>
      </c>
      <c r="AP139" s="1">
        <v>26.549485851</v>
      </c>
      <c r="AQ139" s="1">
        <v>0</v>
      </c>
      <c r="AR139" s="1">
        <v>0</v>
      </c>
      <c r="AS139" s="1">
        <v>0</v>
      </c>
      <c r="AT139" s="1">
        <v>23053.200000000001</v>
      </c>
      <c r="AU139" s="1">
        <v>0</v>
      </c>
      <c r="AV139" s="1">
        <v>0</v>
      </c>
      <c r="AW139" s="1">
        <v>3573.5</v>
      </c>
      <c r="AX139" s="1">
        <v>0</v>
      </c>
      <c r="AY139" s="1">
        <v>0</v>
      </c>
      <c r="AZ139" s="1">
        <v>0</v>
      </c>
      <c r="BA139" s="1">
        <v>0</v>
      </c>
      <c r="BB139" s="1">
        <v>0</v>
      </c>
      <c r="BC139" s="1">
        <v>2048.9008538319999</v>
      </c>
      <c r="BD139" s="1">
        <v>0</v>
      </c>
      <c r="BE139" s="1">
        <v>2890.951978481</v>
      </c>
      <c r="BF139" s="1">
        <v>18.023889289</v>
      </c>
      <c r="BG139" s="1">
        <v>2414.4946801430001</v>
      </c>
      <c r="BH139" s="1">
        <v>1551.8701783619999</v>
      </c>
      <c r="BI139" s="1">
        <v>535.80541627900004</v>
      </c>
      <c r="BJ139" s="1">
        <v>1872.3343155860002</v>
      </c>
      <c r="BK139" s="1">
        <v>0</v>
      </c>
      <c r="BL139" s="1">
        <v>0</v>
      </c>
      <c r="BM139" s="1">
        <v>1651.7814328679999</v>
      </c>
      <c r="BN139" s="1">
        <v>3.0307164719999999</v>
      </c>
      <c r="BO139" s="1">
        <v>11632.289136908999</v>
      </c>
      <c r="BP139" s="1">
        <v>0</v>
      </c>
      <c r="BQ139" s="1">
        <v>0</v>
      </c>
      <c r="BR139" s="1">
        <v>0</v>
      </c>
      <c r="BS139" s="1">
        <v>24000</v>
      </c>
      <c r="BT139" s="1">
        <v>0</v>
      </c>
      <c r="BU139" s="1">
        <v>0</v>
      </c>
      <c r="BV139" s="1">
        <v>2130</v>
      </c>
      <c r="BW139" s="1">
        <v>0</v>
      </c>
      <c r="BX139" s="1">
        <v>0</v>
      </c>
      <c r="BY139" s="1">
        <v>0</v>
      </c>
      <c r="BZ139" s="1">
        <v>0</v>
      </c>
      <c r="CA139" s="1">
        <v>0</v>
      </c>
      <c r="CB139" s="1">
        <v>25720</v>
      </c>
    </row>
    <row r="140" spans="2:80">
      <c r="B140">
        <v>138</v>
      </c>
      <c r="C140" s="1" t="s">
        <v>16</v>
      </c>
      <c r="D140" s="1" t="s">
        <v>19</v>
      </c>
      <c r="E140" s="1" t="s">
        <v>203</v>
      </c>
      <c r="F140" s="1" t="s">
        <v>258</v>
      </c>
      <c r="G140" s="1">
        <v>1167990</v>
      </c>
      <c r="H140" s="1">
        <v>14789094</v>
      </c>
      <c r="I140" s="1">
        <v>315037.84000000003</v>
      </c>
      <c r="J140" s="1">
        <v>174922.89</v>
      </c>
      <c r="K140" s="1">
        <v>55527.85</v>
      </c>
      <c r="L140" s="1">
        <v>186240.67</v>
      </c>
      <c r="M140" s="1">
        <v>0</v>
      </c>
      <c r="N140" s="1">
        <v>-1837.453</v>
      </c>
      <c r="O140" s="1">
        <v>-1102.529</v>
      </c>
      <c r="P140" s="1">
        <v>0</v>
      </c>
      <c r="Q140" s="1">
        <v>-1368.5840000000001</v>
      </c>
      <c r="R140" s="1">
        <v>-2471.0369999999998</v>
      </c>
      <c r="S140" s="1">
        <v>-4668.9030000000002</v>
      </c>
      <c r="T140" s="1">
        <v>834.55600000000004</v>
      </c>
      <c r="U140" s="1">
        <v>468.01400000000001</v>
      </c>
      <c r="V140" s="1">
        <v>1436.3689999999999</v>
      </c>
      <c r="W140" s="1">
        <v>2024.2159999999999</v>
      </c>
      <c r="X140" s="1">
        <v>0</v>
      </c>
      <c r="Y140" s="1">
        <v>-6685.35</v>
      </c>
      <c r="Z140" s="1">
        <v>-13155.267</v>
      </c>
      <c r="AA140" s="1">
        <v>14240</v>
      </c>
      <c r="AB140" s="1">
        <v>0</v>
      </c>
      <c r="AC140" s="1">
        <v>1719325</v>
      </c>
      <c r="AD140" s="1">
        <v>125804</v>
      </c>
      <c r="AE140" s="1">
        <v>7386.8492162430002</v>
      </c>
      <c r="AF140" s="1">
        <v>0</v>
      </c>
      <c r="AG140" s="1">
        <v>10979.398406116001</v>
      </c>
      <c r="AH140" s="1">
        <v>26.238905672000001</v>
      </c>
      <c r="AI140" s="1">
        <v>3731.7983250729999</v>
      </c>
      <c r="AJ140" s="1">
        <v>152.085311609</v>
      </c>
      <c r="AK140" s="1">
        <v>3645.224953419</v>
      </c>
      <c r="AL140" s="1">
        <v>7133.5250051869998</v>
      </c>
      <c r="AM140" s="1">
        <v>0</v>
      </c>
      <c r="AN140" s="1">
        <v>0</v>
      </c>
      <c r="AO140" s="1">
        <v>4533.7197602200004</v>
      </c>
      <c r="AP140" s="1">
        <v>26.549485851</v>
      </c>
      <c r="AQ140" s="1">
        <v>0</v>
      </c>
      <c r="AR140" s="1">
        <v>0</v>
      </c>
      <c r="AS140" s="1">
        <v>0</v>
      </c>
      <c r="AT140" s="1">
        <v>13506.7</v>
      </c>
      <c r="AU140" s="1">
        <v>0</v>
      </c>
      <c r="AV140" s="1">
        <v>0</v>
      </c>
      <c r="AW140" s="1">
        <v>805.5</v>
      </c>
      <c r="AX140" s="1">
        <v>0</v>
      </c>
      <c r="AY140" s="1">
        <v>0</v>
      </c>
      <c r="AZ140" s="1">
        <v>0</v>
      </c>
      <c r="BA140" s="1">
        <v>0</v>
      </c>
      <c r="BB140" s="1">
        <v>0</v>
      </c>
      <c r="BC140" s="1">
        <v>2048.9008538319999</v>
      </c>
      <c r="BD140" s="1">
        <v>0</v>
      </c>
      <c r="BE140" s="1">
        <v>2890.951978481</v>
      </c>
      <c r="BF140" s="1">
        <v>18.013650381999998</v>
      </c>
      <c r="BG140" s="1">
        <v>1340.06814816</v>
      </c>
      <c r="BH140" s="1">
        <v>691.93509615300002</v>
      </c>
      <c r="BI140" s="1">
        <v>464.10917649600003</v>
      </c>
      <c r="BJ140" s="1">
        <v>2016.0680920519999</v>
      </c>
      <c r="BK140" s="1">
        <v>0</v>
      </c>
      <c r="BL140" s="1">
        <v>0</v>
      </c>
      <c r="BM140" s="1">
        <v>1651.7814328679999</v>
      </c>
      <c r="BN140" s="1">
        <v>3.0307164719999999</v>
      </c>
      <c r="BO140" s="1">
        <v>10284.756825546001</v>
      </c>
      <c r="BP140" s="1">
        <v>0</v>
      </c>
      <c r="BQ140" s="1">
        <v>0</v>
      </c>
      <c r="BR140" s="1">
        <v>0</v>
      </c>
      <c r="BS140" s="1">
        <v>20530</v>
      </c>
      <c r="BT140" s="1">
        <v>0</v>
      </c>
      <c r="BU140" s="1">
        <v>0</v>
      </c>
      <c r="BV140" s="1">
        <v>819.99999999999989</v>
      </c>
      <c r="BW140" s="1">
        <v>0</v>
      </c>
      <c r="BX140" s="1">
        <v>0</v>
      </c>
      <c r="BY140" s="1">
        <v>0</v>
      </c>
      <c r="BZ140" s="1">
        <v>0</v>
      </c>
      <c r="CA140" s="1">
        <v>0</v>
      </c>
      <c r="CB140" s="1">
        <v>20900</v>
      </c>
    </row>
    <row r="141" spans="2:80">
      <c r="B141">
        <v>139</v>
      </c>
      <c r="C141" s="1" t="s">
        <v>16</v>
      </c>
      <c r="D141" s="1" t="s">
        <v>19</v>
      </c>
      <c r="E141" s="1" t="s">
        <v>205</v>
      </c>
      <c r="F141" s="1" t="s">
        <v>259</v>
      </c>
      <c r="G141" s="1">
        <v>1167990</v>
      </c>
      <c r="H141" s="1">
        <v>14789094</v>
      </c>
      <c r="I141" s="1">
        <v>315037.84000000003</v>
      </c>
      <c r="J141" s="1">
        <v>174922.89</v>
      </c>
      <c r="K141" s="1">
        <v>55527.85</v>
      </c>
      <c r="L141" s="1">
        <v>186240.67</v>
      </c>
      <c r="M141" s="1">
        <v>0</v>
      </c>
      <c r="N141" s="1">
        <v>-1900.69</v>
      </c>
      <c r="O141" s="1">
        <v>-1105.7439999999999</v>
      </c>
      <c r="P141" s="1">
        <v>0</v>
      </c>
      <c r="Q141" s="1">
        <v>-1368.5840000000001</v>
      </c>
      <c r="R141" s="1">
        <v>-2576.319</v>
      </c>
      <c r="S141" s="1">
        <v>-4880.1530000000002</v>
      </c>
      <c r="T141" s="1">
        <v>882.06</v>
      </c>
      <c r="U141" s="1">
        <v>518.72299999999996</v>
      </c>
      <c r="V141" s="1">
        <v>1261.2260000000001</v>
      </c>
      <c r="W141" s="1">
        <v>2198.3220000000001</v>
      </c>
      <c r="X141" s="1">
        <v>0</v>
      </c>
      <c r="Y141" s="1">
        <v>-6971.1589999999997</v>
      </c>
      <c r="Z141" s="1">
        <v>-25862.498</v>
      </c>
      <c r="AA141" s="1">
        <v>14320</v>
      </c>
      <c r="AB141" s="1">
        <v>0</v>
      </c>
      <c r="AC141" s="1">
        <v>1583877</v>
      </c>
      <c r="AD141" s="1">
        <v>241334</v>
      </c>
      <c r="AE141" s="1">
        <v>5731.5626642120005</v>
      </c>
      <c r="AF141" s="1">
        <v>0</v>
      </c>
      <c r="AG141" s="1">
        <v>10979.398406116001</v>
      </c>
      <c r="AH141" s="1">
        <v>45.013648141000004</v>
      </c>
      <c r="AI141" s="1">
        <v>3608.9485059180001</v>
      </c>
      <c r="AJ141" s="1">
        <v>173.33786957200002</v>
      </c>
      <c r="AK141" s="1">
        <v>3480.2317930520003</v>
      </c>
      <c r="AL141" s="1">
        <v>6073.2657075229999</v>
      </c>
      <c r="AM141" s="1">
        <v>0</v>
      </c>
      <c r="AN141" s="1">
        <v>0</v>
      </c>
      <c r="AO141" s="1">
        <v>4533.7197602200004</v>
      </c>
      <c r="AP141" s="1">
        <v>26.549485851</v>
      </c>
      <c r="AQ141" s="1">
        <v>0</v>
      </c>
      <c r="AR141" s="1">
        <v>0</v>
      </c>
      <c r="AS141" s="1">
        <v>0</v>
      </c>
      <c r="AT141" s="1">
        <v>23882.1</v>
      </c>
      <c r="AU141" s="1">
        <v>0</v>
      </c>
      <c r="AV141" s="1">
        <v>0</v>
      </c>
      <c r="AW141" s="1">
        <v>3573.5</v>
      </c>
      <c r="AX141" s="1">
        <v>0</v>
      </c>
      <c r="AY141" s="1">
        <v>0</v>
      </c>
      <c r="AZ141" s="1">
        <v>0</v>
      </c>
      <c r="BA141" s="1">
        <v>0</v>
      </c>
      <c r="BB141" s="1">
        <v>0</v>
      </c>
      <c r="BC141" s="1">
        <v>1574.115910304</v>
      </c>
      <c r="BD141" s="1">
        <v>0</v>
      </c>
      <c r="BE141" s="1">
        <v>2890.951978481</v>
      </c>
      <c r="BF141" s="1">
        <v>18.047780072000002</v>
      </c>
      <c r="BG141" s="1">
        <v>2351.313798015</v>
      </c>
      <c r="BH141" s="1">
        <v>1466.0203561359999</v>
      </c>
      <c r="BI141" s="1">
        <v>533.40609907200007</v>
      </c>
      <c r="BJ141" s="1">
        <v>1801.801898232</v>
      </c>
      <c r="BK141" s="1">
        <v>0</v>
      </c>
      <c r="BL141" s="1">
        <v>0</v>
      </c>
      <c r="BM141" s="1">
        <v>1651.7814328679999</v>
      </c>
      <c r="BN141" s="1">
        <v>3.0307164719999999</v>
      </c>
      <c r="BO141" s="1">
        <v>10969.514447892001</v>
      </c>
      <c r="BP141" s="1">
        <v>0</v>
      </c>
      <c r="BQ141" s="1">
        <v>0</v>
      </c>
      <c r="BR141" s="1">
        <v>0</v>
      </c>
      <c r="BS141" s="1">
        <v>24100</v>
      </c>
      <c r="BT141" s="1">
        <v>0</v>
      </c>
      <c r="BU141" s="1">
        <v>0</v>
      </c>
      <c r="BV141" s="1">
        <v>2130</v>
      </c>
      <c r="BW141" s="1">
        <v>0</v>
      </c>
      <c r="BX141" s="1">
        <v>0</v>
      </c>
      <c r="BY141" s="1">
        <v>0</v>
      </c>
      <c r="BZ141" s="1">
        <v>0</v>
      </c>
      <c r="CA141" s="1">
        <v>0</v>
      </c>
      <c r="CB141" s="1">
        <v>25820</v>
      </c>
    </row>
    <row r="142" spans="2:80">
      <c r="B142">
        <v>140</v>
      </c>
      <c r="C142" s="1" t="s">
        <v>16</v>
      </c>
      <c r="D142" s="1" t="s">
        <v>19</v>
      </c>
      <c r="E142" s="1" t="s">
        <v>207</v>
      </c>
      <c r="F142" s="1" t="s">
        <v>260</v>
      </c>
      <c r="G142" s="1">
        <v>1167990</v>
      </c>
      <c r="H142" s="1">
        <v>14789094</v>
      </c>
      <c r="I142" s="1">
        <v>315037.84000000003</v>
      </c>
      <c r="J142" s="1">
        <v>174922.89</v>
      </c>
      <c r="K142" s="1">
        <v>55527.85</v>
      </c>
      <c r="L142" s="1">
        <v>186240.67</v>
      </c>
      <c r="M142" s="1">
        <v>0</v>
      </c>
      <c r="N142" s="1">
        <v>-1900.69</v>
      </c>
      <c r="O142" s="1">
        <v>-1105.7439999999999</v>
      </c>
      <c r="P142" s="1">
        <v>0</v>
      </c>
      <c r="Q142" s="1">
        <v>-1368.5840000000001</v>
      </c>
      <c r="R142" s="1">
        <v>-2576.319</v>
      </c>
      <c r="S142" s="1">
        <v>-4880.1530000000002</v>
      </c>
      <c r="T142" s="1">
        <v>882.06</v>
      </c>
      <c r="U142" s="1">
        <v>518.72299999999996</v>
      </c>
      <c r="V142" s="1">
        <v>1261.2260000000001</v>
      </c>
      <c r="W142" s="1">
        <v>2198.3220000000001</v>
      </c>
      <c r="X142" s="1">
        <v>0</v>
      </c>
      <c r="Y142" s="1">
        <v>-6971.1589999999997</v>
      </c>
      <c r="Z142" s="1">
        <v>-14020.812</v>
      </c>
      <c r="AA142" s="1">
        <v>14320</v>
      </c>
      <c r="AB142" s="1">
        <v>0</v>
      </c>
      <c r="AC142" s="1">
        <v>1636642</v>
      </c>
      <c r="AD142" s="1">
        <v>133785</v>
      </c>
      <c r="AE142" s="1">
        <v>5731.5626642120005</v>
      </c>
      <c r="AF142" s="1">
        <v>0</v>
      </c>
      <c r="AG142" s="1">
        <v>10979.398406116001</v>
      </c>
      <c r="AH142" s="1">
        <v>27.928325327</v>
      </c>
      <c r="AI142" s="1">
        <v>3652.7198333430001</v>
      </c>
      <c r="AJ142" s="1">
        <v>138.14333324399999</v>
      </c>
      <c r="AK142" s="1">
        <v>3640.8153974709999</v>
      </c>
      <c r="AL142" s="1">
        <v>7075.6137471950005</v>
      </c>
      <c r="AM142" s="1">
        <v>0</v>
      </c>
      <c r="AN142" s="1">
        <v>0</v>
      </c>
      <c r="AO142" s="1">
        <v>4533.7197602200004</v>
      </c>
      <c r="AP142" s="1">
        <v>26.549485851</v>
      </c>
      <c r="AQ142" s="1">
        <v>0</v>
      </c>
      <c r="AR142" s="1">
        <v>0</v>
      </c>
      <c r="AS142" s="1">
        <v>0</v>
      </c>
      <c r="AT142" s="1">
        <v>14414.6</v>
      </c>
      <c r="AU142" s="1">
        <v>0</v>
      </c>
      <c r="AV142" s="1">
        <v>0</v>
      </c>
      <c r="AW142" s="1">
        <v>805.5</v>
      </c>
      <c r="AX142" s="1">
        <v>0</v>
      </c>
      <c r="AY142" s="1">
        <v>0</v>
      </c>
      <c r="AZ142" s="1">
        <v>0</v>
      </c>
      <c r="BA142" s="1">
        <v>0</v>
      </c>
      <c r="BB142" s="1">
        <v>0</v>
      </c>
      <c r="BC142" s="1">
        <v>1574.115910304</v>
      </c>
      <c r="BD142" s="1">
        <v>0</v>
      </c>
      <c r="BE142" s="1">
        <v>2890.951978481</v>
      </c>
      <c r="BF142" s="1">
        <v>18.037541165</v>
      </c>
      <c r="BG142" s="1">
        <v>1269.8940925510001</v>
      </c>
      <c r="BH142" s="1">
        <v>603.945342364</v>
      </c>
      <c r="BI142" s="1">
        <v>463.54262364200002</v>
      </c>
      <c r="BJ142" s="1">
        <v>1945.5766303259998</v>
      </c>
      <c r="BK142" s="1">
        <v>0</v>
      </c>
      <c r="BL142" s="1">
        <v>0</v>
      </c>
      <c r="BM142" s="1">
        <v>1651.7814328679999</v>
      </c>
      <c r="BN142" s="1">
        <v>3.0307164719999999</v>
      </c>
      <c r="BO142" s="1">
        <v>9615.0060278929996</v>
      </c>
      <c r="BP142" s="1">
        <v>0</v>
      </c>
      <c r="BQ142" s="1">
        <v>0</v>
      </c>
      <c r="BR142" s="1">
        <v>0</v>
      </c>
      <c r="BS142" s="1">
        <v>20650</v>
      </c>
      <c r="BT142" s="1">
        <v>0</v>
      </c>
      <c r="BU142" s="1">
        <v>0</v>
      </c>
      <c r="BV142" s="1">
        <v>819.99999999999989</v>
      </c>
      <c r="BW142" s="1">
        <v>0</v>
      </c>
      <c r="BX142" s="1">
        <v>0</v>
      </c>
      <c r="BY142" s="1">
        <v>0</v>
      </c>
      <c r="BZ142" s="1">
        <v>0</v>
      </c>
      <c r="CA142" s="1">
        <v>0</v>
      </c>
      <c r="CB142" s="1">
        <v>21010</v>
      </c>
    </row>
    <row r="143" spans="2:80">
      <c r="B143">
        <v>141</v>
      </c>
      <c r="C143" s="1" t="s">
        <v>16</v>
      </c>
      <c r="D143" s="1" t="s">
        <v>19</v>
      </c>
      <c r="E143" s="1" t="s">
        <v>209</v>
      </c>
      <c r="F143" s="1" t="s">
        <v>261</v>
      </c>
      <c r="G143" s="1">
        <v>1167990</v>
      </c>
      <c r="H143" s="1">
        <v>14789094</v>
      </c>
      <c r="I143" s="1">
        <v>315037.84000000003</v>
      </c>
      <c r="J143" s="1">
        <v>174922.89</v>
      </c>
      <c r="K143" s="1">
        <v>55527.85</v>
      </c>
      <c r="L143" s="1">
        <v>186240.67</v>
      </c>
      <c r="M143" s="1">
        <v>0</v>
      </c>
      <c r="N143" s="1">
        <v>-1807.4960000000001</v>
      </c>
      <c r="O143" s="1">
        <v>-1098.1210000000001</v>
      </c>
      <c r="P143" s="1">
        <v>0</v>
      </c>
      <c r="Q143" s="1">
        <v>-1368.5840000000001</v>
      </c>
      <c r="R143" s="1">
        <v>-2032.107</v>
      </c>
      <c r="S143" s="1">
        <v>-4558.8500000000004</v>
      </c>
      <c r="T143" s="1">
        <v>806.31600000000003</v>
      </c>
      <c r="U143" s="1">
        <v>444.13099999999997</v>
      </c>
      <c r="V143" s="1">
        <v>1376.5650000000001</v>
      </c>
      <c r="W143" s="1">
        <v>1935.864</v>
      </c>
      <c r="X143" s="1">
        <v>0</v>
      </c>
      <c r="Y143" s="1">
        <v>-6302.2839999999997</v>
      </c>
      <c r="Z143" s="1">
        <v>-24274.298999999999</v>
      </c>
      <c r="AA143" s="1">
        <v>14100</v>
      </c>
      <c r="AB143" s="1">
        <v>0</v>
      </c>
      <c r="AC143" s="1">
        <v>1666702</v>
      </c>
      <c r="AD143" s="1">
        <v>227855</v>
      </c>
      <c r="AE143" s="1">
        <v>7386.8492162430002</v>
      </c>
      <c r="AF143" s="1">
        <v>0</v>
      </c>
      <c r="AG143" s="1">
        <v>10979.398406116001</v>
      </c>
      <c r="AH143" s="1">
        <v>44.26620793</v>
      </c>
      <c r="AI143" s="1">
        <v>3694.7130039190001</v>
      </c>
      <c r="AJ143" s="1">
        <v>188.17745878400001</v>
      </c>
      <c r="AK143" s="1">
        <v>3469.2079031819999</v>
      </c>
      <c r="AL143" s="1">
        <v>6141.245224065</v>
      </c>
      <c r="AM143" s="1">
        <v>0</v>
      </c>
      <c r="AN143" s="1">
        <v>0</v>
      </c>
      <c r="AO143" s="1">
        <v>4533.7265861579999</v>
      </c>
      <c r="AP143" s="1">
        <v>26.549485851</v>
      </c>
      <c r="AQ143" s="1">
        <v>0</v>
      </c>
      <c r="AR143" s="1">
        <v>0</v>
      </c>
      <c r="AS143" s="1">
        <v>0</v>
      </c>
      <c r="AT143" s="1">
        <v>22348.6</v>
      </c>
      <c r="AU143" s="1">
        <v>0</v>
      </c>
      <c r="AV143" s="1">
        <v>0</v>
      </c>
      <c r="AW143" s="1">
        <v>3573.5</v>
      </c>
      <c r="AX143" s="1">
        <v>0</v>
      </c>
      <c r="AY143" s="1">
        <v>0</v>
      </c>
      <c r="AZ143" s="1">
        <v>0</v>
      </c>
      <c r="BA143" s="1">
        <v>0</v>
      </c>
      <c r="BB143" s="1">
        <v>0</v>
      </c>
      <c r="BC143" s="1">
        <v>2048.9008538319999</v>
      </c>
      <c r="BD143" s="1">
        <v>0</v>
      </c>
      <c r="BE143" s="1">
        <v>2890.951978481</v>
      </c>
      <c r="BF143" s="1">
        <v>18.017063351000001</v>
      </c>
      <c r="BG143" s="1">
        <v>2400.8018485149996</v>
      </c>
      <c r="BH143" s="1">
        <v>1532.5903164809999</v>
      </c>
      <c r="BI143" s="1">
        <v>533.72009221999997</v>
      </c>
      <c r="BJ143" s="1">
        <v>1881.8462601889998</v>
      </c>
      <c r="BK143" s="1">
        <v>0</v>
      </c>
      <c r="BL143" s="1">
        <v>0</v>
      </c>
      <c r="BM143" s="1">
        <v>1651.7814328679999</v>
      </c>
      <c r="BN143" s="1">
        <v>3.0307164719999999</v>
      </c>
      <c r="BO143" s="1">
        <v>11621.480264086</v>
      </c>
      <c r="BP143" s="1">
        <v>0</v>
      </c>
      <c r="BQ143" s="1">
        <v>0</v>
      </c>
      <c r="BR143" s="1">
        <v>0</v>
      </c>
      <c r="BS143" s="1">
        <v>23500</v>
      </c>
      <c r="BT143" s="1">
        <v>0</v>
      </c>
      <c r="BU143" s="1">
        <v>0</v>
      </c>
      <c r="BV143" s="1">
        <v>2130</v>
      </c>
      <c r="BW143" s="1">
        <v>0</v>
      </c>
      <c r="BX143" s="1">
        <v>0</v>
      </c>
      <c r="BY143" s="1">
        <v>0</v>
      </c>
      <c r="BZ143" s="1">
        <v>0</v>
      </c>
      <c r="CA143" s="1">
        <v>0</v>
      </c>
      <c r="CB143" s="1">
        <v>25220</v>
      </c>
    </row>
    <row r="144" spans="2:80">
      <c r="B144">
        <v>142</v>
      </c>
      <c r="C144" s="1" t="s">
        <v>16</v>
      </c>
      <c r="D144" s="1" t="s">
        <v>19</v>
      </c>
      <c r="E144" s="1" t="s">
        <v>211</v>
      </c>
      <c r="F144" s="1" t="s">
        <v>262</v>
      </c>
      <c r="G144" s="1">
        <v>1167990</v>
      </c>
      <c r="H144" s="1">
        <v>14789094</v>
      </c>
      <c r="I144" s="1">
        <v>315037.84000000003</v>
      </c>
      <c r="J144" s="1">
        <v>174922.89</v>
      </c>
      <c r="K144" s="1">
        <v>55527.85</v>
      </c>
      <c r="L144" s="1">
        <v>186240.67</v>
      </c>
      <c r="M144" s="1">
        <v>0</v>
      </c>
      <c r="N144" s="1">
        <v>-1807.4960000000001</v>
      </c>
      <c r="O144" s="1">
        <v>-1098.1210000000001</v>
      </c>
      <c r="P144" s="1">
        <v>0</v>
      </c>
      <c r="Q144" s="1">
        <v>-1368.5840000000001</v>
      </c>
      <c r="R144" s="1">
        <v>-2032.107</v>
      </c>
      <c r="S144" s="1">
        <v>-4558.8500000000004</v>
      </c>
      <c r="T144" s="1">
        <v>806.31600000000003</v>
      </c>
      <c r="U144" s="1">
        <v>444.13099999999997</v>
      </c>
      <c r="V144" s="1">
        <v>1376.5650000000001</v>
      </c>
      <c r="W144" s="1">
        <v>1935.864</v>
      </c>
      <c r="X144" s="1">
        <v>0</v>
      </c>
      <c r="Y144" s="1">
        <v>-6302.2839999999997</v>
      </c>
      <c r="Z144" s="1">
        <v>-12438.797</v>
      </c>
      <c r="AA144" s="1">
        <v>14100</v>
      </c>
      <c r="AB144" s="1">
        <v>0</v>
      </c>
      <c r="AC144" s="1">
        <v>1719198</v>
      </c>
      <c r="AD144" s="1">
        <v>119196</v>
      </c>
      <c r="AE144" s="1">
        <v>7386.8492162430002</v>
      </c>
      <c r="AF144" s="1">
        <v>0</v>
      </c>
      <c r="AG144" s="1">
        <v>10979.398406116001</v>
      </c>
      <c r="AH144" s="1">
        <v>25.313991073</v>
      </c>
      <c r="AI144" s="1">
        <v>3735.252249701</v>
      </c>
      <c r="AJ144" s="1">
        <v>153.679168132</v>
      </c>
      <c r="AK144" s="1">
        <v>3628.177173264</v>
      </c>
      <c r="AL144" s="1">
        <v>7143.6581101480006</v>
      </c>
      <c r="AM144" s="1">
        <v>0</v>
      </c>
      <c r="AN144" s="1">
        <v>0</v>
      </c>
      <c r="AO144" s="1">
        <v>4533.7265861579999</v>
      </c>
      <c r="AP144" s="1">
        <v>26.549485851</v>
      </c>
      <c r="AQ144" s="1">
        <v>0</v>
      </c>
      <c r="AR144" s="1">
        <v>0</v>
      </c>
      <c r="AS144" s="1">
        <v>0</v>
      </c>
      <c r="AT144" s="1">
        <v>12754.9</v>
      </c>
      <c r="AU144" s="1">
        <v>0</v>
      </c>
      <c r="AV144" s="1">
        <v>0</v>
      </c>
      <c r="AW144" s="1">
        <v>805.5</v>
      </c>
      <c r="AX144" s="1">
        <v>0</v>
      </c>
      <c r="AY144" s="1">
        <v>0</v>
      </c>
      <c r="AZ144" s="1">
        <v>0</v>
      </c>
      <c r="BA144" s="1">
        <v>0</v>
      </c>
      <c r="BB144" s="1">
        <v>0</v>
      </c>
      <c r="BC144" s="1">
        <v>2048.9008538319999</v>
      </c>
      <c r="BD144" s="1">
        <v>0</v>
      </c>
      <c r="BE144" s="1">
        <v>2890.951978481</v>
      </c>
      <c r="BF144" s="1">
        <v>18.037541165</v>
      </c>
      <c r="BG144" s="1">
        <v>1327.2319717509999</v>
      </c>
      <c r="BH144" s="1">
        <v>689.54601785299997</v>
      </c>
      <c r="BI144" s="1">
        <v>460.96924501599995</v>
      </c>
      <c r="BJ144" s="1">
        <v>2025.347954763</v>
      </c>
      <c r="BK144" s="1">
        <v>0</v>
      </c>
      <c r="BL144" s="1">
        <v>0</v>
      </c>
      <c r="BM144" s="1">
        <v>1651.7814328679999</v>
      </c>
      <c r="BN144" s="1">
        <v>3.0307164719999999</v>
      </c>
      <c r="BO144" s="1">
        <v>10273.118601255999</v>
      </c>
      <c r="BP144" s="1">
        <v>0</v>
      </c>
      <c r="BQ144" s="1">
        <v>0</v>
      </c>
      <c r="BR144" s="1">
        <v>0</v>
      </c>
      <c r="BS144" s="1">
        <v>20210</v>
      </c>
      <c r="BT144" s="1">
        <v>0</v>
      </c>
      <c r="BU144" s="1">
        <v>0</v>
      </c>
      <c r="BV144" s="1">
        <v>819.99999999999989</v>
      </c>
      <c r="BW144" s="1">
        <v>0</v>
      </c>
      <c r="BX144" s="1">
        <v>0</v>
      </c>
      <c r="BY144" s="1">
        <v>0</v>
      </c>
      <c r="BZ144" s="1">
        <v>0</v>
      </c>
      <c r="CA144" s="1">
        <v>0</v>
      </c>
      <c r="CB144" s="1">
        <v>20580</v>
      </c>
    </row>
    <row r="145" spans="1:80">
      <c r="B145">
        <v>143</v>
      </c>
      <c r="C145" s="1" t="s">
        <v>16</v>
      </c>
      <c r="D145" s="1" t="s">
        <v>19</v>
      </c>
      <c r="E145" s="1" t="s">
        <v>213</v>
      </c>
      <c r="F145" s="1" t="s">
        <v>210</v>
      </c>
      <c r="G145" s="1">
        <v>1167990</v>
      </c>
      <c r="H145" s="1">
        <v>14789094</v>
      </c>
      <c r="I145" s="1">
        <v>315037.84000000003</v>
      </c>
      <c r="J145" s="1">
        <v>174922.89</v>
      </c>
      <c r="K145" s="1">
        <v>55527.85</v>
      </c>
      <c r="L145" s="1">
        <v>186240.67</v>
      </c>
      <c r="M145" s="1">
        <v>0</v>
      </c>
      <c r="N145" s="1">
        <v>-1870.4390000000001</v>
      </c>
      <c r="O145" s="1">
        <v>-1101.627</v>
      </c>
      <c r="P145" s="1">
        <v>0</v>
      </c>
      <c r="Q145" s="1">
        <v>-1368.5840000000001</v>
      </c>
      <c r="R145" s="1">
        <v>-2119.5070000000001</v>
      </c>
      <c r="S145" s="1">
        <v>-4764.5810000000001</v>
      </c>
      <c r="T145" s="1">
        <v>853.58</v>
      </c>
      <c r="U145" s="1">
        <v>490.14800000000002</v>
      </c>
      <c r="V145" s="1">
        <v>1209.5429999999999</v>
      </c>
      <c r="W145" s="1">
        <v>2099.54</v>
      </c>
      <c r="X145" s="1">
        <v>0</v>
      </c>
      <c r="Y145" s="1">
        <v>-6571.9279999999999</v>
      </c>
      <c r="Z145" s="1">
        <v>-25119.48</v>
      </c>
      <c r="AA145" s="1">
        <v>14171</v>
      </c>
      <c r="AB145" s="1">
        <v>0</v>
      </c>
      <c r="AC145" s="1">
        <v>1584349</v>
      </c>
      <c r="AD145" s="1">
        <v>235317</v>
      </c>
      <c r="AE145" s="1">
        <v>5731.5626642120005</v>
      </c>
      <c r="AF145" s="1">
        <v>0</v>
      </c>
      <c r="AG145" s="1">
        <v>10979.398406116001</v>
      </c>
      <c r="AH145" s="1">
        <v>44.808870001000003</v>
      </c>
      <c r="AI145" s="1">
        <v>3609.9655706799999</v>
      </c>
      <c r="AJ145" s="1">
        <v>174.84640186999999</v>
      </c>
      <c r="AK145" s="1">
        <v>3478.644762467</v>
      </c>
      <c r="AL145" s="1">
        <v>6082.8629763509998</v>
      </c>
      <c r="AM145" s="1">
        <v>0</v>
      </c>
      <c r="AN145" s="1">
        <v>0</v>
      </c>
      <c r="AO145" s="1">
        <v>4533.7197602200004</v>
      </c>
      <c r="AP145" s="1">
        <v>26.549485851</v>
      </c>
      <c r="AQ145" s="1">
        <v>0</v>
      </c>
      <c r="AR145" s="1">
        <v>0</v>
      </c>
      <c r="AS145" s="1">
        <v>0</v>
      </c>
      <c r="AT145" s="1">
        <v>23197.599999999999</v>
      </c>
      <c r="AU145" s="1">
        <v>0</v>
      </c>
      <c r="AV145" s="1">
        <v>0</v>
      </c>
      <c r="AW145" s="1">
        <v>3573.5</v>
      </c>
      <c r="AX145" s="1">
        <v>0</v>
      </c>
      <c r="AY145" s="1">
        <v>0</v>
      </c>
      <c r="AZ145" s="1">
        <v>0</v>
      </c>
      <c r="BA145" s="1">
        <v>0</v>
      </c>
      <c r="BB145" s="1">
        <v>0</v>
      </c>
      <c r="BC145" s="1">
        <v>1574.115910304</v>
      </c>
      <c r="BD145" s="1">
        <v>0</v>
      </c>
      <c r="BE145" s="1">
        <v>2890.951978481</v>
      </c>
      <c r="BF145" s="1">
        <v>18.030715227000002</v>
      </c>
      <c r="BG145" s="1">
        <v>2338.7711369399999</v>
      </c>
      <c r="BH145" s="1">
        <v>1448.617627205</v>
      </c>
      <c r="BI145" s="1">
        <v>532.97265200899994</v>
      </c>
      <c r="BJ145" s="1">
        <v>1811.2114537649998</v>
      </c>
      <c r="BK145" s="1">
        <v>0</v>
      </c>
      <c r="BL145" s="1">
        <v>0</v>
      </c>
      <c r="BM145" s="1">
        <v>1651.7814328679999</v>
      </c>
      <c r="BN145" s="1">
        <v>3.0307164719999999</v>
      </c>
      <c r="BO145" s="1">
        <v>10961.951308587999</v>
      </c>
      <c r="BP145" s="1">
        <v>0</v>
      </c>
      <c r="BQ145" s="1">
        <v>0</v>
      </c>
      <c r="BR145" s="1">
        <v>0</v>
      </c>
      <c r="BS145" s="1">
        <v>23710</v>
      </c>
      <c r="BT145" s="1">
        <v>0</v>
      </c>
      <c r="BU145" s="1">
        <v>0</v>
      </c>
      <c r="BV145" s="1">
        <v>2130</v>
      </c>
      <c r="BW145" s="1">
        <v>0</v>
      </c>
      <c r="BX145" s="1">
        <v>0</v>
      </c>
      <c r="BY145" s="1">
        <v>0</v>
      </c>
      <c r="BZ145" s="1">
        <v>0</v>
      </c>
      <c r="CA145" s="1">
        <v>0</v>
      </c>
      <c r="CB145" s="1">
        <v>25480</v>
      </c>
    </row>
    <row r="146" spans="1:80">
      <c r="B146">
        <v>144</v>
      </c>
      <c r="C146" s="1" t="s">
        <v>16</v>
      </c>
      <c r="D146" s="1" t="s">
        <v>19</v>
      </c>
      <c r="E146" s="1" t="s">
        <v>215</v>
      </c>
      <c r="F146" s="1" t="s">
        <v>263</v>
      </c>
      <c r="G146" s="1">
        <v>1167990</v>
      </c>
      <c r="H146" s="1">
        <v>14789094</v>
      </c>
      <c r="I146" s="1">
        <v>315037.84000000003</v>
      </c>
      <c r="J146" s="1">
        <v>174922.89</v>
      </c>
      <c r="K146" s="1">
        <v>55527.85</v>
      </c>
      <c r="L146" s="1">
        <v>186240.67</v>
      </c>
      <c r="M146" s="1">
        <v>0</v>
      </c>
      <c r="N146" s="1">
        <v>-1870.4390000000001</v>
      </c>
      <c r="O146" s="1">
        <v>-1101.627</v>
      </c>
      <c r="P146" s="1">
        <v>0</v>
      </c>
      <c r="Q146" s="1">
        <v>-1368.5840000000001</v>
      </c>
      <c r="R146" s="1">
        <v>-2119.5070000000001</v>
      </c>
      <c r="S146" s="1">
        <v>-4764.5810000000001</v>
      </c>
      <c r="T146" s="1">
        <v>853.58</v>
      </c>
      <c r="U146" s="1">
        <v>490.14800000000002</v>
      </c>
      <c r="V146" s="1">
        <v>1209.5429999999999</v>
      </c>
      <c r="W146" s="1">
        <v>2099.54</v>
      </c>
      <c r="X146" s="1">
        <v>0</v>
      </c>
      <c r="Y146" s="1">
        <v>-6571.9279999999999</v>
      </c>
      <c r="Z146" s="1">
        <v>-13279.52</v>
      </c>
      <c r="AA146" s="1">
        <v>14172</v>
      </c>
      <c r="AB146" s="1">
        <v>0</v>
      </c>
      <c r="AC146" s="1">
        <v>1637154</v>
      </c>
      <c r="AD146" s="1">
        <v>127260</v>
      </c>
      <c r="AE146" s="1">
        <v>5731.5626642120005</v>
      </c>
      <c r="AF146" s="1">
        <v>0</v>
      </c>
      <c r="AG146" s="1">
        <v>10979.398406116001</v>
      </c>
      <c r="AH146" s="1">
        <v>26.965868068999999</v>
      </c>
      <c r="AI146" s="1">
        <v>3655.8188091950001</v>
      </c>
      <c r="AJ146" s="1">
        <v>139.69282117</v>
      </c>
      <c r="AK146" s="1">
        <v>3638.7164215359999</v>
      </c>
      <c r="AL146" s="1">
        <v>7085.2041900849999</v>
      </c>
      <c r="AM146" s="1">
        <v>0</v>
      </c>
      <c r="AN146" s="1">
        <v>0</v>
      </c>
      <c r="AO146" s="1">
        <v>4533.7197602200004</v>
      </c>
      <c r="AP146" s="1">
        <v>26.549485851</v>
      </c>
      <c r="AQ146" s="1">
        <v>0</v>
      </c>
      <c r="AR146" s="1">
        <v>0</v>
      </c>
      <c r="AS146" s="1">
        <v>0</v>
      </c>
      <c r="AT146" s="1">
        <v>13672.3</v>
      </c>
      <c r="AU146" s="1">
        <v>0</v>
      </c>
      <c r="AV146" s="1">
        <v>0</v>
      </c>
      <c r="AW146" s="1">
        <v>805.5</v>
      </c>
      <c r="AX146" s="1">
        <v>0</v>
      </c>
      <c r="AY146" s="1">
        <v>0</v>
      </c>
      <c r="AZ146" s="1">
        <v>0</v>
      </c>
      <c r="BA146" s="1">
        <v>0</v>
      </c>
      <c r="BB146" s="1">
        <v>0</v>
      </c>
      <c r="BC146" s="1">
        <v>1574.115910304</v>
      </c>
      <c r="BD146" s="1">
        <v>0</v>
      </c>
      <c r="BE146" s="1">
        <v>2890.951978481</v>
      </c>
      <c r="BF146" s="1">
        <v>18.02047632</v>
      </c>
      <c r="BG146" s="1">
        <v>1256.505015164</v>
      </c>
      <c r="BH146" s="1">
        <v>604.38902833400005</v>
      </c>
      <c r="BI146" s="1">
        <v>462.34808449199994</v>
      </c>
      <c r="BJ146" s="1">
        <v>1954.4230459739997</v>
      </c>
      <c r="BK146" s="1">
        <v>0</v>
      </c>
      <c r="BL146" s="1">
        <v>0</v>
      </c>
      <c r="BM146" s="1">
        <v>1651.7814328679999</v>
      </c>
      <c r="BN146" s="1">
        <v>3.0307164719999999</v>
      </c>
      <c r="BO146" s="1">
        <v>9607.0981787199999</v>
      </c>
      <c r="BP146" s="1">
        <v>0</v>
      </c>
      <c r="BQ146" s="1">
        <v>0</v>
      </c>
      <c r="BR146" s="1">
        <v>0</v>
      </c>
      <c r="BS146" s="1">
        <v>20350</v>
      </c>
      <c r="BT146" s="1">
        <v>0</v>
      </c>
      <c r="BU146" s="1">
        <v>0</v>
      </c>
      <c r="BV146" s="1">
        <v>819.99999999999989</v>
      </c>
      <c r="BW146" s="1">
        <v>0</v>
      </c>
      <c r="BX146" s="1">
        <v>0</v>
      </c>
      <c r="BY146" s="1">
        <v>0</v>
      </c>
      <c r="BZ146" s="1">
        <v>0</v>
      </c>
      <c r="CA146" s="1">
        <v>0</v>
      </c>
      <c r="CB146" s="1">
        <v>20720</v>
      </c>
    </row>
    <row r="147" spans="1:80">
      <c r="A147" t="s">
        <v>72</v>
      </c>
      <c r="B147">
        <v>145</v>
      </c>
      <c r="C147" s="1" t="s">
        <v>20</v>
      </c>
      <c r="D147" s="1" t="s">
        <v>19</v>
      </c>
      <c r="E147" s="1" t="s">
        <v>73</v>
      </c>
      <c r="F147" s="1" t="s">
        <v>78</v>
      </c>
      <c r="G147" s="1">
        <v>1167990</v>
      </c>
      <c r="H147" s="1">
        <v>14789094</v>
      </c>
      <c r="I147" s="1">
        <v>315037.84000000003</v>
      </c>
      <c r="J147" s="1">
        <v>174922.89</v>
      </c>
      <c r="K147" s="1">
        <v>55527.85</v>
      </c>
      <c r="L147" s="1">
        <v>186240.67</v>
      </c>
      <c r="M147" s="1">
        <v>0</v>
      </c>
      <c r="N147" s="1">
        <v>-4649.0820000000003</v>
      </c>
      <c r="O147" s="1">
        <v>-1111.681</v>
      </c>
      <c r="P147" s="1">
        <v>0</v>
      </c>
      <c r="Q147" s="1">
        <v>-1368.5840000000001</v>
      </c>
      <c r="R147" s="1">
        <v>-3177.8090000000002</v>
      </c>
      <c r="S147" s="1">
        <v>-10021.719999999999</v>
      </c>
      <c r="T147" s="1">
        <v>1318.816</v>
      </c>
      <c r="U147" s="1">
        <v>858.84799999999996</v>
      </c>
      <c r="V147" s="1">
        <v>2408.6909999999998</v>
      </c>
      <c r="W147" s="1">
        <v>3408.915</v>
      </c>
      <c r="X147" s="1">
        <v>0</v>
      </c>
      <c r="Y147" s="1">
        <v>-12333.6</v>
      </c>
      <c r="Z147" s="1">
        <v>-31414.166000000001</v>
      </c>
      <c r="AA147" s="1">
        <v>18888</v>
      </c>
      <c r="AB147" s="1">
        <v>17</v>
      </c>
      <c r="AC147" s="1">
        <v>2144127</v>
      </c>
      <c r="AD147" s="1">
        <v>75792</v>
      </c>
      <c r="AE147" s="1">
        <v>7386.8492162430002</v>
      </c>
      <c r="AF147" s="1">
        <v>0</v>
      </c>
      <c r="AG147" s="1">
        <v>10979.398406116001</v>
      </c>
      <c r="AH147" s="1">
        <v>10468.729506522001</v>
      </c>
      <c r="AI147" s="1">
        <v>3885.3819300730001</v>
      </c>
      <c r="AJ147" s="1">
        <v>92.546067403999999</v>
      </c>
      <c r="AK147" s="1">
        <v>3439.006540501</v>
      </c>
      <c r="AL147" s="1">
        <v>6097.0233847320005</v>
      </c>
      <c r="AM147" s="1">
        <v>0</v>
      </c>
      <c r="AN147" s="1">
        <v>0</v>
      </c>
      <c r="AO147" s="1">
        <v>4533.7197602200004</v>
      </c>
      <c r="AP147" s="1">
        <v>26.549485851</v>
      </c>
      <c r="AQ147" s="1">
        <v>0</v>
      </c>
      <c r="AR147" s="1">
        <v>0</v>
      </c>
      <c r="AS147" s="1">
        <v>0</v>
      </c>
      <c r="AT147" s="1">
        <v>8622.5</v>
      </c>
      <c r="AU147" s="1">
        <v>0</v>
      </c>
      <c r="AV147" s="1">
        <v>0</v>
      </c>
      <c r="AW147" s="1">
        <v>0</v>
      </c>
      <c r="AX147" s="1">
        <v>0</v>
      </c>
      <c r="AY147" s="1">
        <v>0</v>
      </c>
      <c r="AZ147" s="1">
        <v>0</v>
      </c>
      <c r="BA147" s="1">
        <v>0</v>
      </c>
      <c r="BB147" s="1">
        <v>0</v>
      </c>
      <c r="BC147" s="1">
        <v>2048.9008538319999</v>
      </c>
      <c r="BD147" s="1">
        <v>0</v>
      </c>
      <c r="BE147" s="1">
        <v>2890.951978481</v>
      </c>
      <c r="BF147" s="1">
        <v>4001.4433538869998</v>
      </c>
      <c r="BG147" s="1">
        <v>1448.0442484129999</v>
      </c>
      <c r="BH147" s="1">
        <v>870.56648064399997</v>
      </c>
      <c r="BI147" s="1">
        <v>480.20132533100002</v>
      </c>
      <c r="BJ147" s="1">
        <v>1849.2728840529999</v>
      </c>
      <c r="BK147" s="1">
        <v>0</v>
      </c>
      <c r="BL147" s="1">
        <v>0</v>
      </c>
      <c r="BM147" s="1">
        <v>1651.7814328679999</v>
      </c>
      <c r="BN147" s="1">
        <v>3.0307164719999999</v>
      </c>
      <c r="BO147" s="1">
        <v>12865.521116462</v>
      </c>
      <c r="BP147" s="1">
        <v>0</v>
      </c>
      <c r="BQ147" s="1">
        <v>0</v>
      </c>
      <c r="BR147" s="1">
        <v>0</v>
      </c>
      <c r="BS147" s="1">
        <v>33210</v>
      </c>
      <c r="BT147" s="1">
        <v>0</v>
      </c>
      <c r="BU147" s="1">
        <v>0</v>
      </c>
      <c r="BV147" s="1">
        <v>0</v>
      </c>
      <c r="BW147" s="1">
        <v>0</v>
      </c>
      <c r="BX147" s="1">
        <v>0</v>
      </c>
      <c r="BY147" s="1">
        <v>0</v>
      </c>
      <c r="BZ147" s="1">
        <v>0</v>
      </c>
      <c r="CA147" s="1">
        <v>0</v>
      </c>
      <c r="CB147" s="1">
        <v>33210</v>
      </c>
    </row>
    <row r="148" spans="1:80">
      <c r="B148">
        <v>146</v>
      </c>
      <c r="C148" s="1" t="s">
        <v>20</v>
      </c>
      <c r="D148" s="1" t="s">
        <v>19</v>
      </c>
      <c r="E148" s="1" t="s">
        <v>75</v>
      </c>
      <c r="F148" s="1" t="s">
        <v>80</v>
      </c>
      <c r="G148" s="1">
        <v>1167990</v>
      </c>
      <c r="H148" s="1">
        <v>14789094</v>
      </c>
      <c r="I148" s="1">
        <v>315037.84000000003</v>
      </c>
      <c r="J148" s="1">
        <v>174922.89</v>
      </c>
      <c r="K148" s="1">
        <v>55527.85</v>
      </c>
      <c r="L148" s="1">
        <v>186240.67</v>
      </c>
      <c r="M148" s="1">
        <v>0</v>
      </c>
      <c r="N148" s="1">
        <v>-4649.0820000000003</v>
      </c>
      <c r="O148" s="1">
        <v>-1111.681</v>
      </c>
      <c r="P148" s="1">
        <v>0</v>
      </c>
      <c r="Q148" s="1">
        <v>-1368.5840000000001</v>
      </c>
      <c r="R148" s="1">
        <v>-3177.8090000000002</v>
      </c>
      <c r="S148" s="1">
        <v>-10021.719999999999</v>
      </c>
      <c r="T148" s="1">
        <v>1318.816</v>
      </c>
      <c r="U148" s="1">
        <v>858.84799999999996</v>
      </c>
      <c r="V148" s="1">
        <v>2408.6909999999998</v>
      </c>
      <c r="W148" s="1">
        <v>3408.915</v>
      </c>
      <c r="X148" s="1">
        <v>0</v>
      </c>
      <c r="Y148" s="1">
        <v>-12333.6</v>
      </c>
      <c r="Z148" s="1">
        <v>-20375.576000000001</v>
      </c>
      <c r="AA148" s="1">
        <v>15171</v>
      </c>
      <c r="AB148" s="1">
        <v>0</v>
      </c>
      <c r="AC148" s="1">
        <v>2013841</v>
      </c>
      <c r="AD148" s="1">
        <v>56650</v>
      </c>
      <c r="AE148" s="1">
        <v>7386.8492162430002</v>
      </c>
      <c r="AF148" s="1">
        <v>0</v>
      </c>
      <c r="AG148" s="1">
        <v>10979.398406116001</v>
      </c>
      <c r="AH148" s="1">
        <v>6478.3066295360004</v>
      </c>
      <c r="AI148" s="1">
        <v>3927.6583770760003</v>
      </c>
      <c r="AJ148" s="1">
        <v>62.027298606000002</v>
      </c>
      <c r="AK148" s="1">
        <v>3622.2624979870002</v>
      </c>
      <c r="AL148" s="1">
        <v>7042.0710878629998</v>
      </c>
      <c r="AM148" s="1">
        <v>0</v>
      </c>
      <c r="AN148" s="1">
        <v>0</v>
      </c>
      <c r="AO148" s="1">
        <v>4533.7197602200004</v>
      </c>
      <c r="AP148" s="1">
        <v>26.549485851</v>
      </c>
      <c r="AQ148" s="1">
        <v>0</v>
      </c>
      <c r="AR148" s="1">
        <v>0</v>
      </c>
      <c r="AS148" s="1">
        <v>0</v>
      </c>
      <c r="AT148" s="1">
        <v>6444.8</v>
      </c>
      <c r="AU148" s="1">
        <v>0</v>
      </c>
      <c r="AV148" s="1">
        <v>0</v>
      </c>
      <c r="AW148" s="1">
        <v>0</v>
      </c>
      <c r="AX148" s="1">
        <v>0</v>
      </c>
      <c r="AY148" s="1">
        <v>0</v>
      </c>
      <c r="AZ148" s="1">
        <v>0</v>
      </c>
      <c r="BA148" s="1">
        <v>0</v>
      </c>
      <c r="BB148" s="1">
        <v>0</v>
      </c>
      <c r="BC148" s="1">
        <v>2048.9008538319999</v>
      </c>
      <c r="BD148" s="1">
        <v>0</v>
      </c>
      <c r="BE148" s="1">
        <v>2890.951978481</v>
      </c>
      <c r="BF148" s="1">
        <v>4001.5901115539996</v>
      </c>
      <c r="BG148" s="1">
        <v>1264.19784729</v>
      </c>
      <c r="BH148" s="1">
        <v>810.88730470999997</v>
      </c>
      <c r="BI148" s="1">
        <v>459.80542258700001</v>
      </c>
      <c r="BJ148" s="1">
        <v>1951.8599062549999</v>
      </c>
      <c r="BK148" s="1">
        <v>0</v>
      </c>
      <c r="BL148" s="1">
        <v>0</v>
      </c>
      <c r="BM148" s="1">
        <v>1651.7814328679999</v>
      </c>
      <c r="BN148" s="1">
        <v>3.0307164719999999</v>
      </c>
      <c r="BO148" s="1">
        <v>13003.589364388001</v>
      </c>
      <c r="BP148" s="1">
        <v>0</v>
      </c>
      <c r="BQ148" s="1">
        <v>0</v>
      </c>
      <c r="BR148" s="1">
        <v>0</v>
      </c>
      <c r="BS148" s="1">
        <v>29610.000000000004</v>
      </c>
      <c r="BT148" s="1">
        <v>0</v>
      </c>
      <c r="BU148" s="1">
        <v>0</v>
      </c>
      <c r="BV148" s="1">
        <v>0</v>
      </c>
      <c r="BW148" s="1">
        <v>0</v>
      </c>
      <c r="BX148" s="1">
        <v>0</v>
      </c>
      <c r="BY148" s="1">
        <v>0</v>
      </c>
      <c r="BZ148" s="1">
        <v>0</v>
      </c>
      <c r="CA148" s="1">
        <v>0</v>
      </c>
      <c r="CB148" s="1">
        <v>29610.000000000004</v>
      </c>
    </row>
    <row r="149" spans="1:80">
      <c r="B149">
        <v>147</v>
      </c>
      <c r="C149" s="1" t="s">
        <v>20</v>
      </c>
      <c r="D149" s="1" t="s">
        <v>19</v>
      </c>
      <c r="E149" s="1" t="s">
        <v>77</v>
      </c>
      <c r="F149" s="1" t="s">
        <v>82</v>
      </c>
      <c r="G149" s="1">
        <v>1167990</v>
      </c>
      <c r="H149" s="1">
        <v>14789094</v>
      </c>
      <c r="I149" s="1">
        <v>315037.84000000003</v>
      </c>
      <c r="J149" s="1">
        <v>174922.89</v>
      </c>
      <c r="K149" s="1">
        <v>55527.85</v>
      </c>
      <c r="L149" s="1">
        <v>186240.67</v>
      </c>
      <c r="M149" s="1">
        <v>0</v>
      </c>
      <c r="N149" s="1">
        <v>-4807.6959999999999</v>
      </c>
      <c r="O149" s="1">
        <v>-1113.9059999999999</v>
      </c>
      <c r="P149" s="1">
        <v>0</v>
      </c>
      <c r="Q149" s="1">
        <v>-1368.5840000000001</v>
      </c>
      <c r="R149" s="1">
        <v>-3290.2359999999999</v>
      </c>
      <c r="S149" s="1">
        <v>-10403.42</v>
      </c>
      <c r="T149" s="1">
        <v>1390.797</v>
      </c>
      <c r="U149" s="1">
        <v>950.24300000000005</v>
      </c>
      <c r="V149" s="1">
        <v>2061.1759999999999</v>
      </c>
      <c r="W149" s="1">
        <v>3707.0619999999999</v>
      </c>
      <c r="X149" s="1">
        <v>0</v>
      </c>
      <c r="Y149" s="1">
        <v>-12874.56</v>
      </c>
      <c r="Z149" s="1">
        <v>-32400.09</v>
      </c>
      <c r="AA149" s="1">
        <v>19988</v>
      </c>
      <c r="AB149" s="1">
        <v>6</v>
      </c>
      <c r="AC149" s="1">
        <v>2077614</v>
      </c>
      <c r="AD149" s="1">
        <v>76823</v>
      </c>
      <c r="AE149" s="1">
        <v>5731.5626642120005</v>
      </c>
      <c r="AF149" s="1">
        <v>0</v>
      </c>
      <c r="AG149" s="1">
        <v>10979.398406116001</v>
      </c>
      <c r="AH149" s="1">
        <v>10815.258487999001</v>
      </c>
      <c r="AI149" s="1">
        <v>3807.8119706410002</v>
      </c>
      <c r="AJ149" s="1">
        <v>84.194532261000006</v>
      </c>
      <c r="AK149" s="1">
        <v>3431.0099541340001</v>
      </c>
      <c r="AL149" s="1">
        <v>6044.5455733879999</v>
      </c>
      <c r="AM149" s="1">
        <v>0</v>
      </c>
      <c r="AN149" s="1">
        <v>0</v>
      </c>
      <c r="AO149" s="1">
        <v>4533.7197602200004</v>
      </c>
      <c r="AP149" s="1">
        <v>26.549485851</v>
      </c>
      <c r="AQ149" s="1">
        <v>0</v>
      </c>
      <c r="AR149" s="1">
        <v>0</v>
      </c>
      <c r="AS149" s="1">
        <v>0</v>
      </c>
      <c r="AT149" s="1">
        <v>8739.9</v>
      </c>
      <c r="AU149" s="1">
        <v>0</v>
      </c>
      <c r="AV149" s="1">
        <v>0</v>
      </c>
      <c r="AW149" s="1">
        <v>0</v>
      </c>
      <c r="AX149" s="1">
        <v>0</v>
      </c>
      <c r="AY149" s="1">
        <v>0</v>
      </c>
      <c r="AZ149" s="1">
        <v>0</v>
      </c>
      <c r="BA149" s="1">
        <v>0</v>
      </c>
      <c r="BB149" s="1">
        <v>0</v>
      </c>
      <c r="BC149" s="1">
        <v>1574.115910304</v>
      </c>
      <c r="BD149" s="1">
        <v>0</v>
      </c>
      <c r="BE149" s="1">
        <v>2890.951978481</v>
      </c>
      <c r="BF149" s="1">
        <v>4001.4604187320001</v>
      </c>
      <c r="BG149" s="1">
        <v>1445.061313507</v>
      </c>
      <c r="BH149" s="1">
        <v>871.238835537</v>
      </c>
      <c r="BI149" s="1">
        <v>474.47777631799994</v>
      </c>
      <c r="BJ149" s="1">
        <v>1744.6961009240001</v>
      </c>
      <c r="BK149" s="1">
        <v>0</v>
      </c>
      <c r="BL149" s="1">
        <v>0</v>
      </c>
      <c r="BM149" s="1">
        <v>1651.7814328679999</v>
      </c>
      <c r="BN149" s="1">
        <v>3.0307164719999999</v>
      </c>
      <c r="BO149" s="1">
        <v>12344.439248449</v>
      </c>
      <c r="BP149" s="1">
        <v>0</v>
      </c>
      <c r="BQ149" s="1">
        <v>0</v>
      </c>
      <c r="BR149" s="1">
        <v>0</v>
      </c>
      <c r="BS149" s="1">
        <v>33590</v>
      </c>
      <c r="BT149" s="1">
        <v>0</v>
      </c>
      <c r="BU149" s="1">
        <v>0</v>
      </c>
      <c r="BV149" s="1">
        <v>0</v>
      </c>
      <c r="BW149" s="1">
        <v>0</v>
      </c>
      <c r="BX149" s="1">
        <v>0</v>
      </c>
      <c r="BY149" s="1">
        <v>0</v>
      </c>
      <c r="BZ149" s="1">
        <v>0</v>
      </c>
      <c r="CA149" s="1">
        <v>0</v>
      </c>
      <c r="CB149" s="1">
        <v>33590</v>
      </c>
    </row>
    <row r="150" spans="1:80">
      <c r="B150">
        <v>148</v>
      </c>
      <c r="C150" s="1" t="s">
        <v>20</v>
      </c>
      <c r="D150" s="1" t="s">
        <v>19</v>
      </c>
      <c r="E150" s="1" t="s">
        <v>79</v>
      </c>
      <c r="F150" s="1" t="s">
        <v>84</v>
      </c>
      <c r="G150" s="1">
        <v>1167990</v>
      </c>
      <c r="H150" s="1">
        <v>14789094</v>
      </c>
      <c r="I150" s="1">
        <v>315037.84000000003</v>
      </c>
      <c r="J150" s="1">
        <v>174922.89</v>
      </c>
      <c r="K150" s="1">
        <v>55527.85</v>
      </c>
      <c r="L150" s="1">
        <v>186240.67</v>
      </c>
      <c r="M150" s="1">
        <v>0</v>
      </c>
      <c r="N150" s="1">
        <v>-4807.6959999999999</v>
      </c>
      <c r="O150" s="1">
        <v>-1113.9059999999999</v>
      </c>
      <c r="P150" s="1">
        <v>0</v>
      </c>
      <c r="Q150" s="1">
        <v>-1368.5840000000001</v>
      </c>
      <c r="R150" s="1">
        <v>-3290.2359999999999</v>
      </c>
      <c r="S150" s="1">
        <v>-10403.42</v>
      </c>
      <c r="T150" s="1">
        <v>1390.797</v>
      </c>
      <c r="U150" s="1">
        <v>950.24300000000005</v>
      </c>
      <c r="V150" s="1">
        <v>2061.1759999999999</v>
      </c>
      <c r="W150" s="1">
        <v>3707.0619999999999</v>
      </c>
      <c r="X150" s="1">
        <v>0</v>
      </c>
      <c r="Y150" s="1">
        <v>-12874.56</v>
      </c>
      <c r="Z150" s="1">
        <v>-21387.9</v>
      </c>
      <c r="AA150" s="1">
        <v>15300</v>
      </c>
      <c r="AB150" s="1">
        <v>0</v>
      </c>
      <c r="AC150" s="1">
        <v>1949453</v>
      </c>
      <c r="AD150" s="1">
        <v>57275</v>
      </c>
      <c r="AE150" s="1">
        <v>5731.5626642120005</v>
      </c>
      <c r="AF150" s="1">
        <v>0</v>
      </c>
      <c r="AG150" s="1">
        <v>10979.398406116001</v>
      </c>
      <c r="AH150" s="1">
        <v>6862.8765634870006</v>
      </c>
      <c r="AI150" s="1">
        <v>3856.5662328060002</v>
      </c>
      <c r="AJ150" s="1">
        <v>53.839585974999999</v>
      </c>
      <c r="AK150" s="1">
        <v>3614.184000364</v>
      </c>
      <c r="AL150" s="1">
        <v>6991.4055630580006</v>
      </c>
      <c r="AM150" s="1">
        <v>0</v>
      </c>
      <c r="AN150" s="1">
        <v>0</v>
      </c>
      <c r="AO150" s="1">
        <v>4533.7197602200004</v>
      </c>
      <c r="AP150" s="1">
        <v>26.549485851</v>
      </c>
      <c r="AQ150" s="1">
        <v>0</v>
      </c>
      <c r="AR150" s="1">
        <v>0</v>
      </c>
      <c r="AS150" s="1">
        <v>0</v>
      </c>
      <c r="AT150" s="1">
        <v>6515.9</v>
      </c>
      <c r="AU150" s="1">
        <v>0</v>
      </c>
      <c r="AV150" s="1">
        <v>0</v>
      </c>
      <c r="AW150" s="1">
        <v>0</v>
      </c>
      <c r="AX150" s="1">
        <v>0</v>
      </c>
      <c r="AY150" s="1">
        <v>0</v>
      </c>
      <c r="AZ150" s="1">
        <v>0</v>
      </c>
      <c r="BA150" s="1">
        <v>0</v>
      </c>
      <c r="BB150" s="1">
        <v>0</v>
      </c>
      <c r="BC150" s="1">
        <v>1574.115910304</v>
      </c>
      <c r="BD150" s="1">
        <v>0</v>
      </c>
      <c r="BE150" s="1">
        <v>2890.951978481</v>
      </c>
      <c r="BF150" s="1">
        <v>4001.511613267</v>
      </c>
      <c r="BG150" s="1">
        <v>1193.2388088110001</v>
      </c>
      <c r="BH150" s="1">
        <v>764.52212084500002</v>
      </c>
      <c r="BI150" s="1">
        <v>456.67573001400001</v>
      </c>
      <c r="BJ150" s="1">
        <v>1885.0646899559997</v>
      </c>
      <c r="BK150" s="1">
        <v>0</v>
      </c>
      <c r="BL150" s="1">
        <v>0</v>
      </c>
      <c r="BM150" s="1">
        <v>1651.7814328679999</v>
      </c>
      <c r="BN150" s="1">
        <v>3.0307164719999999</v>
      </c>
      <c r="BO150" s="1">
        <v>12500.746402711</v>
      </c>
      <c r="BP150" s="1">
        <v>0</v>
      </c>
      <c r="BQ150" s="1">
        <v>0</v>
      </c>
      <c r="BR150" s="1">
        <v>0</v>
      </c>
      <c r="BS150" s="1">
        <v>29670</v>
      </c>
      <c r="BT150" s="1">
        <v>0</v>
      </c>
      <c r="BU150" s="1">
        <v>0</v>
      </c>
      <c r="BV150" s="1">
        <v>0</v>
      </c>
      <c r="BW150" s="1">
        <v>0</v>
      </c>
      <c r="BX150" s="1">
        <v>0</v>
      </c>
      <c r="BY150" s="1">
        <v>0</v>
      </c>
      <c r="BZ150" s="1">
        <v>0</v>
      </c>
      <c r="CA150" s="1">
        <v>0</v>
      </c>
      <c r="CB150" s="1">
        <v>29670</v>
      </c>
    </row>
    <row r="151" spans="1:80">
      <c r="B151">
        <v>149</v>
      </c>
      <c r="C151" s="1" t="s">
        <v>20</v>
      </c>
      <c r="D151" s="1" t="s">
        <v>19</v>
      </c>
      <c r="E151" s="1" t="s">
        <v>81</v>
      </c>
      <c r="F151" s="1" t="s">
        <v>86</v>
      </c>
      <c r="G151" s="1">
        <v>1167990</v>
      </c>
      <c r="H151" s="1">
        <v>14789094</v>
      </c>
      <c r="I151" s="1">
        <v>315037.84000000003</v>
      </c>
      <c r="J151" s="1">
        <v>174922.89</v>
      </c>
      <c r="K151" s="1">
        <v>55527.85</v>
      </c>
      <c r="L151" s="1">
        <v>186240.67</v>
      </c>
      <c r="M151" s="1">
        <v>0</v>
      </c>
      <c r="N151" s="1">
        <v>-4595.7780000000002</v>
      </c>
      <c r="O151" s="1">
        <v>-1108.99</v>
      </c>
      <c r="P151" s="1">
        <v>0</v>
      </c>
      <c r="Q151" s="1">
        <v>-1368.5840000000001</v>
      </c>
      <c r="R151" s="1">
        <v>-2647.6770000000001</v>
      </c>
      <c r="S151" s="1">
        <v>-9885.9259999999995</v>
      </c>
      <c r="T151" s="1">
        <v>1291.173</v>
      </c>
      <c r="U151" s="1">
        <v>828.06700000000001</v>
      </c>
      <c r="V151" s="1">
        <v>2336.0189999999998</v>
      </c>
      <c r="W151" s="1">
        <v>3307.4929999999999</v>
      </c>
      <c r="X151" s="1">
        <v>0</v>
      </c>
      <c r="Y151" s="1">
        <v>-11844.21</v>
      </c>
      <c r="Z151" s="1">
        <v>-30744.932000000001</v>
      </c>
      <c r="AA151" s="1">
        <v>17729</v>
      </c>
      <c r="AB151" s="1">
        <v>18</v>
      </c>
      <c r="AC151" s="1">
        <v>2133988</v>
      </c>
      <c r="AD151" s="1">
        <v>74458</v>
      </c>
      <c r="AE151" s="1">
        <v>7386.8492162430002</v>
      </c>
      <c r="AF151" s="1">
        <v>0</v>
      </c>
      <c r="AG151" s="1">
        <v>10979.398406116001</v>
      </c>
      <c r="AH151" s="1">
        <v>10243.75341598</v>
      </c>
      <c r="AI151" s="1">
        <v>3886.2044556020001</v>
      </c>
      <c r="AJ151" s="1">
        <v>93.341289181000008</v>
      </c>
      <c r="AK151" s="1">
        <v>3438.1021037159999</v>
      </c>
      <c r="AL151" s="1">
        <v>6099.4670705360004</v>
      </c>
      <c r="AM151" s="1">
        <v>0</v>
      </c>
      <c r="AN151" s="1">
        <v>0</v>
      </c>
      <c r="AO151" s="1">
        <v>4533.7197602200004</v>
      </c>
      <c r="AP151" s="1">
        <v>26.549485851</v>
      </c>
      <c r="AQ151" s="1">
        <v>0</v>
      </c>
      <c r="AR151" s="1">
        <v>0</v>
      </c>
      <c r="AS151" s="1">
        <v>0</v>
      </c>
      <c r="AT151" s="1">
        <v>8470.7000000000007</v>
      </c>
      <c r="AU151" s="1">
        <v>0</v>
      </c>
      <c r="AV151" s="1">
        <v>0</v>
      </c>
      <c r="AW151" s="1">
        <v>0</v>
      </c>
      <c r="AX151" s="1">
        <v>0</v>
      </c>
      <c r="AY151" s="1">
        <v>0</v>
      </c>
      <c r="AZ151" s="1">
        <v>0</v>
      </c>
      <c r="BA151" s="1">
        <v>0</v>
      </c>
      <c r="BB151" s="1">
        <v>0</v>
      </c>
      <c r="BC151" s="1">
        <v>2048.9008538319999</v>
      </c>
      <c r="BD151" s="1">
        <v>0</v>
      </c>
      <c r="BE151" s="1">
        <v>2890.951978481</v>
      </c>
      <c r="BF151" s="1">
        <v>4001.5457429569997</v>
      </c>
      <c r="BG151" s="1">
        <v>1446.221722967</v>
      </c>
      <c r="BH151" s="1">
        <v>873.05112207599996</v>
      </c>
      <c r="BI151" s="1">
        <v>477.89074531799997</v>
      </c>
      <c r="BJ151" s="1">
        <v>1851.9315869039999</v>
      </c>
      <c r="BK151" s="1">
        <v>0</v>
      </c>
      <c r="BL151" s="1">
        <v>0</v>
      </c>
      <c r="BM151" s="1">
        <v>1651.7814328679999</v>
      </c>
      <c r="BN151" s="1">
        <v>3.0307164719999999</v>
      </c>
      <c r="BO151" s="1">
        <v>12841.326579221</v>
      </c>
      <c r="BP151" s="1">
        <v>0</v>
      </c>
      <c r="BQ151" s="1">
        <v>0</v>
      </c>
      <c r="BR151" s="1">
        <v>0</v>
      </c>
      <c r="BS151" s="1">
        <v>32530</v>
      </c>
      <c r="BT151" s="1">
        <v>0</v>
      </c>
      <c r="BU151" s="1">
        <v>0</v>
      </c>
      <c r="BV151" s="1">
        <v>0</v>
      </c>
      <c r="BW151" s="1">
        <v>0</v>
      </c>
      <c r="BX151" s="1">
        <v>0</v>
      </c>
      <c r="BY151" s="1">
        <v>0</v>
      </c>
      <c r="BZ151" s="1">
        <v>0</v>
      </c>
      <c r="CA151" s="1">
        <v>0</v>
      </c>
      <c r="CB151" s="1">
        <v>32530</v>
      </c>
    </row>
    <row r="152" spans="1:80">
      <c r="B152">
        <v>150</v>
      </c>
      <c r="C152" s="1" t="s">
        <v>20</v>
      </c>
      <c r="D152" s="1" t="s">
        <v>19</v>
      </c>
      <c r="E152" s="1" t="s">
        <v>83</v>
      </c>
      <c r="F152" s="1" t="s">
        <v>88</v>
      </c>
      <c r="G152" s="1">
        <v>1167990</v>
      </c>
      <c r="H152" s="1">
        <v>14789094</v>
      </c>
      <c r="I152" s="1">
        <v>315037.84000000003</v>
      </c>
      <c r="J152" s="1">
        <v>174922.89</v>
      </c>
      <c r="K152" s="1">
        <v>55527.85</v>
      </c>
      <c r="L152" s="1">
        <v>186240.67</v>
      </c>
      <c r="M152" s="1">
        <v>0</v>
      </c>
      <c r="N152" s="1">
        <v>-4595.7780000000002</v>
      </c>
      <c r="O152" s="1">
        <v>-1108.99</v>
      </c>
      <c r="P152" s="1">
        <v>0</v>
      </c>
      <c r="Q152" s="1">
        <v>-1368.5840000000001</v>
      </c>
      <c r="R152" s="1">
        <v>-2647.6770000000001</v>
      </c>
      <c r="S152" s="1">
        <v>-9885.9259999999995</v>
      </c>
      <c r="T152" s="1">
        <v>1291.173</v>
      </c>
      <c r="U152" s="1">
        <v>828.06700000000001</v>
      </c>
      <c r="V152" s="1">
        <v>2336.0189999999998</v>
      </c>
      <c r="W152" s="1">
        <v>3307.4929999999999</v>
      </c>
      <c r="X152" s="1">
        <v>0</v>
      </c>
      <c r="Y152" s="1">
        <v>-11844.21</v>
      </c>
      <c r="Z152" s="1">
        <v>-19646.307000000001</v>
      </c>
      <c r="AA152" s="1">
        <v>14946</v>
      </c>
      <c r="AB152" s="1">
        <v>0</v>
      </c>
      <c r="AC152" s="1">
        <v>2001583</v>
      </c>
      <c r="AD152" s="1">
        <v>55912</v>
      </c>
      <c r="AE152" s="1">
        <v>7386.8492162430002</v>
      </c>
      <c r="AF152" s="1">
        <v>0</v>
      </c>
      <c r="AG152" s="1">
        <v>10979.398406116001</v>
      </c>
      <c r="AH152" s="1">
        <v>6205.2179150009997</v>
      </c>
      <c r="AI152" s="1">
        <v>3928.5389230780002</v>
      </c>
      <c r="AJ152" s="1">
        <v>62.450506762000003</v>
      </c>
      <c r="AK152" s="1">
        <v>3621.4502113650001</v>
      </c>
      <c r="AL152" s="1">
        <v>7046.4704049040001</v>
      </c>
      <c r="AM152" s="1">
        <v>0</v>
      </c>
      <c r="AN152" s="1">
        <v>0</v>
      </c>
      <c r="AO152" s="1">
        <v>4533.7197602200004</v>
      </c>
      <c r="AP152" s="1">
        <v>26.549485851</v>
      </c>
      <c r="AQ152" s="1">
        <v>0</v>
      </c>
      <c r="AR152" s="1">
        <v>0</v>
      </c>
      <c r="AS152" s="1">
        <v>0</v>
      </c>
      <c r="AT152" s="1">
        <v>6360.9</v>
      </c>
      <c r="AU152" s="1">
        <v>0</v>
      </c>
      <c r="AV152" s="1">
        <v>0</v>
      </c>
      <c r="AW152" s="1">
        <v>0</v>
      </c>
      <c r="AX152" s="1">
        <v>0</v>
      </c>
      <c r="AY152" s="1">
        <v>0</v>
      </c>
      <c r="AZ152" s="1">
        <v>0</v>
      </c>
      <c r="BA152" s="1">
        <v>0</v>
      </c>
      <c r="BB152" s="1">
        <v>0</v>
      </c>
      <c r="BC152" s="1">
        <v>2048.9008538319999</v>
      </c>
      <c r="BD152" s="1">
        <v>0</v>
      </c>
      <c r="BE152" s="1">
        <v>2890.951978481</v>
      </c>
      <c r="BF152" s="1">
        <v>4001.5628078020004</v>
      </c>
      <c r="BG152" s="1">
        <v>1251.8053568509999</v>
      </c>
      <c r="BH152" s="1">
        <v>774.508468139</v>
      </c>
      <c r="BI152" s="1">
        <v>458.55627593299999</v>
      </c>
      <c r="BJ152" s="1">
        <v>1960.4981307940002</v>
      </c>
      <c r="BK152" s="1">
        <v>0</v>
      </c>
      <c r="BL152" s="1">
        <v>0</v>
      </c>
      <c r="BM152" s="1">
        <v>1651.7814328679999</v>
      </c>
      <c r="BN152" s="1">
        <v>3.0307164719999999</v>
      </c>
      <c r="BO152" s="1">
        <v>13002.227589757</v>
      </c>
      <c r="BP152" s="1">
        <v>0</v>
      </c>
      <c r="BQ152" s="1">
        <v>0</v>
      </c>
      <c r="BR152" s="1">
        <v>0</v>
      </c>
      <c r="BS152" s="1">
        <v>29330</v>
      </c>
      <c r="BT152" s="1">
        <v>0</v>
      </c>
      <c r="BU152" s="1">
        <v>0</v>
      </c>
      <c r="BV152" s="1">
        <v>0</v>
      </c>
      <c r="BW152" s="1">
        <v>0</v>
      </c>
      <c r="BX152" s="1">
        <v>0</v>
      </c>
      <c r="BY152" s="1">
        <v>0</v>
      </c>
      <c r="BZ152" s="1">
        <v>0</v>
      </c>
      <c r="CA152" s="1">
        <v>0</v>
      </c>
      <c r="CB152" s="1">
        <v>29330</v>
      </c>
    </row>
    <row r="153" spans="1:80">
      <c r="B153">
        <v>151</v>
      </c>
      <c r="C153" s="1" t="s">
        <v>20</v>
      </c>
      <c r="D153" s="1" t="s">
        <v>19</v>
      </c>
      <c r="E153" s="1" t="s">
        <v>85</v>
      </c>
      <c r="F153" s="1" t="s">
        <v>90</v>
      </c>
      <c r="G153" s="1">
        <v>1167990</v>
      </c>
      <c r="H153" s="1">
        <v>14789094</v>
      </c>
      <c r="I153" s="1">
        <v>315037.84000000003</v>
      </c>
      <c r="J153" s="1">
        <v>174922.89</v>
      </c>
      <c r="K153" s="1">
        <v>55527.85</v>
      </c>
      <c r="L153" s="1">
        <v>186240.67</v>
      </c>
      <c r="M153" s="1">
        <v>0</v>
      </c>
      <c r="N153" s="1">
        <v>-4757.098</v>
      </c>
      <c r="O153" s="1">
        <v>-1111.4480000000001</v>
      </c>
      <c r="P153" s="1">
        <v>0</v>
      </c>
      <c r="Q153" s="1">
        <v>-1368.5840000000001</v>
      </c>
      <c r="R153" s="1">
        <v>-2743.7860000000001</v>
      </c>
      <c r="S153" s="1">
        <v>-10273.39</v>
      </c>
      <c r="T153" s="1">
        <v>1361.8219999999999</v>
      </c>
      <c r="U153" s="1">
        <v>918.71600000000001</v>
      </c>
      <c r="V153" s="1">
        <v>2004.662</v>
      </c>
      <c r="W153" s="1">
        <v>3602.1129999999998</v>
      </c>
      <c r="X153" s="1">
        <v>0</v>
      </c>
      <c r="Y153" s="1">
        <v>-12366.99</v>
      </c>
      <c r="Z153" s="1">
        <v>-31697.168000000001</v>
      </c>
      <c r="AA153" s="1">
        <v>18591</v>
      </c>
      <c r="AB153" s="1">
        <v>6</v>
      </c>
      <c r="AC153" s="1">
        <v>2066121</v>
      </c>
      <c r="AD153" s="1">
        <v>75712</v>
      </c>
      <c r="AE153" s="1">
        <v>5731.5626642120005</v>
      </c>
      <c r="AF153" s="1">
        <v>0</v>
      </c>
      <c r="AG153" s="1">
        <v>10979.398406116001</v>
      </c>
      <c r="AH153" s="1">
        <v>10568.053730359999</v>
      </c>
      <c r="AI153" s="1">
        <v>3802.8665785600001</v>
      </c>
      <c r="AJ153" s="1">
        <v>84.791801836000005</v>
      </c>
      <c r="AK153" s="1">
        <v>3430.146472977</v>
      </c>
      <c r="AL153" s="1">
        <v>6045.4773139250001</v>
      </c>
      <c r="AM153" s="1">
        <v>0</v>
      </c>
      <c r="AN153" s="1">
        <v>0</v>
      </c>
      <c r="AO153" s="1">
        <v>4533.7197602200004</v>
      </c>
      <c r="AP153" s="1">
        <v>26.549485851</v>
      </c>
      <c r="AQ153" s="1">
        <v>0</v>
      </c>
      <c r="AR153" s="1">
        <v>0</v>
      </c>
      <c r="AS153" s="1">
        <v>0</v>
      </c>
      <c r="AT153" s="1">
        <v>8613.4</v>
      </c>
      <c r="AU153" s="1">
        <v>0</v>
      </c>
      <c r="AV153" s="1">
        <v>0</v>
      </c>
      <c r="AW153" s="1">
        <v>0</v>
      </c>
      <c r="AX153" s="1">
        <v>0</v>
      </c>
      <c r="AY153" s="1">
        <v>0</v>
      </c>
      <c r="AZ153" s="1">
        <v>0</v>
      </c>
      <c r="BA153" s="1">
        <v>0</v>
      </c>
      <c r="BB153" s="1">
        <v>0</v>
      </c>
      <c r="BC153" s="1">
        <v>1574.115910304</v>
      </c>
      <c r="BD153" s="1">
        <v>0</v>
      </c>
      <c r="BE153" s="1">
        <v>2890.951978481</v>
      </c>
      <c r="BF153" s="1">
        <v>4001.4262890419996</v>
      </c>
      <c r="BG153" s="1">
        <v>1442.8360577189999</v>
      </c>
      <c r="BH153" s="1">
        <v>873.55624148799996</v>
      </c>
      <c r="BI153" s="1">
        <v>471.03067762799998</v>
      </c>
      <c r="BJ153" s="1">
        <v>1755.3206734209998</v>
      </c>
      <c r="BK153" s="1">
        <v>0</v>
      </c>
      <c r="BL153" s="1">
        <v>0</v>
      </c>
      <c r="BM153" s="1">
        <v>1651.7814328679999</v>
      </c>
      <c r="BN153" s="1">
        <v>3.0307164719999999</v>
      </c>
      <c r="BO153" s="1">
        <v>12337.797610775</v>
      </c>
      <c r="BP153" s="1">
        <v>0</v>
      </c>
      <c r="BQ153" s="1">
        <v>0</v>
      </c>
      <c r="BR153" s="1">
        <v>0</v>
      </c>
      <c r="BS153" s="1">
        <v>33240</v>
      </c>
      <c r="BT153" s="1">
        <v>0</v>
      </c>
      <c r="BU153" s="1">
        <v>0</v>
      </c>
      <c r="BV153" s="1">
        <v>0</v>
      </c>
      <c r="BW153" s="1">
        <v>0</v>
      </c>
      <c r="BX153" s="1">
        <v>0</v>
      </c>
      <c r="BY153" s="1">
        <v>0</v>
      </c>
      <c r="BZ153" s="1">
        <v>0</v>
      </c>
      <c r="CA153" s="1">
        <v>0</v>
      </c>
      <c r="CB153" s="1">
        <v>33240</v>
      </c>
    </row>
    <row r="154" spans="1:80">
      <c r="B154">
        <v>152</v>
      </c>
      <c r="C154" s="1" t="s">
        <v>20</v>
      </c>
      <c r="D154" s="1" t="s">
        <v>19</v>
      </c>
      <c r="E154" s="1" t="s">
        <v>87</v>
      </c>
      <c r="F154" s="1" t="s">
        <v>92</v>
      </c>
      <c r="G154" s="1">
        <v>1167990</v>
      </c>
      <c r="H154" s="1">
        <v>14789094</v>
      </c>
      <c r="I154" s="1">
        <v>315037.84000000003</v>
      </c>
      <c r="J154" s="1">
        <v>174922.89</v>
      </c>
      <c r="K154" s="1">
        <v>55527.85</v>
      </c>
      <c r="L154" s="1">
        <v>186240.67</v>
      </c>
      <c r="M154" s="1">
        <v>0</v>
      </c>
      <c r="N154" s="1">
        <v>-4757.098</v>
      </c>
      <c r="O154" s="1">
        <v>-1111.4480000000001</v>
      </c>
      <c r="P154" s="1">
        <v>0</v>
      </c>
      <c r="Q154" s="1">
        <v>-1368.5840000000001</v>
      </c>
      <c r="R154" s="1">
        <v>-2743.7860000000001</v>
      </c>
      <c r="S154" s="1">
        <v>-10273.39</v>
      </c>
      <c r="T154" s="1">
        <v>1361.8219999999999</v>
      </c>
      <c r="U154" s="1">
        <v>918.71600000000001</v>
      </c>
      <c r="V154" s="1">
        <v>2004.662</v>
      </c>
      <c r="W154" s="1">
        <v>3602.1129999999998</v>
      </c>
      <c r="X154" s="1">
        <v>0</v>
      </c>
      <c r="Y154" s="1">
        <v>-12366.99</v>
      </c>
      <c r="Z154" s="1">
        <v>-20648.053</v>
      </c>
      <c r="AA154" s="1">
        <v>15060</v>
      </c>
      <c r="AB154" s="1">
        <v>0</v>
      </c>
      <c r="AC154" s="1">
        <v>1937223</v>
      </c>
      <c r="AD154" s="1">
        <v>56503</v>
      </c>
      <c r="AE154" s="1">
        <v>5731.5626642120005</v>
      </c>
      <c r="AF154" s="1">
        <v>0</v>
      </c>
      <c r="AG154" s="1">
        <v>10979.398406116001</v>
      </c>
      <c r="AH154" s="1">
        <v>6593.4636165649999</v>
      </c>
      <c r="AI154" s="1">
        <v>3856.1430246499999</v>
      </c>
      <c r="AJ154" s="1">
        <v>54.242316317000004</v>
      </c>
      <c r="AK154" s="1">
        <v>3613.3546488970001</v>
      </c>
      <c r="AL154" s="1">
        <v>6994.1359382580004</v>
      </c>
      <c r="AM154" s="1">
        <v>0</v>
      </c>
      <c r="AN154" s="1">
        <v>0</v>
      </c>
      <c r="AO154" s="1">
        <v>4533.7197602200004</v>
      </c>
      <c r="AP154" s="1">
        <v>26.549485851</v>
      </c>
      <c r="AQ154" s="1">
        <v>0</v>
      </c>
      <c r="AR154" s="1">
        <v>0</v>
      </c>
      <c r="AS154" s="1">
        <v>0</v>
      </c>
      <c r="AT154" s="1">
        <v>6428.1</v>
      </c>
      <c r="AU154" s="1">
        <v>0</v>
      </c>
      <c r="AV154" s="1">
        <v>0</v>
      </c>
      <c r="AW154" s="1">
        <v>0</v>
      </c>
      <c r="AX154" s="1">
        <v>0</v>
      </c>
      <c r="AY154" s="1">
        <v>0</v>
      </c>
      <c r="AZ154" s="1">
        <v>0</v>
      </c>
      <c r="BA154" s="1">
        <v>0</v>
      </c>
      <c r="BB154" s="1">
        <v>0</v>
      </c>
      <c r="BC154" s="1">
        <v>1574.115910304</v>
      </c>
      <c r="BD154" s="1">
        <v>0</v>
      </c>
      <c r="BE154" s="1">
        <v>2890.951978481</v>
      </c>
      <c r="BF154" s="1">
        <v>4001.5389170190001</v>
      </c>
      <c r="BG154" s="1">
        <v>1182.0954650259998</v>
      </c>
      <c r="BH154" s="1">
        <v>774.781505659</v>
      </c>
      <c r="BI154" s="1">
        <v>456.49142968800004</v>
      </c>
      <c r="BJ154" s="1">
        <v>1893.3309008739998</v>
      </c>
      <c r="BK154" s="1">
        <v>0</v>
      </c>
      <c r="BL154" s="1">
        <v>0</v>
      </c>
      <c r="BM154" s="1">
        <v>1651.7814328679999</v>
      </c>
      <c r="BN154" s="1">
        <v>3.0307164719999999</v>
      </c>
      <c r="BO154" s="1">
        <v>12499.422170739001</v>
      </c>
      <c r="BP154" s="1">
        <v>0</v>
      </c>
      <c r="BQ154" s="1">
        <v>0</v>
      </c>
      <c r="BR154" s="1">
        <v>0</v>
      </c>
      <c r="BS154" s="1">
        <v>29389.999999999996</v>
      </c>
      <c r="BT154" s="1">
        <v>0</v>
      </c>
      <c r="BU154" s="1">
        <v>0</v>
      </c>
      <c r="BV154" s="1">
        <v>0</v>
      </c>
      <c r="BW154" s="1">
        <v>0</v>
      </c>
      <c r="BX154" s="1">
        <v>0</v>
      </c>
      <c r="BY154" s="1">
        <v>0</v>
      </c>
      <c r="BZ154" s="1">
        <v>0</v>
      </c>
      <c r="CA154" s="1">
        <v>0</v>
      </c>
      <c r="CB154" s="1">
        <v>29389.999999999996</v>
      </c>
    </row>
    <row r="155" spans="1:80">
      <c r="B155">
        <v>153</v>
      </c>
      <c r="C155" s="1" t="s">
        <v>20</v>
      </c>
      <c r="D155" s="1" t="s">
        <v>19</v>
      </c>
      <c r="E155" s="1" t="s">
        <v>89</v>
      </c>
      <c r="F155" s="1" t="s">
        <v>94</v>
      </c>
      <c r="G155" s="1">
        <v>1167990</v>
      </c>
      <c r="H155" s="1">
        <v>14789094</v>
      </c>
      <c r="I155" s="1">
        <v>315037.84000000003</v>
      </c>
      <c r="J155" s="1">
        <v>174922.89</v>
      </c>
      <c r="K155" s="1">
        <v>55527.85</v>
      </c>
      <c r="L155" s="1">
        <v>186240.67</v>
      </c>
      <c r="M155" s="1">
        <v>0</v>
      </c>
      <c r="N155" s="1">
        <v>-4309.4470000000001</v>
      </c>
      <c r="O155" s="1">
        <v>-1108.5170000000001</v>
      </c>
      <c r="P155" s="1">
        <v>0</v>
      </c>
      <c r="Q155" s="1">
        <v>-1368.5840000000001</v>
      </c>
      <c r="R155" s="1">
        <v>-2898.0949999999998</v>
      </c>
      <c r="S155" s="1">
        <v>-6715.2439999999997</v>
      </c>
      <c r="T155" s="1">
        <v>1107.69</v>
      </c>
      <c r="U155" s="1">
        <v>681.33</v>
      </c>
      <c r="V155" s="1">
        <v>1973.182</v>
      </c>
      <c r="W155" s="1">
        <v>2791.8339999999998</v>
      </c>
      <c r="X155" s="1">
        <v>0</v>
      </c>
      <c r="Y155" s="1">
        <v>-9845.8510000000006</v>
      </c>
      <c r="Z155" s="1">
        <v>-28799.863000000001</v>
      </c>
      <c r="AA155" s="1">
        <v>15962</v>
      </c>
      <c r="AB155" s="1">
        <v>20</v>
      </c>
      <c r="AC155" s="1">
        <v>2103856</v>
      </c>
      <c r="AD155" s="1">
        <v>72100</v>
      </c>
      <c r="AE155" s="1">
        <v>7386.8492162430002</v>
      </c>
      <c r="AF155" s="1">
        <v>0</v>
      </c>
      <c r="AG155" s="1">
        <v>10979.398406116001</v>
      </c>
      <c r="AH155" s="1">
        <v>9553.4121763500007</v>
      </c>
      <c r="AI155" s="1">
        <v>3894.2146938450001</v>
      </c>
      <c r="AJ155" s="1">
        <v>97.778148881000007</v>
      </c>
      <c r="AK155" s="1">
        <v>3437.7881105679999</v>
      </c>
      <c r="AL155" s="1">
        <v>6118.46365599</v>
      </c>
      <c r="AM155" s="1">
        <v>0</v>
      </c>
      <c r="AN155" s="1">
        <v>0</v>
      </c>
      <c r="AO155" s="1">
        <v>4533.7197602200004</v>
      </c>
      <c r="AP155" s="1">
        <v>26.549485851</v>
      </c>
      <c r="AQ155" s="1">
        <v>0</v>
      </c>
      <c r="AR155" s="1">
        <v>0</v>
      </c>
      <c r="AS155" s="1">
        <v>0</v>
      </c>
      <c r="AT155" s="1">
        <v>8202.5</v>
      </c>
      <c r="AU155" s="1">
        <v>0</v>
      </c>
      <c r="AV155" s="1">
        <v>0</v>
      </c>
      <c r="AW155" s="1">
        <v>0</v>
      </c>
      <c r="AX155" s="1">
        <v>0</v>
      </c>
      <c r="AY155" s="1">
        <v>0</v>
      </c>
      <c r="AZ155" s="1">
        <v>0</v>
      </c>
      <c r="BA155" s="1">
        <v>0</v>
      </c>
      <c r="BB155" s="1">
        <v>0</v>
      </c>
      <c r="BC155" s="1">
        <v>2048.9008538319999</v>
      </c>
      <c r="BD155" s="1">
        <v>0</v>
      </c>
      <c r="BE155" s="1">
        <v>2890.951978481</v>
      </c>
      <c r="BF155" s="1">
        <v>4001.5423299879999</v>
      </c>
      <c r="BG155" s="1">
        <v>1448.5084121970001</v>
      </c>
      <c r="BH155" s="1">
        <v>869.93166840999993</v>
      </c>
      <c r="BI155" s="1">
        <v>477.53579654200001</v>
      </c>
      <c r="BJ155" s="1">
        <v>1900.2455760680002</v>
      </c>
      <c r="BK155" s="1">
        <v>0</v>
      </c>
      <c r="BL155" s="1">
        <v>0</v>
      </c>
      <c r="BM155" s="1">
        <v>1651.7814328679999</v>
      </c>
      <c r="BN155" s="1">
        <v>3.0307164719999999</v>
      </c>
      <c r="BO155" s="1">
        <v>12844.442619918</v>
      </c>
      <c r="BP155" s="1">
        <v>0</v>
      </c>
      <c r="BQ155" s="1">
        <v>0</v>
      </c>
      <c r="BR155" s="1">
        <v>0</v>
      </c>
      <c r="BS155" s="1">
        <v>32289.999999999996</v>
      </c>
      <c r="BT155" s="1">
        <v>0</v>
      </c>
      <c r="BU155" s="1">
        <v>0</v>
      </c>
      <c r="BV155" s="1">
        <v>0</v>
      </c>
      <c r="BW155" s="1">
        <v>0</v>
      </c>
      <c r="BX155" s="1">
        <v>0</v>
      </c>
      <c r="BY155" s="1">
        <v>0</v>
      </c>
      <c r="BZ155" s="1">
        <v>0</v>
      </c>
      <c r="CA155" s="1">
        <v>0</v>
      </c>
      <c r="CB155" s="1">
        <v>32289.999999999996</v>
      </c>
    </row>
    <row r="156" spans="1:80">
      <c r="B156">
        <v>154</v>
      </c>
      <c r="C156" s="1" t="s">
        <v>20</v>
      </c>
      <c r="D156" s="1" t="s">
        <v>19</v>
      </c>
      <c r="E156" s="1" t="s">
        <v>91</v>
      </c>
      <c r="F156" s="1" t="s">
        <v>96</v>
      </c>
      <c r="G156" s="1">
        <v>1167990</v>
      </c>
      <c r="H156" s="1">
        <v>14789094</v>
      </c>
      <c r="I156" s="1">
        <v>315037.84000000003</v>
      </c>
      <c r="J156" s="1">
        <v>174922.89</v>
      </c>
      <c r="K156" s="1">
        <v>55527.85</v>
      </c>
      <c r="L156" s="1">
        <v>186240.67</v>
      </c>
      <c r="M156" s="1">
        <v>0</v>
      </c>
      <c r="N156" s="1">
        <v>-4309.4470000000001</v>
      </c>
      <c r="O156" s="1">
        <v>-1108.5170000000001</v>
      </c>
      <c r="P156" s="1">
        <v>0</v>
      </c>
      <c r="Q156" s="1">
        <v>-1368.5840000000001</v>
      </c>
      <c r="R156" s="1">
        <v>-2898.0949999999998</v>
      </c>
      <c r="S156" s="1">
        <v>-6715.2439999999997</v>
      </c>
      <c r="T156" s="1">
        <v>1107.69</v>
      </c>
      <c r="U156" s="1">
        <v>681.33</v>
      </c>
      <c r="V156" s="1">
        <v>1973.182</v>
      </c>
      <c r="W156" s="1">
        <v>2791.8339999999998</v>
      </c>
      <c r="X156" s="1">
        <v>0</v>
      </c>
      <c r="Y156" s="1">
        <v>-9845.8510000000006</v>
      </c>
      <c r="Z156" s="1">
        <v>-17410.645</v>
      </c>
      <c r="AA156" s="1">
        <v>14713</v>
      </c>
      <c r="AB156" s="1">
        <v>0</v>
      </c>
      <c r="AC156" s="1">
        <v>1966076</v>
      </c>
      <c r="AD156" s="1">
        <v>53062</v>
      </c>
      <c r="AE156" s="1">
        <v>7386.8492162430002</v>
      </c>
      <c r="AF156" s="1">
        <v>0</v>
      </c>
      <c r="AG156" s="1">
        <v>10979.398406116001</v>
      </c>
      <c r="AH156" s="1">
        <v>5385.5899966819998</v>
      </c>
      <c r="AI156" s="1">
        <v>3946.5593993980001</v>
      </c>
      <c r="AJ156" s="1">
        <v>66.535830654999998</v>
      </c>
      <c r="AK156" s="1">
        <v>3621.4194946440002</v>
      </c>
      <c r="AL156" s="1">
        <v>7067.2041915790005</v>
      </c>
      <c r="AM156" s="1">
        <v>0</v>
      </c>
      <c r="AN156" s="1">
        <v>0</v>
      </c>
      <c r="AO156" s="1">
        <v>4533.7197602200004</v>
      </c>
      <c r="AP156" s="1">
        <v>26.549485851</v>
      </c>
      <c r="AQ156" s="1">
        <v>0</v>
      </c>
      <c r="AR156" s="1">
        <v>0</v>
      </c>
      <c r="AS156" s="1">
        <v>0</v>
      </c>
      <c r="AT156" s="1">
        <v>6036.7</v>
      </c>
      <c r="AU156" s="1">
        <v>0</v>
      </c>
      <c r="AV156" s="1">
        <v>0</v>
      </c>
      <c r="AW156" s="1">
        <v>0</v>
      </c>
      <c r="AX156" s="1">
        <v>0</v>
      </c>
      <c r="AY156" s="1">
        <v>0</v>
      </c>
      <c r="AZ156" s="1">
        <v>0</v>
      </c>
      <c r="BA156" s="1">
        <v>0</v>
      </c>
      <c r="BB156" s="1">
        <v>0</v>
      </c>
      <c r="BC156" s="1">
        <v>2048.9008538319999</v>
      </c>
      <c r="BD156" s="1">
        <v>0</v>
      </c>
      <c r="BE156" s="1">
        <v>2890.951978481</v>
      </c>
      <c r="BF156" s="1">
        <v>4001.6071763989999</v>
      </c>
      <c r="BG156" s="1">
        <v>1269.774638636</v>
      </c>
      <c r="BH156" s="1">
        <v>808.10573497500002</v>
      </c>
      <c r="BI156" s="1">
        <v>460.13306761099994</v>
      </c>
      <c r="BJ156" s="1">
        <v>1991.5663876009999</v>
      </c>
      <c r="BK156" s="1">
        <v>0</v>
      </c>
      <c r="BL156" s="1">
        <v>0</v>
      </c>
      <c r="BM156" s="1">
        <v>1651.7814328679999</v>
      </c>
      <c r="BN156" s="1">
        <v>3.0307164719999999</v>
      </c>
      <c r="BO156" s="1">
        <v>12895.285619111</v>
      </c>
      <c r="BP156" s="1">
        <v>0</v>
      </c>
      <c r="BQ156" s="1">
        <v>0</v>
      </c>
      <c r="BR156" s="1">
        <v>0</v>
      </c>
      <c r="BS156" s="1">
        <v>28450</v>
      </c>
      <c r="BT156" s="1">
        <v>0</v>
      </c>
      <c r="BU156" s="1">
        <v>0</v>
      </c>
      <c r="BV156" s="1">
        <v>0</v>
      </c>
      <c r="BW156" s="1">
        <v>0</v>
      </c>
      <c r="BX156" s="1">
        <v>0</v>
      </c>
      <c r="BY156" s="1">
        <v>0</v>
      </c>
      <c r="BZ156" s="1">
        <v>0</v>
      </c>
      <c r="CA156" s="1">
        <v>0</v>
      </c>
      <c r="CB156" s="1">
        <v>28450</v>
      </c>
    </row>
    <row r="157" spans="1:80">
      <c r="B157">
        <v>155</v>
      </c>
      <c r="C157" s="1" t="s">
        <v>20</v>
      </c>
      <c r="D157" s="1" t="s">
        <v>19</v>
      </c>
      <c r="E157" s="1" t="s">
        <v>93</v>
      </c>
      <c r="F157" s="1" t="s">
        <v>98</v>
      </c>
      <c r="G157" s="1">
        <v>1167990</v>
      </c>
      <c r="H157" s="1">
        <v>14789094</v>
      </c>
      <c r="I157" s="1">
        <v>315037.84000000003</v>
      </c>
      <c r="J157" s="1">
        <v>174922.89</v>
      </c>
      <c r="K157" s="1">
        <v>55527.85</v>
      </c>
      <c r="L157" s="1">
        <v>186240.67</v>
      </c>
      <c r="M157" s="1">
        <v>0</v>
      </c>
      <c r="N157" s="1">
        <v>-4495.643</v>
      </c>
      <c r="O157" s="1">
        <v>-1111.085</v>
      </c>
      <c r="P157" s="1">
        <v>0</v>
      </c>
      <c r="Q157" s="1">
        <v>-1368.5840000000001</v>
      </c>
      <c r="R157" s="1">
        <v>-3031.79</v>
      </c>
      <c r="S157" s="1">
        <v>-7048.75</v>
      </c>
      <c r="T157" s="1">
        <v>1175.8320000000001</v>
      </c>
      <c r="U157" s="1">
        <v>774.12400000000002</v>
      </c>
      <c r="V157" s="1">
        <v>1735.96</v>
      </c>
      <c r="W157" s="1">
        <v>3092.8789999999999</v>
      </c>
      <c r="X157" s="1">
        <v>0</v>
      </c>
      <c r="Y157" s="1">
        <v>-10277.06</v>
      </c>
      <c r="Z157" s="1">
        <v>-29716.76</v>
      </c>
      <c r="AA157" s="1">
        <v>16445</v>
      </c>
      <c r="AB157" s="1">
        <v>5</v>
      </c>
      <c r="AC157" s="1">
        <v>2036084</v>
      </c>
      <c r="AD157" s="1">
        <v>72887</v>
      </c>
      <c r="AE157" s="1">
        <v>5731.5626642120005</v>
      </c>
      <c r="AF157" s="1">
        <v>0</v>
      </c>
      <c r="AG157" s="1">
        <v>10979.398406116001</v>
      </c>
      <c r="AH157" s="1">
        <v>9877.9479855909995</v>
      </c>
      <c r="AI157" s="1">
        <v>3817.1088981970001</v>
      </c>
      <c r="AJ157" s="1">
        <v>88.372006317</v>
      </c>
      <c r="AK157" s="1">
        <v>3429.5594423090001</v>
      </c>
      <c r="AL157" s="1">
        <v>6061.2111010150002</v>
      </c>
      <c r="AM157" s="1">
        <v>0</v>
      </c>
      <c r="AN157" s="1">
        <v>0</v>
      </c>
      <c r="AO157" s="1">
        <v>4533.7197602200004</v>
      </c>
      <c r="AP157" s="1">
        <v>26.549485851</v>
      </c>
      <c r="AQ157" s="1">
        <v>0</v>
      </c>
      <c r="AR157" s="1">
        <v>0</v>
      </c>
      <c r="AS157" s="1">
        <v>0</v>
      </c>
      <c r="AT157" s="1">
        <v>8292</v>
      </c>
      <c r="AU157" s="1">
        <v>0</v>
      </c>
      <c r="AV157" s="1">
        <v>0</v>
      </c>
      <c r="AW157" s="1">
        <v>0</v>
      </c>
      <c r="AX157" s="1">
        <v>0</v>
      </c>
      <c r="AY157" s="1">
        <v>0</v>
      </c>
      <c r="AZ157" s="1">
        <v>0</v>
      </c>
      <c r="BA157" s="1">
        <v>0</v>
      </c>
      <c r="BB157" s="1">
        <v>0</v>
      </c>
      <c r="BC157" s="1">
        <v>1574.115910304</v>
      </c>
      <c r="BD157" s="1">
        <v>0</v>
      </c>
      <c r="BE157" s="1">
        <v>2890.951978481</v>
      </c>
      <c r="BF157" s="1">
        <v>4001.504787329</v>
      </c>
      <c r="BG157" s="1">
        <v>1445.1568766389998</v>
      </c>
      <c r="BH157" s="1">
        <v>871.63473994100002</v>
      </c>
      <c r="BI157" s="1">
        <v>477.89074531799997</v>
      </c>
      <c r="BJ157" s="1">
        <v>1784.8838108990001</v>
      </c>
      <c r="BK157" s="1">
        <v>0</v>
      </c>
      <c r="BL157" s="1">
        <v>0</v>
      </c>
      <c r="BM157" s="1">
        <v>1651.7814328679999</v>
      </c>
      <c r="BN157" s="1">
        <v>3.0307164719999999</v>
      </c>
      <c r="BO157" s="1">
        <v>12341.12525555</v>
      </c>
      <c r="BP157" s="1">
        <v>0</v>
      </c>
      <c r="BQ157" s="1">
        <v>0</v>
      </c>
      <c r="BR157" s="1">
        <v>0</v>
      </c>
      <c r="BS157" s="1">
        <v>32289.999999999996</v>
      </c>
      <c r="BT157" s="1">
        <v>0</v>
      </c>
      <c r="BU157" s="1">
        <v>0</v>
      </c>
      <c r="BV157" s="1">
        <v>0</v>
      </c>
      <c r="BW157" s="1">
        <v>0</v>
      </c>
      <c r="BX157" s="1">
        <v>0</v>
      </c>
      <c r="BY157" s="1">
        <v>0</v>
      </c>
      <c r="BZ157" s="1">
        <v>0</v>
      </c>
      <c r="CA157" s="1">
        <v>0</v>
      </c>
      <c r="CB157" s="1">
        <v>32289.999999999996</v>
      </c>
    </row>
    <row r="158" spans="1:80">
      <c r="B158">
        <v>156</v>
      </c>
      <c r="C158" s="1" t="s">
        <v>20</v>
      </c>
      <c r="D158" s="1" t="s">
        <v>19</v>
      </c>
      <c r="E158" s="1" t="s">
        <v>95</v>
      </c>
      <c r="F158" s="1" t="s">
        <v>100</v>
      </c>
      <c r="G158" s="1">
        <v>1167990</v>
      </c>
      <c r="H158" s="1">
        <v>14789094</v>
      </c>
      <c r="I158" s="1">
        <v>315037.84000000003</v>
      </c>
      <c r="J158" s="1">
        <v>174922.89</v>
      </c>
      <c r="K158" s="1">
        <v>55527.85</v>
      </c>
      <c r="L158" s="1">
        <v>186240.67</v>
      </c>
      <c r="M158" s="1">
        <v>0</v>
      </c>
      <c r="N158" s="1">
        <v>-4495.643</v>
      </c>
      <c r="O158" s="1">
        <v>-1111.085</v>
      </c>
      <c r="P158" s="1">
        <v>0</v>
      </c>
      <c r="Q158" s="1">
        <v>-1368.5840000000001</v>
      </c>
      <c r="R158" s="1">
        <v>-3031.79</v>
      </c>
      <c r="S158" s="1">
        <v>-7048.75</v>
      </c>
      <c r="T158" s="1">
        <v>1175.8320000000001</v>
      </c>
      <c r="U158" s="1">
        <v>774.12400000000002</v>
      </c>
      <c r="V158" s="1">
        <v>1735.96</v>
      </c>
      <c r="W158" s="1">
        <v>3092.8789999999999</v>
      </c>
      <c r="X158" s="1">
        <v>0</v>
      </c>
      <c r="Y158" s="1">
        <v>-10277.06</v>
      </c>
      <c r="Z158" s="1">
        <v>-18371.849999999999</v>
      </c>
      <c r="AA158" s="1">
        <v>14813</v>
      </c>
      <c r="AB158" s="1">
        <v>0</v>
      </c>
      <c r="AC158" s="1">
        <v>1900137</v>
      </c>
      <c r="AD158" s="1">
        <v>53879</v>
      </c>
      <c r="AE158" s="1">
        <v>5731.5626642120005</v>
      </c>
      <c r="AF158" s="1">
        <v>0</v>
      </c>
      <c r="AG158" s="1">
        <v>10979.398406116001</v>
      </c>
      <c r="AH158" s="1">
        <v>5745.4534480419998</v>
      </c>
      <c r="AI158" s="1">
        <v>3872.0645250349999</v>
      </c>
      <c r="AJ158" s="1">
        <v>57.453920146000002</v>
      </c>
      <c r="AK158" s="1">
        <v>3613.0611335630001</v>
      </c>
      <c r="AL158" s="1">
        <v>7011.9209197170003</v>
      </c>
      <c r="AM158" s="1">
        <v>0</v>
      </c>
      <c r="AN158" s="1">
        <v>0</v>
      </c>
      <c r="AO158" s="1">
        <v>4533.7197602200004</v>
      </c>
      <c r="AP158" s="1">
        <v>26.549485851</v>
      </c>
      <c r="AQ158" s="1">
        <v>0</v>
      </c>
      <c r="AR158" s="1">
        <v>0</v>
      </c>
      <c r="AS158" s="1">
        <v>0</v>
      </c>
      <c r="AT158" s="1">
        <v>6129.6</v>
      </c>
      <c r="AU158" s="1">
        <v>0</v>
      </c>
      <c r="AV158" s="1">
        <v>0</v>
      </c>
      <c r="AW158" s="1">
        <v>0</v>
      </c>
      <c r="AX158" s="1">
        <v>0</v>
      </c>
      <c r="AY158" s="1">
        <v>0</v>
      </c>
      <c r="AZ158" s="1">
        <v>0</v>
      </c>
      <c r="BA158" s="1">
        <v>0</v>
      </c>
      <c r="BB158" s="1">
        <v>0</v>
      </c>
      <c r="BC158" s="1">
        <v>1574.115910304</v>
      </c>
      <c r="BD158" s="1">
        <v>0</v>
      </c>
      <c r="BE158" s="1">
        <v>2890.951978481</v>
      </c>
      <c r="BF158" s="1">
        <v>4001.5662207710002</v>
      </c>
      <c r="BG158" s="1">
        <v>1198.388979032</v>
      </c>
      <c r="BH158" s="1">
        <v>762.21495380099998</v>
      </c>
      <c r="BI158" s="1">
        <v>455.81224885699999</v>
      </c>
      <c r="BJ158" s="1">
        <v>1922.8018881889998</v>
      </c>
      <c r="BK158" s="1">
        <v>0</v>
      </c>
      <c r="BL158" s="1">
        <v>0</v>
      </c>
      <c r="BM158" s="1">
        <v>1651.7814328679999</v>
      </c>
      <c r="BN158" s="1">
        <v>3.0307164719999999</v>
      </c>
      <c r="BO158" s="1">
        <v>12450.244700417999</v>
      </c>
      <c r="BP158" s="1">
        <v>0</v>
      </c>
      <c r="BQ158" s="1">
        <v>0</v>
      </c>
      <c r="BR158" s="1">
        <v>0</v>
      </c>
      <c r="BS158" s="1">
        <v>28780</v>
      </c>
      <c r="BT158" s="1">
        <v>0</v>
      </c>
      <c r="BU158" s="1">
        <v>0</v>
      </c>
      <c r="BV158" s="1">
        <v>0</v>
      </c>
      <c r="BW158" s="1">
        <v>0</v>
      </c>
      <c r="BX158" s="1">
        <v>0</v>
      </c>
      <c r="BY158" s="1">
        <v>0</v>
      </c>
      <c r="BZ158" s="1">
        <v>0</v>
      </c>
      <c r="CA158" s="1">
        <v>0</v>
      </c>
      <c r="CB158" s="1">
        <v>28780</v>
      </c>
    </row>
    <row r="159" spans="1:80">
      <c r="B159">
        <v>157</v>
      </c>
      <c r="C159" s="1" t="s">
        <v>20</v>
      </c>
      <c r="D159" s="1" t="s">
        <v>19</v>
      </c>
      <c r="E159" s="1" t="s">
        <v>97</v>
      </c>
      <c r="F159" s="1" t="s">
        <v>102</v>
      </c>
      <c r="G159" s="1">
        <v>1167990</v>
      </c>
      <c r="H159" s="1">
        <v>14789094</v>
      </c>
      <c r="I159" s="1">
        <v>315037.84000000003</v>
      </c>
      <c r="J159" s="1">
        <v>174922.89</v>
      </c>
      <c r="K159" s="1">
        <v>55527.85</v>
      </c>
      <c r="L159" s="1">
        <v>186240.67</v>
      </c>
      <c r="M159" s="1">
        <v>0</v>
      </c>
      <c r="N159" s="1">
        <v>-4243.2049999999999</v>
      </c>
      <c r="O159" s="1">
        <v>-1104.798</v>
      </c>
      <c r="P159" s="1">
        <v>0</v>
      </c>
      <c r="Q159" s="1">
        <v>-1368.5840000000001</v>
      </c>
      <c r="R159" s="1">
        <v>-2400.5129999999999</v>
      </c>
      <c r="S159" s="1">
        <v>-6592.1540000000005</v>
      </c>
      <c r="T159" s="1">
        <v>1079.972</v>
      </c>
      <c r="U159" s="1">
        <v>649.01900000000001</v>
      </c>
      <c r="V159" s="1">
        <v>1896.2829999999999</v>
      </c>
      <c r="W159" s="1">
        <v>2684.9430000000002</v>
      </c>
      <c r="X159" s="1">
        <v>0</v>
      </c>
      <c r="Y159" s="1">
        <v>-9399.0360000000001</v>
      </c>
      <c r="Z159" s="1">
        <v>-28086.421999999999</v>
      </c>
      <c r="AA159" s="1">
        <v>15390</v>
      </c>
      <c r="AB159" s="1">
        <v>20</v>
      </c>
      <c r="AC159" s="1">
        <v>2092906</v>
      </c>
      <c r="AD159" s="1">
        <v>71098</v>
      </c>
      <c r="AE159" s="1">
        <v>7386.8492162430002</v>
      </c>
      <c r="AF159" s="1">
        <v>0</v>
      </c>
      <c r="AG159" s="1">
        <v>10979.398406116001</v>
      </c>
      <c r="AH159" s="1">
        <v>9305.9207293149993</v>
      </c>
      <c r="AI159" s="1">
        <v>3894.8051374820002</v>
      </c>
      <c r="AJ159" s="1">
        <v>98.911254588999995</v>
      </c>
      <c r="AK159" s="1">
        <v>3437.057735202</v>
      </c>
      <c r="AL159" s="1">
        <v>6125.3783311839998</v>
      </c>
      <c r="AM159" s="1">
        <v>0</v>
      </c>
      <c r="AN159" s="1">
        <v>0</v>
      </c>
      <c r="AO159" s="1">
        <v>4533.7197602200004</v>
      </c>
      <c r="AP159" s="1">
        <v>26.549485851</v>
      </c>
      <c r="AQ159" s="1">
        <v>0</v>
      </c>
      <c r="AR159" s="1">
        <v>0</v>
      </c>
      <c r="AS159" s="1">
        <v>0</v>
      </c>
      <c r="AT159" s="1">
        <v>8088.5</v>
      </c>
      <c r="AU159" s="1">
        <v>0</v>
      </c>
      <c r="AV159" s="1">
        <v>0</v>
      </c>
      <c r="AW159" s="1">
        <v>0</v>
      </c>
      <c r="AX159" s="1">
        <v>0</v>
      </c>
      <c r="AY159" s="1">
        <v>0</v>
      </c>
      <c r="AZ159" s="1">
        <v>0</v>
      </c>
      <c r="BA159" s="1">
        <v>0</v>
      </c>
      <c r="BB159" s="1">
        <v>0</v>
      </c>
      <c r="BC159" s="1">
        <v>2048.9008538319999</v>
      </c>
      <c r="BD159" s="1">
        <v>0</v>
      </c>
      <c r="BE159" s="1">
        <v>2890.951978481</v>
      </c>
      <c r="BF159" s="1">
        <v>4001.5866985849998</v>
      </c>
      <c r="BG159" s="1">
        <v>1444.289982513</v>
      </c>
      <c r="BH159" s="1">
        <v>870.09890389099996</v>
      </c>
      <c r="BI159" s="1">
        <v>472.78153072499998</v>
      </c>
      <c r="BJ159" s="1">
        <v>1901.9998421339997</v>
      </c>
      <c r="BK159" s="1">
        <v>0</v>
      </c>
      <c r="BL159" s="1">
        <v>0</v>
      </c>
      <c r="BM159" s="1">
        <v>1651.7814328679999</v>
      </c>
      <c r="BN159" s="1">
        <v>3.0307164719999999</v>
      </c>
      <c r="BO159" s="1">
        <v>12877.500637652</v>
      </c>
      <c r="BP159" s="1">
        <v>0</v>
      </c>
      <c r="BQ159" s="1">
        <v>0</v>
      </c>
      <c r="BR159" s="1">
        <v>0</v>
      </c>
      <c r="BS159" s="1">
        <v>32289.999999999996</v>
      </c>
      <c r="BT159" s="1">
        <v>0</v>
      </c>
      <c r="BU159" s="1">
        <v>0</v>
      </c>
      <c r="BV159" s="1">
        <v>0</v>
      </c>
      <c r="BW159" s="1">
        <v>0</v>
      </c>
      <c r="BX159" s="1">
        <v>0</v>
      </c>
      <c r="BY159" s="1">
        <v>0</v>
      </c>
      <c r="BZ159" s="1">
        <v>0</v>
      </c>
      <c r="CA159" s="1">
        <v>0</v>
      </c>
      <c r="CB159" s="1">
        <v>32289.999999999996</v>
      </c>
    </row>
    <row r="160" spans="1:80">
      <c r="B160">
        <v>158</v>
      </c>
      <c r="C160" s="1" t="s">
        <v>20</v>
      </c>
      <c r="D160" s="1" t="s">
        <v>19</v>
      </c>
      <c r="E160" s="1" t="s">
        <v>99</v>
      </c>
      <c r="F160" s="1" t="s">
        <v>104</v>
      </c>
      <c r="G160" s="1">
        <v>1167990</v>
      </c>
      <c r="H160" s="1">
        <v>14789094</v>
      </c>
      <c r="I160" s="1">
        <v>315037.84000000003</v>
      </c>
      <c r="J160" s="1">
        <v>174922.89</v>
      </c>
      <c r="K160" s="1">
        <v>55527.85</v>
      </c>
      <c r="L160" s="1">
        <v>186240.67</v>
      </c>
      <c r="M160" s="1">
        <v>0</v>
      </c>
      <c r="N160" s="1">
        <v>-4243.2049999999999</v>
      </c>
      <c r="O160" s="1">
        <v>-1104.798</v>
      </c>
      <c r="P160" s="1">
        <v>0</v>
      </c>
      <c r="Q160" s="1">
        <v>-1368.5840000000001</v>
      </c>
      <c r="R160" s="1">
        <v>-2400.5129999999999</v>
      </c>
      <c r="S160" s="1">
        <v>-6592.1540000000005</v>
      </c>
      <c r="T160" s="1">
        <v>1079.972</v>
      </c>
      <c r="U160" s="1">
        <v>649.01900000000001</v>
      </c>
      <c r="V160" s="1">
        <v>1896.2829999999999</v>
      </c>
      <c r="W160" s="1">
        <v>2684.9430000000002</v>
      </c>
      <c r="X160" s="1">
        <v>0</v>
      </c>
      <c r="Y160" s="1">
        <v>-9399.0360000000001</v>
      </c>
      <c r="Z160" s="1">
        <v>-16680.305</v>
      </c>
      <c r="AA160" s="1">
        <v>14549</v>
      </c>
      <c r="AB160" s="1">
        <v>0</v>
      </c>
      <c r="AC160" s="1">
        <v>1954512</v>
      </c>
      <c r="AD160" s="1">
        <v>52107</v>
      </c>
      <c r="AE160" s="1">
        <v>7386.8492162430002</v>
      </c>
      <c r="AF160" s="1">
        <v>0</v>
      </c>
      <c r="AG160" s="1">
        <v>10979.398406116001</v>
      </c>
      <c r="AH160" s="1">
        <v>5121.8425783000002</v>
      </c>
      <c r="AI160" s="1">
        <v>3949.3785117920002</v>
      </c>
      <c r="AJ160" s="1">
        <v>67.317400555999996</v>
      </c>
      <c r="AK160" s="1">
        <v>3620.6788803710001</v>
      </c>
      <c r="AL160" s="1">
        <v>7075.0915629379997</v>
      </c>
      <c r="AM160" s="1">
        <v>0</v>
      </c>
      <c r="AN160" s="1">
        <v>0</v>
      </c>
      <c r="AO160" s="1">
        <v>4533.7197602200004</v>
      </c>
      <c r="AP160" s="1">
        <v>26.549485851</v>
      </c>
      <c r="AQ160" s="1">
        <v>0</v>
      </c>
      <c r="AR160" s="1">
        <v>0</v>
      </c>
      <c r="AS160" s="1">
        <v>0</v>
      </c>
      <c r="AT160" s="1">
        <v>5928</v>
      </c>
      <c r="AU160" s="1">
        <v>0</v>
      </c>
      <c r="AV160" s="1">
        <v>0</v>
      </c>
      <c r="AW160" s="1">
        <v>0</v>
      </c>
      <c r="AX160" s="1">
        <v>0</v>
      </c>
      <c r="AY160" s="1">
        <v>0</v>
      </c>
      <c r="AZ160" s="1">
        <v>0</v>
      </c>
      <c r="BA160" s="1">
        <v>0</v>
      </c>
      <c r="BB160" s="1">
        <v>0</v>
      </c>
      <c r="BC160" s="1">
        <v>2048.9008538319999</v>
      </c>
      <c r="BD160" s="1">
        <v>0</v>
      </c>
      <c r="BE160" s="1">
        <v>2890.951978481</v>
      </c>
      <c r="BF160" s="1">
        <v>4001.6037634300001</v>
      </c>
      <c r="BG160" s="1">
        <v>1257.3821481970001</v>
      </c>
      <c r="BH160" s="1">
        <v>772.05113045899998</v>
      </c>
      <c r="BI160" s="1">
        <v>459.064808314</v>
      </c>
      <c r="BJ160" s="1">
        <v>2000.542496071</v>
      </c>
      <c r="BK160" s="1">
        <v>0</v>
      </c>
      <c r="BL160" s="1">
        <v>0</v>
      </c>
      <c r="BM160" s="1">
        <v>1651.7814328679999</v>
      </c>
      <c r="BN160" s="1">
        <v>3.0307164719999999</v>
      </c>
      <c r="BO160" s="1">
        <v>12983.316328528001</v>
      </c>
      <c r="BP160" s="1">
        <v>0</v>
      </c>
      <c r="BQ160" s="1">
        <v>0</v>
      </c>
      <c r="BR160" s="1">
        <v>0</v>
      </c>
      <c r="BS160" s="1">
        <v>28139.999999999996</v>
      </c>
      <c r="BT160" s="1">
        <v>0</v>
      </c>
      <c r="BU160" s="1">
        <v>0</v>
      </c>
      <c r="BV160" s="1">
        <v>0</v>
      </c>
      <c r="BW160" s="1">
        <v>0</v>
      </c>
      <c r="BX160" s="1">
        <v>0</v>
      </c>
      <c r="BY160" s="1">
        <v>0</v>
      </c>
      <c r="BZ160" s="1">
        <v>0</v>
      </c>
      <c r="CA160" s="1">
        <v>0</v>
      </c>
      <c r="CB160" s="1">
        <v>28139.999999999996</v>
      </c>
    </row>
    <row r="161" spans="2:80">
      <c r="B161">
        <v>159</v>
      </c>
      <c r="C161" s="1" t="s">
        <v>20</v>
      </c>
      <c r="D161" s="1" t="s">
        <v>19</v>
      </c>
      <c r="E161" s="1" t="s">
        <v>101</v>
      </c>
      <c r="F161" s="1" t="s">
        <v>106</v>
      </c>
      <c r="G161" s="1">
        <v>1167990</v>
      </c>
      <c r="H161" s="1">
        <v>14789094</v>
      </c>
      <c r="I161" s="1">
        <v>315037.84000000003</v>
      </c>
      <c r="J161" s="1">
        <v>174922.89</v>
      </c>
      <c r="K161" s="1">
        <v>55527.85</v>
      </c>
      <c r="L161" s="1">
        <v>186240.67</v>
      </c>
      <c r="M161" s="1">
        <v>0</v>
      </c>
      <c r="N161" s="1">
        <v>-4422.4260000000004</v>
      </c>
      <c r="O161" s="1">
        <v>-1108.0170000000001</v>
      </c>
      <c r="P161" s="1">
        <v>0</v>
      </c>
      <c r="Q161" s="1">
        <v>-1368.5840000000001</v>
      </c>
      <c r="R161" s="1">
        <v>-2509.886</v>
      </c>
      <c r="S161" s="1">
        <v>-6912.5680000000002</v>
      </c>
      <c r="T161" s="1">
        <v>1144.307</v>
      </c>
      <c r="U161" s="1">
        <v>734.82299999999998</v>
      </c>
      <c r="V161" s="1">
        <v>1667.0319999999999</v>
      </c>
      <c r="W161" s="1">
        <v>2965.5439999999999</v>
      </c>
      <c r="X161" s="1">
        <v>0</v>
      </c>
      <c r="Y161" s="1">
        <v>-9809.7749999999996</v>
      </c>
      <c r="Z161" s="1">
        <v>-28999.438999999998</v>
      </c>
      <c r="AA161" s="1">
        <v>15800</v>
      </c>
      <c r="AB161" s="1">
        <v>5</v>
      </c>
      <c r="AC161" s="1">
        <v>2025367</v>
      </c>
      <c r="AD161" s="1">
        <v>71955</v>
      </c>
      <c r="AE161" s="1">
        <v>5731.5626642120005</v>
      </c>
      <c r="AF161" s="1">
        <v>0</v>
      </c>
      <c r="AG161" s="1">
        <v>10979.398406116001</v>
      </c>
      <c r="AH161" s="1">
        <v>9640.3336708420011</v>
      </c>
      <c r="AI161" s="1">
        <v>3814.5594103540002</v>
      </c>
      <c r="AJ161" s="1">
        <v>89.194531846000004</v>
      </c>
      <c r="AK161" s="1">
        <v>3428.7573945940003</v>
      </c>
      <c r="AL161" s="1">
        <v>6066.8800425239997</v>
      </c>
      <c r="AM161" s="1">
        <v>0</v>
      </c>
      <c r="AN161" s="1">
        <v>0</v>
      </c>
      <c r="AO161" s="1">
        <v>4533.7197602200004</v>
      </c>
      <c r="AP161" s="1">
        <v>26.549485851</v>
      </c>
      <c r="AQ161" s="1">
        <v>0</v>
      </c>
      <c r="AR161" s="1">
        <v>0</v>
      </c>
      <c r="AS161" s="1">
        <v>0</v>
      </c>
      <c r="AT161" s="1">
        <v>8186</v>
      </c>
      <c r="AU161" s="1">
        <v>0</v>
      </c>
      <c r="AV161" s="1">
        <v>0</v>
      </c>
      <c r="AW161" s="1">
        <v>0</v>
      </c>
      <c r="AX161" s="1">
        <v>0</v>
      </c>
      <c r="AY161" s="1">
        <v>0</v>
      </c>
      <c r="AZ161" s="1">
        <v>0</v>
      </c>
      <c r="BA161" s="1">
        <v>0</v>
      </c>
      <c r="BB161" s="1">
        <v>0</v>
      </c>
      <c r="BC161" s="1">
        <v>1574.115910304</v>
      </c>
      <c r="BD161" s="1">
        <v>0</v>
      </c>
      <c r="BE161" s="1">
        <v>2890.951978481</v>
      </c>
      <c r="BF161" s="1">
        <v>4001.5286781120003</v>
      </c>
      <c r="BG161" s="1">
        <v>1442.870187409</v>
      </c>
      <c r="BH161" s="1">
        <v>873.98627558199985</v>
      </c>
      <c r="BI161" s="1">
        <v>476.77129148599994</v>
      </c>
      <c r="BJ161" s="1">
        <v>1793.4537760579999</v>
      </c>
      <c r="BK161" s="1">
        <v>0</v>
      </c>
      <c r="BL161" s="1">
        <v>0</v>
      </c>
      <c r="BM161" s="1">
        <v>1651.7814328679999</v>
      </c>
      <c r="BN161" s="1">
        <v>3.0307164719999999</v>
      </c>
      <c r="BO161" s="1">
        <v>12339.38464136</v>
      </c>
      <c r="BP161" s="1">
        <v>0</v>
      </c>
      <c r="BQ161" s="1">
        <v>0</v>
      </c>
      <c r="BR161" s="1">
        <v>0</v>
      </c>
      <c r="BS161" s="1">
        <v>32289.999999999996</v>
      </c>
      <c r="BT161" s="1">
        <v>0</v>
      </c>
      <c r="BU161" s="1">
        <v>0</v>
      </c>
      <c r="BV161" s="1">
        <v>0</v>
      </c>
      <c r="BW161" s="1">
        <v>0</v>
      </c>
      <c r="BX161" s="1">
        <v>0</v>
      </c>
      <c r="BY161" s="1">
        <v>0</v>
      </c>
      <c r="BZ161" s="1">
        <v>0</v>
      </c>
      <c r="CA161" s="1">
        <v>0</v>
      </c>
      <c r="CB161" s="1">
        <v>32289.999999999996</v>
      </c>
    </row>
    <row r="162" spans="2:80">
      <c r="B162">
        <v>160</v>
      </c>
      <c r="C162" s="1" t="s">
        <v>20</v>
      </c>
      <c r="D162" s="1" t="s">
        <v>19</v>
      </c>
      <c r="E162" s="1" t="s">
        <v>103</v>
      </c>
      <c r="F162" s="1" t="s">
        <v>108</v>
      </c>
      <c r="G162" s="1">
        <v>1167990</v>
      </c>
      <c r="H162" s="1">
        <v>14789094</v>
      </c>
      <c r="I162" s="1">
        <v>315037.84000000003</v>
      </c>
      <c r="J162" s="1">
        <v>174922.89</v>
      </c>
      <c r="K162" s="1">
        <v>55527.85</v>
      </c>
      <c r="L162" s="1">
        <v>186240.67</v>
      </c>
      <c r="M162" s="1">
        <v>0</v>
      </c>
      <c r="N162" s="1">
        <v>-4422.4260000000004</v>
      </c>
      <c r="O162" s="1">
        <v>-1108.0170000000001</v>
      </c>
      <c r="P162" s="1">
        <v>0</v>
      </c>
      <c r="Q162" s="1">
        <v>-1368.5840000000001</v>
      </c>
      <c r="R162" s="1">
        <v>-2509.886</v>
      </c>
      <c r="S162" s="1">
        <v>-6912.5680000000002</v>
      </c>
      <c r="T162" s="1">
        <v>1144.307</v>
      </c>
      <c r="U162" s="1">
        <v>734.82299999999998</v>
      </c>
      <c r="V162" s="1">
        <v>1667.0319999999999</v>
      </c>
      <c r="W162" s="1">
        <v>2965.5439999999999</v>
      </c>
      <c r="X162" s="1">
        <v>0</v>
      </c>
      <c r="Y162" s="1">
        <v>-9809.7749999999996</v>
      </c>
      <c r="Z162" s="1">
        <v>-17628.789000000001</v>
      </c>
      <c r="AA162" s="1">
        <v>14637</v>
      </c>
      <c r="AB162" s="1">
        <v>0</v>
      </c>
      <c r="AC162" s="1">
        <v>1888205</v>
      </c>
      <c r="AD162" s="1">
        <v>52956</v>
      </c>
      <c r="AE162" s="1">
        <v>5731.5626642120005</v>
      </c>
      <c r="AF162" s="1">
        <v>0</v>
      </c>
      <c r="AG162" s="1">
        <v>10979.398406116001</v>
      </c>
      <c r="AH162" s="1">
        <v>5476.1599550350002</v>
      </c>
      <c r="AI162" s="1">
        <v>3874.1873917530002</v>
      </c>
      <c r="AJ162" s="1">
        <v>58.150165821999998</v>
      </c>
      <c r="AK162" s="1">
        <v>3612.3580619489999</v>
      </c>
      <c r="AL162" s="1">
        <v>7018.050612041</v>
      </c>
      <c r="AM162" s="1">
        <v>0</v>
      </c>
      <c r="AN162" s="1">
        <v>0</v>
      </c>
      <c r="AO162" s="1">
        <v>4533.7197602200004</v>
      </c>
      <c r="AP162" s="1">
        <v>26.549485851</v>
      </c>
      <c r="AQ162" s="1">
        <v>0</v>
      </c>
      <c r="AR162" s="1">
        <v>0</v>
      </c>
      <c r="AS162" s="1">
        <v>0</v>
      </c>
      <c r="AT162" s="1">
        <v>6024.6</v>
      </c>
      <c r="AU162" s="1">
        <v>0</v>
      </c>
      <c r="AV162" s="1">
        <v>0</v>
      </c>
      <c r="AW162" s="1">
        <v>0</v>
      </c>
      <c r="AX162" s="1">
        <v>0</v>
      </c>
      <c r="AY162" s="1">
        <v>0</v>
      </c>
      <c r="AZ162" s="1">
        <v>0</v>
      </c>
      <c r="BA162" s="1">
        <v>0</v>
      </c>
      <c r="BB162" s="1">
        <v>0</v>
      </c>
      <c r="BC162" s="1">
        <v>1574.115910304</v>
      </c>
      <c r="BD162" s="1">
        <v>0</v>
      </c>
      <c r="BE162" s="1">
        <v>2890.951978481</v>
      </c>
      <c r="BF162" s="1">
        <v>4001.56963374</v>
      </c>
      <c r="BG162" s="1">
        <v>1187.2353963400001</v>
      </c>
      <c r="BH162" s="1">
        <v>772.30710313399993</v>
      </c>
      <c r="BI162" s="1">
        <v>455.38562773199999</v>
      </c>
      <c r="BJ162" s="1">
        <v>1931.347962565</v>
      </c>
      <c r="BK162" s="1">
        <v>0</v>
      </c>
      <c r="BL162" s="1">
        <v>0</v>
      </c>
      <c r="BM162" s="1">
        <v>1651.7814328679999</v>
      </c>
      <c r="BN162" s="1">
        <v>3.0307164719999999</v>
      </c>
      <c r="BO162" s="1">
        <v>12391.142316244999</v>
      </c>
      <c r="BP162" s="1">
        <v>0</v>
      </c>
      <c r="BQ162" s="1">
        <v>0</v>
      </c>
      <c r="BR162" s="1">
        <v>0</v>
      </c>
      <c r="BS162" s="1">
        <v>28389.999999999996</v>
      </c>
      <c r="BT162" s="1">
        <v>0</v>
      </c>
      <c r="BU162" s="1">
        <v>0</v>
      </c>
      <c r="BV162" s="1">
        <v>0</v>
      </c>
      <c r="BW162" s="1">
        <v>0</v>
      </c>
      <c r="BX162" s="1">
        <v>0</v>
      </c>
      <c r="BY162" s="1">
        <v>0</v>
      </c>
      <c r="BZ162" s="1">
        <v>0</v>
      </c>
      <c r="CA162" s="1">
        <v>0</v>
      </c>
      <c r="CB162" s="1">
        <v>28389.999999999996</v>
      </c>
    </row>
    <row r="163" spans="2:80">
      <c r="B163">
        <v>161</v>
      </c>
      <c r="C163" s="1" t="s">
        <v>20</v>
      </c>
      <c r="D163" s="1" t="s">
        <v>19</v>
      </c>
      <c r="E163" s="1" t="s">
        <v>105</v>
      </c>
      <c r="F163" s="1" t="s">
        <v>110</v>
      </c>
      <c r="G163" s="1">
        <v>1167990</v>
      </c>
      <c r="H163" s="1">
        <v>14789094</v>
      </c>
      <c r="I163" s="1">
        <v>315037.84000000003</v>
      </c>
      <c r="J163" s="1">
        <v>174922.89</v>
      </c>
      <c r="K163" s="1">
        <v>55527.85</v>
      </c>
      <c r="L163" s="1">
        <v>186240.67</v>
      </c>
      <c r="M163" s="1">
        <v>0</v>
      </c>
      <c r="N163" s="1">
        <v>-4114.4809999999998</v>
      </c>
      <c r="O163" s="1">
        <v>-1106.279</v>
      </c>
      <c r="P163" s="1">
        <v>0</v>
      </c>
      <c r="Q163" s="1">
        <v>-1368.5840000000001</v>
      </c>
      <c r="R163" s="1">
        <v>-2740.4850000000001</v>
      </c>
      <c r="S163" s="1">
        <v>-5198.9709999999995</v>
      </c>
      <c r="T163" s="1">
        <v>1001.451</v>
      </c>
      <c r="U163" s="1">
        <v>596.49800000000005</v>
      </c>
      <c r="V163" s="1">
        <v>1758.9649999999999</v>
      </c>
      <c r="W163" s="1">
        <v>2485.5450000000001</v>
      </c>
      <c r="X163" s="1">
        <v>0</v>
      </c>
      <c r="Y163" s="1">
        <v>-8686.34</v>
      </c>
      <c r="Z163" s="1">
        <v>-27448.65</v>
      </c>
      <c r="AA163" s="1">
        <v>15219</v>
      </c>
      <c r="AB163" s="1">
        <v>23</v>
      </c>
      <c r="AC163" s="1">
        <v>2083579</v>
      </c>
      <c r="AD163" s="1">
        <v>70181</v>
      </c>
      <c r="AE163" s="1">
        <v>7386.8492162430002</v>
      </c>
      <c r="AF163" s="1">
        <v>0</v>
      </c>
      <c r="AG163" s="1">
        <v>10979.398406116001</v>
      </c>
      <c r="AH163" s="1">
        <v>9081.0504408119996</v>
      </c>
      <c r="AI163" s="1">
        <v>3903.668617975</v>
      </c>
      <c r="AJ163" s="1">
        <v>100.959035989</v>
      </c>
      <c r="AK163" s="1">
        <v>3437.4263358540002</v>
      </c>
      <c r="AL163" s="1">
        <v>6134.9278184459999</v>
      </c>
      <c r="AM163" s="1">
        <v>0</v>
      </c>
      <c r="AN163" s="1">
        <v>0</v>
      </c>
      <c r="AO163" s="1">
        <v>4533.7197602200004</v>
      </c>
      <c r="AP163" s="1">
        <v>26.549485851</v>
      </c>
      <c r="AQ163" s="1">
        <v>0</v>
      </c>
      <c r="AR163" s="1">
        <v>0</v>
      </c>
      <c r="AS163" s="1">
        <v>0</v>
      </c>
      <c r="AT163" s="1">
        <v>7984.1</v>
      </c>
      <c r="AU163" s="1">
        <v>0</v>
      </c>
      <c r="AV163" s="1">
        <v>0</v>
      </c>
      <c r="AW163" s="1">
        <v>0</v>
      </c>
      <c r="AX163" s="1">
        <v>0</v>
      </c>
      <c r="AY163" s="1">
        <v>0</v>
      </c>
      <c r="AZ163" s="1">
        <v>0</v>
      </c>
      <c r="BA163" s="1">
        <v>0</v>
      </c>
      <c r="BB163" s="1">
        <v>0</v>
      </c>
      <c r="BC163" s="1">
        <v>2048.9008538319999</v>
      </c>
      <c r="BD163" s="1">
        <v>0</v>
      </c>
      <c r="BE163" s="1">
        <v>2890.951978481</v>
      </c>
      <c r="BF163" s="1">
        <v>4001.4535927939996</v>
      </c>
      <c r="BG163" s="1">
        <v>1445.4640438490001</v>
      </c>
      <c r="BH163" s="1">
        <v>867.11255601599998</v>
      </c>
      <c r="BI163" s="1">
        <v>472.54262289500002</v>
      </c>
      <c r="BJ163" s="1">
        <v>1923.665369346</v>
      </c>
      <c r="BK163" s="1">
        <v>0</v>
      </c>
      <c r="BL163" s="1">
        <v>0</v>
      </c>
      <c r="BM163" s="1">
        <v>1651.7814328679999</v>
      </c>
      <c r="BN163" s="1">
        <v>3.0307164719999999</v>
      </c>
      <c r="BO163" s="1">
        <v>12865.104734244</v>
      </c>
      <c r="BP163" s="1">
        <v>0</v>
      </c>
      <c r="BQ163" s="1">
        <v>0</v>
      </c>
      <c r="BR163" s="1">
        <v>0</v>
      </c>
      <c r="BS163" s="1">
        <v>32289.999999999996</v>
      </c>
      <c r="BT163" s="1">
        <v>0</v>
      </c>
      <c r="BU163" s="1">
        <v>0</v>
      </c>
      <c r="BV163" s="1">
        <v>0</v>
      </c>
      <c r="BW163" s="1">
        <v>0</v>
      </c>
      <c r="BX163" s="1">
        <v>0</v>
      </c>
      <c r="BY163" s="1">
        <v>0</v>
      </c>
      <c r="BZ163" s="1">
        <v>0</v>
      </c>
      <c r="CA163" s="1">
        <v>0</v>
      </c>
      <c r="CB163" s="1">
        <v>32289.999999999996</v>
      </c>
    </row>
    <row r="164" spans="2:80">
      <c r="B164">
        <v>162</v>
      </c>
      <c r="C164" s="1" t="s">
        <v>20</v>
      </c>
      <c r="D164" s="1" t="s">
        <v>19</v>
      </c>
      <c r="E164" s="1" t="s">
        <v>107</v>
      </c>
      <c r="F164" s="1" t="s">
        <v>112</v>
      </c>
      <c r="G164" s="1">
        <v>1167990</v>
      </c>
      <c r="H164" s="1">
        <v>14789094</v>
      </c>
      <c r="I164" s="1">
        <v>315037.84000000003</v>
      </c>
      <c r="J164" s="1">
        <v>174922.89</v>
      </c>
      <c r="K164" s="1">
        <v>55527.85</v>
      </c>
      <c r="L164" s="1">
        <v>186240.67</v>
      </c>
      <c r="M164" s="1">
        <v>0</v>
      </c>
      <c r="N164" s="1">
        <v>-4114.4809999999998</v>
      </c>
      <c r="O164" s="1">
        <v>-1106.279</v>
      </c>
      <c r="P164" s="1">
        <v>0</v>
      </c>
      <c r="Q164" s="1">
        <v>-1368.5840000000001</v>
      </c>
      <c r="R164" s="1">
        <v>-2740.4850000000001</v>
      </c>
      <c r="S164" s="1">
        <v>-5198.9709999999995</v>
      </c>
      <c r="T164" s="1">
        <v>1001.451</v>
      </c>
      <c r="U164" s="1">
        <v>596.49800000000005</v>
      </c>
      <c r="V164" s="1">
        <v>1758.9649999999999</v>
      </c>
      <c r="W164" s="1">
        <v>2485.5450000000001</v>
      </c>
      <c r="X164" s="1">
        <v>0</v>
      </c>
      <c r="Y164" s="1">
        <v>-8686.34</v>
      </c>
      <c r="Z164" s="1">
        <v>-15936.815000000001</v>
      </c>
      <c r="AA164" s="1">
        <v>14550</v>
      </c>
      <c r="AB164" s="1">
        <v>0</v>
      </c>
      <c r="AC164" s="1">
        <v>1943226</v>
      </c>
      <c r="AD164" s="1">
        <v>51268</v>
      </c>
      <c r="AE164" s="1">
        <v>7386.8492162430002</v>
      </c>
      <c r="AF164" s="1">
        <v>0</v>
      </c>
      <c r="AG164" s="1">
        <v>10979.398406116001</v>
      </c>
      <c r="AH164" s="1">
        <v>4852.7436245260005</v>
      </c>
      <c r="AI164" s="1">
        <v>3959.2419922019999</v>
      </c>
      <c r="AJ164" s="1">
        <v>69.334465234999996</v>
      </c>
      <c r="AK164" s="1">
        <v>3621.1839997830002</v>
      </c>
      <c r="AL164" s="1">
        <v>7084.8594802160005</v>
      </c>
      <c r="AM164" s="1">
        <v>0</v>
      </c>
      <c r="AN164" s="1">
        <v>0</v>
      </c>
      <c r="AO164" s="1">
        <v>4533.7197602200004</v>
      </c>
      <c r="AP164" s="1">
        <v>26.549485851</v>
      </c>
      <c r="AQ164" s="1">
        <v>0</v>
      </c>
      <c r="AR164" s="1">
        <v>0</v>
      </c>
      <c r="AS164" s="1">
        <v>0</v>
      </c>
      <c r="AT164" s="1">
        <v>5832.5</v>
      </c>
      <c r="AU164" s="1">
        <v>0</v>
      </c>
      <c r="AV164" s="1">
        <v>0</v>
      </c>
      <c r="AW164" s="1">
        <v>0</v>
      </c>
      <c r="AX164" s="1">
        <v>0</v>
      </c>
      <c r="AY164" s="1">
        <v>0</v>
      </c>
      <c r="AZ164" s="1">
        <v>0</v>
      </c>
      <c r="BA164" s="1">
        <v>0</v>
      </c>
      <c r="BB164" s="1">
        <v>0</v>
      </c>
      <c r="BC164" s="1">
        <v>2048.9008538319999</v>
      </c>
      <c r="BD164" s="1">
        <v>0</v>
      </c>
      <c r="BE164" s="1">
        <v>2890.951978481</v>
      </c>
      <c r="BF164" s="1">
        <v>4001.5935245230003</v>
      </c>
      <c r="BG164" s="1">
        <v>1272.6961400999999</v>
      </c>
      <c r="BH164" s="1">
        <v>806.61085455299997</v>
      </c>
      <c r="BI164" s="1">
        <v>460.40269216199999</v>
      </c>
      <c r="BJ164" s="1">
        <v>2012.289935369</v>
      </c>
      <c r="BK164" s="1">
        <v>0</v>
      </c>
      <c r="BL164" s="1">
        <v>0</v>
      </c>
      <c r="BM164" s="1">
        <v>1651.7814328679999</v>
      </c>
      <c r="BN164" s="1">
        <v>3.0307164719999999</v>
      </c>
      <c r="BO164" s="1">
        <v>12985.927249812999</v>
      </c>
      <c r="BP164" s="1">
        <v>0</v>
      </c>
      <c r="BQ164" s="1">
        <v>0</v>
      </c>
      <c r="BR164" s="1">
        <v>0</v>
      </c>
      <c r="BS164" s="1">
        <v>27800</v>
      </c>
      <c r="BT164" s="1">
        <v>0</v>
      </c>
      <c r="BU164" s="1">
        <v>0</v>
      </c>
      <c r="BV164" s="1">
        <v>0</v>
      </c>
      <c r="BW164" s="1">
        <v>0</v>
      </c>
      <c r="BX164" s="1">
        <v>0</v>
      </c>
      <c r="BY164" s="1">
        <v>0</v>
      </c>
      <c r="BZ164" s="1">
        <v>0</v>
      </c>
      <c r="CA164" s="1">
        <v>0</v>
      </c>
      <c r="CB164" s="1">
        <v>27800</v>
      </c>
    </row>
    <row r="165" spans="2:80">
      <c r="B165">
        <v>163</v>
      </c>
      <c r="C165" s="1" t="s">
        <v>20</v>
      </c>
      <c r="D165" s="1" t="s">
        <v>19</v>
      </c>
      <c r="E165" s="1" t="s">
        <v>109</v>
      </c>
      <c r="F165" s="1" t="s">
        <v>114</v>
      </c>
      <c r="G165" s="1">
        <v>1167990</v>
      </c>
      <c r="H165" s="1">
        <v>14789094</v>
      </c>
      <c r="I165" s="1">
        <v>315037.84000000003</v>
      </c>
      <c r="J165" s="1">
        <v>174922.89</v>
      </c>
      <c r="K165" s="1">
        <v>55527.85</v>
      </c>
      <c r="L165" s="1">
        <v>186240.67</v>
      </c>
      <c r="M165" s="1">
        <v>0</v>
      </c>
      <c r="N165" s="1">
        <v>-4295.4040000000005</v>
      </c>
      <c r="O165" s="1">
        <v>-1109.318</v>
      </c>
      <c r="P165" s="1">
        <v>0</v>
      </c>
      <c r="Q165" s="1">
        <v>-1368.5840000000001</v>
      </c>
      <c r="R165" s="1">
        <v>-2870.1309999999999</v>
      </c>
      <c r="S165" s="1">
        <v>-5462.616</v>
      </c>
      <c r="T165" s="1">
        <v>1060.2049999999999</v>
      </c>
      <c r="U165" s="1">
        <v>676.46699999999998</v>
      </c>
      <c r="V165" s="1">
        <v>1555.7270000000001</v>
      </c>
      <c r="W165" s="1">
        <v>2751.9749999999999</v>
      </c>
      <c r="X165" s="1">
        <v>0</v>
      </c>
      <c r="Y165" s="1">
        <v>-9061.6790000000001</v>
      </c>
      <c r="Z165" s="1">
        <v>-28326.133000000002</v>
      </c>
      <c r="AA165" s="1">
        <v>15539</v>
      </c>
      <c r="AB165" s="1">
        <v>6</v>
      </c>
      <c r="AC165" s="1">
        <v>2015380</v>
      </c>
      <c r="AD165" s="1">
        <v>70955</v>
      </c>
      <c r="AE165" s="1">
        <v>5731.5626642120005</v>
      </c>
      <c r="AF165" s="1">
        <v>0</v>
      </c>
      <c r="AG165" s="1">
        <v>10979.398406116001</v>
      </c>
      <c r="AH165" s="1">
        <v>9405.2039975250009</v>
      </c>
      <c r="AI165" s="1">
        <v>3821.3955872609999</v>
      </c>
      <c r="AJ165" s="1">
        <v>90.870299625000001</v>
      </c>
      <c r="AK165" s="1">
        <v>3429.0645618040003</v>
      </c>
      <c r="AL165" s="1">
        <v>6074.692328565</v>
      </c>
      <c r="AM165" s="1">
        <v>0</v>
      </c>
      <c r="AN165" s="1">
        <v>0</v>
      </c>
      <c r="AO165" s="1">
        <v>4533.7197602200004</v>
      </c>
      <c r="AP165" s="1">
        <v>26.549485851</v>
      </c>
      <c r="AQ165" s="1">
        <v>0</v>
      </c>
      <c r="AR165" s="1">
        <v>0</v>
      </c>
      <c r="AS165" s="1">
        <v>0</v>
      </c>
      <c r="AT165" s="1">
        <v>8072.2</v>
      </c>
      <c r="AU165" s="1">
        <v>0</v>
      </c>
      <c r="AV165" s="1">
        <v>0</v>
      </c>
      <c r="AW165" s="1">
        <v>0</v>
      </c>
      <c r="AX165" s="1">
        <v>0</v>
      </c>
      <c r="AY165" s="1">
        <v>0</v>
      </c>
      <c r="AZ165" s="1">
        <v>0</v>
      </c>
      <c r="BA165" s="1">
        <v>0</v>
      </c>
      <c r="BB165" s="1">
        <v>0</v>
      </c>
      <c r="BC165" s="1">
        <v>1574.115910304</v>
      </c>
      <c r="BD165" s="1">
        <v>0</v>
      </c>
      <c r="BE165" s="1">
        <v>2890.951978481</v>
      </c>
      <c r="BF165" s="1">
        <v>4001.576459678</v>
      </c>
      <c r="BG165" s="1">
        <v>1445.2456138329999</v>
      </c>
      <c r="BH165" s="1">
        <v>871.9043644919999</v>
      </c>
      <c r="BI165" s="1">
        <v>477.76787843399995</v>
      </c>
      <c r="BJ165" s="1">
        <v>1804.3684509199998</v>
      </c>
      <c r="BK165" s="1">
        <v>0</v>
      </c>
      <c r="BL165" s="1">
        <v>0</v>
      </c>
      <c r="BM165" s="1">
        <v>1651.7814328679999</v>
      </c>
      <c r="BN165" s="1">
        <v>3.0307164719999999</v>
      </c>
      <c r="BO165" s="1">
        <v>12359.026277954999</v>
      </c>
      <c r="BP165" s="1">
        <v>0</v>
      </c>
      <c r="BQ165" s="1">
        <v>0</v>
      </c>
      <c r="BR165" s="1">
        <v>0</v>
      </c>
      <c r="BS165" s="1">
        <v>32289.999999999996</v>
      </c>
      <c r="BT165" s="1">
        <v>0</v>
      </c>
      <c r="BU165" s="1">
        <v>0</v>
      </c>
      <c r="BV165" s="1">
        <v>0</v>
      </c>
      <c r="BW165" s="1">
        <v>0</v>
      </c>
      <c r="BX165" s="1">
        <v>0</v>
      </c>
      <c r="BY165" s="1">
        <v>0</v>
      </c>
      <c r="BZ165" s="1">
        <v>0</v>
      </c>
      <c r="CA165" s="1">
        <v>0</v>
      </c>
      <c r="CB165" s="1">
        <v>32289.999999999996</v>
      </c>
    </row>
    <row r="166" spans="2:80">
      <c r="B166">
        <v>164</v>
      </c>
      <c r="C166" s="1" t="s">
        <v>20</v>
      </c>
      <c r="D166" s="1" t="s">
        <v>19</v>
      </c>
      <c r="E166" s="1" t="s">
        <v>111</v>
      </c>
      <c r="F166" s="1" t="s">
        <v>116</v>
      </c>
      <c r="G166" s="1">
        <v>1167990</v>
      </c>
      <c r="H166" s="1">
        <v>14789094</v>
      </c>
      <c r="I166" s="1">
        <v>315037.84000000003</v>
      </c>
      <c r="J166" s="1">
        <v>174922.89</v>
      </c>
      <c r="K166" s="1">
        <v>55527.85</v>
      </c>
      <c r="L166" s="1">
        <v>186240.67</v>
      </c>
      <c r="M166" s="1">
        <v>0</v>
      </c>
      <c r="N166" s="1">
        <v>-4295.4040000000005</v>
      </c>
      <c r="O166" s="1">
        <v>-1109.318</v>
      </c>
      <c r="P166" s="1">
        <v>0</v>
      </c>
      <c r="Q166" s="1">
        <v>-1368.5840000000001</v>
      </c>
      <c r="R166" s="1">
        <v>-2870.1309999999999</v>
      </c>
      <c r="S166" s="1">
        <v>-5462.616</v>
      </c>
      <c r="T166" s="1">
        <v>1060.2049999999999</v>
      </c>
      <c r="U166" s="1">
        <v>676.46699999999998</v>
      </c>
      <c r="V166" s="1">
        <v>1555.7270000000001</v>
      </c>
      <c r="W166" s="1">
        <v>2751.9749999999999</v>
      </c>
      <c r="X166" s="1">
        <v>0</v>
      </c>
      <c r="Y166" s="1">
        <v>-9061.6790000000001</v>
      </c>
      <c r="Z166" s="1">
        <v>-16868.173999999999</v>
      </c>
      <c r="AA166" s="1">
        <v>14640</v>
      </c>
      <c r="AB166" s="1">
        <v>0</v>
      </c>
      <c r="AC166" s="1">
        <v>1876203</v>
      </c>
      <c r="AD166" s="1">
        <v>51980</v>
      </c>
      <c r="AE166" s="1">
        <v>5731.5626642120005</v>
      </c>
      <c r="AF166" s="1">
        <v>0</v>
      </c>
      <c r="AG166" s="1">
        <v>10979.398406116001</v>
      </c>
      <c r="AH166" s="1">
        <v>5194.9210705280002</v>
      </c>
      <c r="AI166" s="1">
        <v>3882.6890975320002</v>
      </c>
      <c r="AJ166" s="1">
        <v>59.552896081</v>
      </c>
      <c r="AK166" s="1">
        <v>3612.6891199420002</v>
      </c>
      <c r="AL166" s="1">
        <v>7026.4669935950005</v>
      </c>
      <c r="AM166" s="1">
        <v>0</v>
      </c>
      <c r="AN166" s="1">
        <v>0</v>
      </c>
      <c r="AO166" s="1">
        <v>4533.7197602200004</v>
      </c>
      <c r="AP166" s="1">
        <v>26.549485851</v>
      </c>
      <c r="AQ166" s="1">
        <v>0</v>
      </c>
      <c r="AR166" s="1">
        <v>0</v>
      </c>
      <c r="AS166" s="1">
        <v>0</v>
      </c>
      <c r="AT166" s="1">
        <v>5913.5</v>
      </c>
      <c r="AU166" s="1">
        <v>0</v>
      </c>
      <c r="AV166" s="1">
        <v>0</v>
      </c>
      <c r="AW166" s="1">
        <v>0</v>
      </c>
      <c r="AX166" s="1">
        <v>0</v>
      </c>
      <c r="AY166" s="1">
        <v>0</v>
      </c>
      <c r="AZ166" s="1">
        <v>0</v>
      </c>
      <c r="BA166" s="1">
        <v>0</v>
      </c>
      <c r="BB166" s="1">
        <v>0</v>
      </c>
      <c r="BC166" s="1">
        <v>1574.115910304</v>
      </c>
      <c r="BD166" s="1">
        <v>0</v>
      </c>
      <c r="BE166" s="1">
        <v>2890.951978481</v>
      </c>
      <c r="BF166" s="1">
        <v>4001.6071763989999</v>
      </c>
      <c r="BG166" s="1">
        <v>1201.119354232</v>
      </c>
      <c r="BH166" s="1">
        <v>760.96239417799995</v>
      </c>
      <c r="BI166" s="1">
        <v>455.97265839999994</v>
      </c>
      <c r="BJ166" s="1">
        <v>1942.45717666</v>
      </c>
      <c r="BK166" s="1">
        <v>0</v>
      </c>
      <c r="BL166" s="1">
        <v>0</v>
      </c>
      <c r="BM166" s="1">
        <v>1651.7814328679999</v>
      </c>
      <c r="BN166" s="1">
        <v>3.0307164719999999</v>
      </c>
      <c r="BO166" s="1">
        <v>12482.463127778001</v>
      </c>
      <c r="BP166" s="1">
        <v>0</v>
      </c>
      <c r="BQ166" s="1">
        <v>0</v>
      </c>
      <c r="BR166" s="1">
        <v>0</v>
      </c>
      <c r="BS166" s="1">
        <v>28020</v>
      </c>
      <c r="BT166" s="1">
        <v>0</v>
      </c>
      <c r="BU166" s="1">
        <v>0</v>
      </c>
      <c r="BV166" s="1">
        <v>0</v>
      </c>
      <c r="BW166" s="1">
        <v>0</v>
      </c>
      <c r="BX166" s="1">
        <v>0</v>
      </c>
      <c r="BY166" s="1">
        <v>0</v>
      </c>
      <c r="BZ166" s="1">
        <v>0</v>
      </c>
      <c r="CA166" s="1">
        <v>0</v>
      </c>
      <c r="CB166" s="1">
        <v>28020</v>
      </c>
    </row>
    <row r="167" spans="2:80">
      <c r="B167">
        <v>165</v>
      </c>
      <c r="C167" s="1" t="s">
        <v>20</v>
      </c>
      <c r="D167" s="1" t="s">
        <v>19</v>
      </c>
      <c r="E167" s="1" t="s">
        <v>113</v>
      </c>
      <c r="F167" s="1" t="s">
        <v>118</v>
      </c>
      <c r="G167" s="1">
        <v>1167990</v>
      </c>
      <c r="H167" s="1">
        <v>14789094</v>
      </c>
      <c r="I167" s="1">
        <v>315037.84000000003</v>
      </c>
      <c r="J167" s="1">
        <v>174922.89</v>
      </c>
      <c r="K167" s="1">
        <v>55527.85</v>
      </c>
      <c r="L167" s="1">
        <v>186240.67</v>
      </c>
      <c r="M167" s="1">
        <v>0</v>
      </c>
      <c r="N167" s="1">
        <v>-4051.9319999999998</v>
      </c>
      <c r="O167" s="1">
        <v>-1102.444</v>
      </c>
      <c r="P167" s="1">
        <v>0</v>
      </c>
      <c r="Q167" s="1">
        <v>-1368.5840000000001</v>
      </c>
      <c r="R167" s="1">
        <v>-2267.498</v>
      </c>
      <c r="S167" s="1">
        <v>-5103.0749999999998</v>
      </c>
      <c r="T167" s="1">
        <v>974.03200000000004</v>
      </c>
      <c r="U167" s="1">
        <v>569.91800000000001</v>
      </c>
      <c r="V167" s="1">
        <v>1694.5830000000001</v>
      </c>
      <c r="W167" s="1">
        <v>2392.346</v>
      </c>
      <c r="X167" s="1">
        <v>0</v>
      </c>
      <c r="Y167" s="1">
        <v>-8262.652</v>
      </c>
      <c r="Z167" s="1">
        <v>-26685.453000000001</v>
      </c>
      <c r="AA167" s="1">
        <v>14701</v>
      </c>
      <c r="AB167" s="1">
        <v>24</v>
      </c>
      <c r="AC167" s="1">
        <v>2070896</v>
      </c>
      <c r="AD167" s="1">
        <v>69377</v>
      </c>
      <c r="AE167" s="1">
        <v>7386.8492162430002</v>
      </c>
      <c r="AF167" s="1">
        <v>0</v>
      </c>
      <c r="AG167" s="1">
        <v>10979.398406116001</v>
      </c>
      <c r="AH167" s="1">
        <v>8790.3200895160007</v>
      </c>
      <c r="AI167" s="1">
        <v>3905.1839762110003</v>
      </c>
      <c r="AJ167" s="1">
        <v>102.290093899</v>
      </c>
      <c r="AK167" s="1">
        <v>3436.7949365889999</v>
      </c>
      <c r="AL167" s="1">
        <v>6145.9687731610002</v>
      </c>
      <c r="AM167" s="1">
        <v>0</v>
      </c>
      <c r="AN167" s="1">
        <v>0</v>
      </c>
      <c r="AO167" s="1">
        <v>4533.7197602200004</v>
      </c>
      <c r="AP167" s="1">
        <v>26.549485851</v>
      </c>
      <c r="AQ167" s="1">
        <v>0</v>
      </c>
      <c r="AR167" s="1">
        <v>0</v>
      </c>
      <c r="AS167" s="1">
        <v>0</v>
      </c>
      <c r="AT167" s="1">
        <v>7892.7</v>
      </c>
      <c r="AU167" s="1">
        <v>0</v>
      </c>
      <c r="AV167" s="1">
        <v>0</v>
      </c>
      <c r="AW167" s="1">
        <v>0</v>
      </c>
      <c r="AX167" s="1">
        <v>0</v>
      </c>
      <c r="AY167" s="1">
        <v>0</v>
      </c>
      <c r="AZ167" s="1">
        <v>0</v>
      </c>
      <c r="BA167" s="1">
        <v>0</v>
      </c>
      <c r="BB167" s="1">
        <v>0</v>
      </c>
      <c r="BC167" s="1">
        <v>2048.9008538319999</v>
      </c>
      <c r="BD167" s="1">
        <v>0</v>
      </c>
      <c r="BE167" s="1">
        <v>2890.951978481</v>
      </c>
      <c r="BF167" s="1">
        <v>4001.4843095149995</v>
      </c>
      <c r="BG167" s="1">
        <v>1444.515238467</v>
      </c>
      <c r="BH167" s="1">
        <v>869.83610527799999</v>
      </c>
      <c r="BI167" s="1">
        <v>467.01020014599999</v>
      </c>
      <c r="BJ167" s="1">
        <v>1925.6107616759998</v>
      </c>
      <c r="BK167" s="1">
        <v>0</v>
      </c>
      <c r="BL167" s="1">
        <v>0</v>
      </c>
      <c r="BM167" s="1">
        <v>1651.7814328679999</v>
      </c>
      <c r="BN167" s="1">
        <v>3.0307164719999999</v>
      </c>
      <c r="BO167" s="1">
        <v>12841.811220819</v>
      </c>
      <c r="BP167" s="1">
        <v>0</v>
      </c>
      <c r="BQ167" s="1">
        <v>0</v>
      </c>
      <c r="BR167" s="1">
        <v>0</v>
      </c>
      <c r="BS167" s="1">
        <v>32289.999999999996</v>
      </c>
      <c r="BT167" s="1">
        <v>0</v>
      </c>
      <c r="BU167" s="1">
        <v>0</v>
      </c>
      <c r="BV167" s="1">
        <v>0</v>
      </c>
      <c r="BW167" s="1">
        <v>0</v>
      </c>
      <c r="BX167" s="1">
        <v>0</v>
      </c>
      <c r="BY167" s="1">
        <v>0</v>
      </c>
      <c r="BZ167" s="1">
        <v>0</v>
      </c>
      <c r="CA167" s="1">
        <v>0</v>
      </c>
      <c r="CB167" s="1">
        <v>32289.999999999996</v>
      </c>
    </row>
    <row r="168" spans="2:80">
      <c r="B168">
        <v>166</v>
      </c>
      <c r="C168" s="1" t="s">
        <v>20</v>
      </c>
      <c r="D168" s="1" t="s">
        <v>19</v>
      </c>
      <c r="E168" s="1" t="s">
        <v>115</v>
      </c>
      <c r="F168" s="1" t="s">
        <v>120</v>
      </c>
      <c r="G168" s="1">
        <v>1167990</v>
      </c>
      <c r="H168" s="1">
        <v>14789094</v>
      </c>
      <c r="I168" s="1">
        <v>315037.84000000003</v>
      </c>
      <c r="J168" s="1">
        <v>174922.89</v>
      </c>
      <c r="K168" s="1">
        <v>55527.85</v>
      </c>
      <c r="L168" s="1">
        <v>186240.67</v>
      </c>
      <c r="M168" s="1">
        <v>0</v>
      </c>
      <c r="N168" s="1">
        <v>-4051.9319999999998</v>
      </c>
      <c r="O168" s="1">
        <v>-1102.444</v>
      </c>
      <c r="P168" s="1">
        <v>0</v>
      </c>
      <c r="Q168" s="1">
        <v>-1368.5840000000001</v>
      </c>
      <c r="R168" s="1">
        <v>-2267.498</v>
      </c>
      <c r="S168" s="1">
        <v>-5103.0749999999998</v>
      </c>
      <c r="T168" s="1">
        <v>974.03200000000004</v>
      </c>
      <c r="U168" s="1">
        <v>569.91800000000001</v>
      </c>
      <c r="V168" s="1">
        <v>1694.5830000000001</v>
      </c>
      <c r="W168" s="1">
        <v>2392.346</v>
      </c>
      <c r="X168" s="1">
        <v>0</v>
      </c>
      <c r="Y168" s="1">
        <v>-8262.652</v>
      </c>
      <c r="Z168" s="1">
        <v>-15208.337</v>
      </c>
      <c r="AA168" s="1">
        <v>14398</v>
      </c>
      <c r="AB168" s="1">
        <v>0</v>
      </c>
      <c r="AC168" s="1">
        <v>1931631</v>
      </c>
      <c r="AD168" s="1">
        <v>50384</v>
      </c>
      <c r="AE168" s="1">
        <v>7386.8492162430002</v>
      </c>
      <c r="AF168" s="1">
        <v>0</v>
      </c>
      <c r="AG168" s="1">
        <v>10979.398406116001</v>
      </c>
      <c r="AH168" s="1">
        <v>4582.743646936</v>
      </c>
      <c r="AI168" s="1">
        <v>3964.2112750659999</v>
      </c>
      <c r="AJ168" s="1">
        <v>70.327639214000001</v>
      </c>
      <c r="AK168" s="1">
        <v>3620.6037950529999</v>
      </c>
      <c r="AL168" s="1">
        <v>7095.7878069540002</v>
      </c>
      <c r="AM168" s="1">
        <v>0</v>
      </c>
      <c r="AN168" s="1">
        <v>0</v>
      </c>
      <c r="AO168" s="1">
        <v>4533.7197602200004</v>
      </c>
      <c r="AP168" s="1">
        <v>26.549485851</v>
      </c>
      <c r="AQ168" s="1">
        <v>0</v>
      </c>
      <c r="AR168" s="1">
        <v>0</v>
      </c>
      <c r="AS168" s="1">
        <v>0</v>
      </c>
      <c r="AT168" s="1">
        <v>5732</v>
      </c>
      <c r="AU168" s="1">
        <v>0</v>
      </c>
      <c r="AV168" s="1">
        <v>0</v>
      </c>
      <c r="AW168" s="1">
        <v>0</v>
      </c>
      <c r="AX168" s="1">
        <v>0</v>
      </c>
      <c r="AY168" s="1">
        <v>0</v>
      </c>
      <c r="AZ168" s="1">
        <v>0</v>
      </c>
      <c r="BA168" s="1">
        <v>0</v>
      </c>
      <c r="BB168" s="1">
        <v>0</v>
      </c>
      <c r="BC168" s="1">
        <v>2048.9008538319999</v>
      </c>
      <c r="BD168" s="1">
        <v>0</v>
      </c>
      <c r="BE168" s="1">
        <v>2890.951978481</v>
      </c>
      <c r="BF168" s="1">
        <v>4001.5730467089998</v>
      </c>
      <c r="BG168" s="1">
        <v>1260.2729329399999</v>
      </c>
      <c r="BH168" s="1">
        <v>770.76102817699996</v>
      </c>
      <c r="BI168" s="1">
        <v>459.32760692699998</v>
      </c>
      <c r="BJ168" s="1">
        <v>2021.463996041</v>
      </c>
      <c r="BK168" s="1">
        <v>0</v>
      </c>
      <c r="BL168" s="1">
        <v>0</v>
      </c>
      <c r="BM168" s="1">
        <v>1651.7814328679999</v>
      </c>
      <c r="BN168" s="1">
        <v>3.0307164719999999</v>
      </c>
      <c r="BO168" s="1">
        <v>12857.053540373001</v>
      </c>
      <c r="BP168" s="1">
        <v>0</v>
      </c>
      <c r="BQ168" s="1">
        <v>0</v>
      </c>
      <c r="BR168" s="1">
        <v>0</v>
      </c>
      <c r="BS168" s="1">
        <v>27439.999999999996</v>
      </c>
      <c r="BT168" s="1">
        <v>0</v>
      </c>
      <c r="BU168" s="1">
        <v>0</v>
      </c>
      <c r="BV168" s="1">
        <v>0</v>
      </c>
      <c r="BW168" s="1">
        <v>0</v>
      </c>
      <c r="BX168" s="1">
        <v>0</v>
      </c>
      <c r="BY168" s="1">
        <v>0</v>
      </c>
      <c r="BZ168" s="1">
        <v>0</v>
      </c>
      <c r="CA168" s="1">
        <v>0</v>
      </c>
      <c r="CB168" s="1">
        <v>27439.999999999996</v>
      </c>
    </row>
    <row r="169" spans="2:80">
      <c r="B169">
        <v>167</v>
      </c>
      <c r="C169" s="1" t="s">
        <v>20</v>
      </c>
      <c r="D169" s="1" t="s">
        <v>19</v>
      </c>
      <c r="E169" s="1" t="s">
        <v>117</v>
      </c>
      <c r="F169" s="1" t="s">
        <v>242</v>
      </c>
      <c r="G169" s="1">
        <v>1167990</v>
      </c>
      <c r="H169" s="1">
        <v>14789094</v>
      </c>
      <c r="I169" s="1">
        <v>315037.84000000003</v>
      </c>
      <c r="J169" s="1">
        <v>174922.89</v>
      </c>
      <c r="K169" s="1">
        <v>55527.85</v>
      </c>
      <c r="L169" s="1">
        <v>186240.67</v>
      </c>
      <c r="M169" s="1">
        <v>0</v>
      </c>
      <c r="N169" s="1">
        <v>-4223.1390000000001</v>
      </c>
      <c r="O169" s="1">
        <v>-1105.568</v>
      </c>
      <c r="P169" s="1">
        <v>0</v>
      </c>
      <c r="Q169" s="1">
        <v>-1368.5840000000001</v>
      </c>
      <c r="R169" s="1">
        <v>-2371.8980000000001</v>
      </c>
      <c r="S169" s="1">
        <v>-5352.3029999999999</v>
      </c>
      <c r="T169" s="1">
        <v>1031.0650000000001</v>
      </c>
      <c r="U169" s="1">
        <v>641.73199999999997</v>
      </c>
      <c r="V169" s="1">
        <v>1493.74</v>
      </c>
      <c r="W169" s="1">
        <v>2636.7069999999999</v>
      </c>
      <c r="X169" s="1">
        <v>0</v>
      </c>
      <c r="Y169" s="1">
        <v>-8618.2469999999994</v>
      </c>
      <c r="Z169" s="1">
        <v>-27625.125</v>
      </c>
      <c r="AA169" s="1">
        <v>14890</v>
      </c>
      <c r="AB169" s="1">
        <v>6</v>
      </c>
      <c r="AC169" s="1">
        <v>2004363</v>
      </c>
      <c r="AD169" s="1">
        <v>70061</v>
      </c>
      <c r="AE169" s="1">
        <v>5731.5626642120005</v>
      </c>
      <c r="AF169" s="1">
        <v>0</v>
      </c>
      <c r="AG169" s="1">
        <v>10979.398406116001</v>
      </c>
      <c r="AH169" s="1">
        <v>9154.7842230879996</v>
      </c>
      <c r="AI169" s="1">
        <v>3822.416064992</v>
      </c>
      <c r="AJ169" s="1">
        <v>92.081903620000006</v>
      </c>
      <c r="AK169" s="1">
        <v>3428.3717290970003</v>
      </c>
      <c r="AL169" s="1">
        <v>6082.5626350789998</v>
      </c>
      <c r="AM169" s="1">
        <v>0</v>
      </c>
      <c r="AN169" s="1">
        <v>0</v>
      </c>
      <c r="AO169" s="1">
        <v>4533.7197602200004</v>
      </c>
      <c r="AP169" s="1">
        <v>26.549485851</v>
      </c>
      <c r="AQ169" s="1">
        <v>0</v>
      </c>
      <c r="AR169" s="1">
        <v>0</v>
      </c>
      <c r="AS169" s="1">
        <v>0</v>
      </c>
      <c r="AT169" s="1">
        <v>7970.5</v>
      </c>
      <c r="AU169" s="1">
        <v>0</v>
      </c>
      <c r="AV169" s="1">
        <v>0</v>
      </c>
      <c r="AW169" s="1">
        <v>0</v>
      </c>
      <c r="AX169" s="1">
        <v>0</v>
      </c>
      <c r="AY169" s="1">
        <v>0</v>
      </c>
      <c r="AZ169" s="1">
        <v>0</v>
      </c>
      <c r="BA169" s="1">
        <v>0</v>
      </c>
      <c r="BB169" s="1">
        <v>0</v>
      </c>
      <c r="BC169" s="1">
        <v>1574.115910304</v>
      </c>
      <c r="BD169" s="1">
        <v>0</v>
      </c>
      <c r="BE169" s="1">
        <v>2890.951978481</v>
      </c>
      <c r="BF169" s="1">
        <v>4001.4160501349998</v>
      </c>
      <c r="BG169" s="1">
        <v>1442.9179689749999</v>
      </c>
      <c r="BH169" s="1">
        <v>874.10914246599987</v>
      </c>
      <c r="BI169" s="1">
        <v>474.50849303900003</v>
      </c>
      <c r="BJ169" s="1">
        <v>1813.3479723590001</v>
      </c>
      <c r="BK169" s="1">
        <v>0</v>
      </c>
      <c r="BL169" s="1">
        <v>0</v>
      </c>
      <c r="BM169" s="1">
        <v>1651.7814328679999</v>
      </c>
      <c r="BN169" s="1">
        <v>3.0307164719999999</v>
      </c>
      <c r="BO169" s="1">
        <v>12338.302730187001</v>
      </c>
      <c r="BP169" s="1">
        <v>0</v>
      </c>
      <c r="BQ169" s="1">
        <v>0</v>
      </c>
      <c r="BR169" s="1">
        <v>0</v>
      </c>
      <c r="BS169" s="1">
        <v>32289.999999999996</v>
      </c>
      <c r="BT169" s="1">
        <v>0</v>
      </c>
      <c r="BU169" s="1">
        <v>0</v>
      </c>
      <c r="BV169" s="1">
        <v>0</v>
      </c>
      <c r="BW169" s="1">
        <v>0</v>
      </c>
      <c r="BX169" s="1">
        <v>0</v>
      </c>
      <c r="BY169" s="1">
        <v>0</v>
      </c>
      <c r="BZ169" s="1">
        <v>0</v>
      </c>
      <c r="CA169" s="1">
        <v>0</v>
      </c>
      <c r="CB169" s="1">
        <v>32289.999999999996</v>
      </c>
    </row>
    <row r="170" spans="2:80">
      <c r="B170">
        <v>168</v>
      </c>
      <c r="C170" s="1" t="s">
        <v>20</v>
      </c>
      <c r="D170" s="1" t="s">
        <v>19</v>
      </c>
      <c r="E170" s="1" t="s">
        <v>119</v>
      </c>
      <c r="F170" s="1" t="s">
        <v>124</v>
      </c>
      <c r="G170" s="1">
        <v>1167990</v>
      </c>
      <c r="H170" s="1">
        <v>14789094</v>
      </c>
      <c r="I170" s="1">
        <v>315037.84000000003</v>
      </c>
      <c r="J170" s="1">
        <v>174922.89</v>
      </c>
      <c r="K170" s="1">
        <v>55527.85</v>
      </c>
      <c r="L170" s="1">
        <v>186240.67</v>
      </c>
      <c r="M170" s="1">
        <v>0</v>
      </c>
      <c r="N170" s="1">
        <v>-4223.1390000000001</v>
      </c>
      <c r="O170" s="1">
        <v>-1105.568</v>
      </c>
      <c r="P170" s="1">
        <v>0</v>
      </c>
      <c r="Q170" s="1">
        <v>-1368.5840000000001</v>
      </c>
      <c r="R170" s="1">
        <v>-2371.8980000000001</v>
      </c>
      <c r="S170" s="1">
        <v>-5352.3029999999999</v>
      </c>
      <c r="T170" s="1">
        <v>1031.0650000000001</v>
      </c>
      <c r="U170" s="1">
        <v>641.73199999999997</v>
      </c>
      <c r="V170" s="1">
        <v>1493.74</v>
      </c>
      <c r="W170" s="1">
        <v>2636.7069999999999</v>
      </c>
      <c r="X170" s="1">
        <v>0</v>
      </c>
      <c r="Y170" s="1">
        <v>-8618.2469999999994</v>
      </c>
      <c r="Z170" s="1">
        <v>-16125.184999999999</v>
      </c>
      <c r="AA170" s="1">
        <v>14491</v>
      </c>
      <c r="AB170" s="1">
        <v>0</v>
      </c>
      <c r="AC170" s="1">
        <v>1864331</v>
      </c>
      <c r="AD170" s="1">
        <v>51102</v>
      </c>
      <c r="AE170" s="1">
        <v>5731.5626642120005</v>
      </c>
      <c r="AF170" s="1">
        <v>0</v>
      </c>
      <c r="AG170" s="1">
        <v>10979.398406116001</v>
      </c>
      <c r="AH170" s="1">
        <v>4923.2555640660003</v>
      </c>
      <c r="AI170" s="1">
        <v>3886.0781757489999</v>
      </c>
      <c r="AJ170" s="1">
        <v>60.436855051999999</v>
      </c>
      <c r="AK170" s="1">
        <v>3611.999700204</v>
      </c>
      <c r="AL170" s="1">
        <v>7034.8253546759997</v>
      </c>
      <c r="AM170" s="1">
        <v>0</v>
      </c>
      <c r="AN170" s="1">
        <v>0</v>
      </c>
      <c r="AO170" s="1">
        <v>4533.7197602200004</v>
      </c>
      <c r="AP170" s="1">
        <v>26.549485851</v>
      </c>
      <c r="AQ170" s="1">
        <v>0</v>
      </c>
      <c r="AR170" s="1">
        <v>0</v>
      </c>
      <c r="AS170" s="1">
        <v>0</v>
      </c>
      <c r="AT170" s="1">
        <v>5813.6</v>
      </c>
      <c r="AU170" s="1">
        <v>0</v>
      </c>
      <c r="AV170" s="1">
        <v>0</v>
      </c>
      <c r="AW170" s="1">
        <v>0</v>
      </c>
      <c r="AX170" s="1">
        <v>0</v>
      </c>
      <c r="AY170" s="1">
        <v>0</v>
      </c>
      <c r="AZ170" s="1">
        <v>0</v>
      </c>
      <c r="BA170" s="1">
        <v>0</v>
      </c>
      <c r="BB170" s="1">
        <v>0</v>
      </c>
      <c r="BC170" s="1">
        <v>1574.115910304</v>
      </c>
      <c r="BD170" s="1">
        <v>0</v>
      </c>
      <c r="BE170" s="1">
        <v>2890.951978481</v>
      </c>
      <c r="BF170" s="1">
        <v>4001.5662207710002</v>
      </c>
      <c r="BG170" s="1">
        <v>1189.996488261</v>
      </c>
      <c r="BH170" s="1">
        <v>770.98969710000006</v>
      </c>
      <c r="BI170" s="1">
        <v>454.92828988600002</v>
      </c>
      <c r="BJ170" s="1">
        <v>1951.1943773</v>
      </c>
      <c r="BK170" s="1">
        <v>0</v>
      </c>
      <c r="BL170" s="1">
        <v>0</v>
      </c>
      <c r="BM170" s="1">
        <v>1651.7814328679999</v>
      </c>
      <c r="BN170" s="1">
        <v>3.0307164719999999</v>
      </c>
      <c r="BO170" s="1">
        <v>12481.237871907</v>
      </c>
      <c r="BP170" s="1">
        <v>0</v>
      </c>
      <c r="BQ170" s="1">
        <v>0</v>
      </c>
      <c r="BR170" s="1">
        <v>0</v>
      </c>
      <c r="BS170" s="1">
        <v>27600</v>
      </c>
      <c r="BT170" s="1">
        <v>0</v>
      </c>
      <c r="BU170" s="1">
        <v>0</v>
      </c>
      <c r="BV170" s="1">
        <v>0</v>
      </c>
      <c r="BW170" s="1">
        <v>0</v>
      </c>
      <c r="BX170" s="1">
        <v>0</v>
      </c>
      <c r="BY170" s="1">
        <v>0</v>
      </c>
      <c r="BZ170" s="1">
        <v>0</v>
      </c>
      <c r="CA170" s="1">
        <v>0</v>
      </c>
      <c r="CB170" s="1">
        <v>27600</v>
      </c>
    </row>
    <row r="171" spans="2:80">
      <c r="B171">
        <v>169</v>
      </c>
      <c r="C171" s="1" t="s">
        <v>20</v>
      </c>
      <c r="D171" s="1" t="s">
        <v>19</v>
      </c>
      <c r="E171" s="1" t="s">
        <v>121</v>
      </c>
      <c r="F171" s="1" t="s">
        <v>126</v>
      </c>
      <c r="G171" s="1">
        <v>1167990</v>
      </c>
      <c r="H171" s="1">
        <v>14789094</v>
      </c>
      <c r="I171" s="1">
        <v>315037.84000000003</v>
      </c>
      <c r="J171" s="1">
        <v>174922.89</v>
      </c>
      <c r="K171" s="1">
        <v>55527.85</v>
      </c>
      <c r="L171" s="1">
        <v>186240.67</v>
      </c>
      <c r="M171" s="1">
        <v>0</v>
      </c>
      <c r="N171" s="1">
        <v>-2686.7469999999998</v>
      </c>
      <c r="O171" s="1">
        <v>-1110.0920000000001</v>
      </c>
      <c r="P171" s="1">
        <v>0</v>
      </c>
      <c r="Q171" s="1">
        <v>-1368.5840000000001</v>
      </c>
      <c r="R171" s="1">
        <v>-2999.9720000000002</v>
      </c>
      <c r="S171" s="1">
        <v>-9452.6970000000001</v>
      </c>
      <c r="T171" s="1">
        <v>1203.1510000000001</v>
      </c>
      <c r="U171" s="1">
        <v>729.65800000000002</v>
      </c>
      <c r="V171" s="1">
        <v>2102.1480000000001</v>
      </c>
      <c r="W171" s="1">
        <v>2990.7460000000001</v>
      </c>
      <c r="X171" s="1">
        <v>0</v>
      </c>
      <c r="Y171" s="1">
        <v>-10592.39</v>
      </c>
      <c r="Z171" s="1">
        <v>-29572.853999999999</v>
      </c>
      <c r="AA171" s="1">
        <v>16466</v>
      </c>
      <c r="AB171" s="1">
        <v>18</v>
      </c>
      <c r="AC171" s="1">
        <v>2114298</v>
      </c>
      <c r="AD171" s="1">
        <v>73262</v>
      </c>
      <c r="AE171" s="1">
        <v>7386.8492162430002</v>
      </c>
      <c r="AF171" s="1">
        <v>0</v>
      </c>
      <c r="AG171" s="1">
        <v>10979.398406116001</v>
      </c>
      <c r="AH171" s="1">
        <v>9819.7875808620011</v>
      </c>
      <c r="AI171" s="1">
        <v>3884.0815888840002</v>
      </c>
      <c r="AJ171" s="1">
        <v>94.358353942999997</v>
      </c>
      <c r="AK171" s="1">
        <v>3438.1396463750002</v>
      </c>
      <c r="AL171" s="1">
        <v>6093.7571733989998</v>
      </c>
      <c r="AM171" s="1">
        <v>0</v>
      </c>
      <c r="AN171" s="1">
        <v>0</v>
      </c>
      <c r="AO171" s="1">
        <v>4533.7197602200004</v>
      </c>
      <c r="AP171" s="1">
        <v>26.549485851</v>
      </c>
      <c r="AQ171" s="1">
        <v>0</v>
      </c>
      <c r="AR171" s="1">
        <v>0</v>
      </c>
      <c r="AS171" s="1">
        <v>0</v>
      </c>
      <c r="AT171" s="1">
        <v>8334.7000000000007</v>
      </c>
      <c r="AU171" s="1">
        <v>0</v>
      </c>
      <c r="AV171" s="1">
        <v>0</v>
      </c>
      <c r="AW171" s="1">
        <v>0</v>
      </c>
      <c r="AX171" s="1">
        <v>0</v>
      </c>
      <c r="AY171" s="1">
        <v>0</v>
      </c>
      <c r="AZ171" s="1">
        <v>0</v>
      </c>
      <c r="BA171" s="1">
        <v>0</v>
      </c>
      <c r="BB171" s="1">
        <v>0</v>
      </c>
      <c r="BC171" s="1">
        <v>2048.9008538319999</v>
      </c>
      <c r="BD171" s="1">
        <v>0</v>
      </c>
      <c r="BE171" s="1">
        <v>2890.951978481</v>
      </c>
      <c r="BF171" s="1">
        <v>4001.511613267</v>
      </c>
      <c r="BG171" s="1">
        <v>1448.2592654599998</v>
      </c>
      <c r="BH171" s="1">
        <v>870.01699263499995</v>
      </c>
      <c r="BI171" s="1">
        <v>478.94876570799994</v>
      </c>
      <c r="BJ171" s="1">
        <v>1850.3104266289997</v>
      </c>
      <c r="BK171" s="1">
        <v>0</v>
      </c>
      <c r="BL171" s="1">
        <v>0</v>
      </c>
      <c r="BM171" s="1">
        <v>1651.7814328679999</v>
      </c>
      <c r="BN171" s="1">
        <v>3.0307164719999999</v>
      </c>
      <c r="BO171" s="1">
        <v>12876.237839121999</v>
      </c>
      <c r="BP171" s="1">
        <v>0</v>
      </c>
      <c r="BQ171" s="1">
        <v>0</v>
      </c>
      <c r="BR171" s="1">
        <v>0</v>
      </c>
      <c r="BS171" s="1">
        <v>32150</v>
      </c>
      <c r="BT171" s="1">
        <v>0</v>
      </c>
      <c r="BU171" s="1">
        <v>0</v>
      </c>
      <c r="BV171" s="1">
        <v>0</v>
      </c>
      <c r="BW171" s="1">
        <v>0</v>
      </c>
      <c r="BX171" s="1">
        <v>0</v>
      </c>
      <c r="BY171" s="1">
        <v>0</v>
      </c>
      <c r="BZ171" s="1">
        <v>0</v>
      </c>
      <c r="CA171" s="1">
        <v>0</v>
      </c>
      <c r="CB171" s="1">
        <v>32150</v>
      </c>
    </row>
    <row r="172" spans="2:80">
      <c r="B172">
        <v>170</v>
      </c>
      <c r="C172" s="1" t="s">
        <v>20</v>
      </c>
      <c r="D172" s="1" t="s">
        <v>19</v>
      </c>
      <c r="E172" s="1" t="s">
        <v>123</v>
      </c>
      <c r="F172" s="1" t="s">
        <v>245</v>
      </c>
      <c r="G172" s="1">
        <v>1167990</v>
      </c>
      <c r="H172" s="1">
        <v>14789094</v>
      </c>
      <c r="I172" s="1">
        <v>315037.84000000003</v>
      </c>
      <c r="J172" s="1">
        <v>174922.89</v>
      </c>
      <c r="K172" s="1">
        <v>55527.85</v>
      </c>
      <c r="L172" s="1">
        <v>186240.67</v>
      </c>
      <c r="M172" s="1">
        <v>0</v>
      </c>
      <c r="N172" s="1">
        <v>-2686.7469999999998</v>
      </c>
      <c r="O172" s="1">
        <v>-1110.0920000000001</v>
      </c>
      <c r="P172" s="1">
        <v>0</v>
      </c>
      <c r="Q172" s="1">
        <v>-1368.5840000000001</v>
      </c>
      <c r="R172" s="1">
        <v>-2999.9720000000002</v>
      </c>
      <c r="S172" s="1">
        <v>-9452.6970000000001</v>
      </c>
      <c r="T172" s="1">
        <v>1203.1510000000001</v>
      </c>
      <c r="U172" s="1">
        <v>729.65800000000002</v>
      </c>
      <c r="V172" s="1">
        <v>2102.1480000000001</v>
      </c>
      <c r="W172" s="1">
        <v>2990.7460000000001</v>
      </c>
      <c r="X172" s="1">
        <v>0</v>
      </c>
      <c r="Y172" s="1">
        <v>-10592.39</v>
      </c>
      <c r="Z172" s="1">
        <v>-18293.150000000001</v>
      </c>
      <c r="AA172" s="1">
        <v>14835</v>
      </c>
      <c r="AB172" s="1">
        <v>0</v>
      </c>
      <c r="AC172" s="1">
        <v>1978735</v>
      </c>
      <c r="AD172" s="1">
        <v>54226</v>
      </c>
      <c r="AE172" s="1">
        <v>7386.8492162430002</v>
      </c>
      <c r="AF172" s="1">
        <v>0</v>
      </c>
      <c r="AG172" s="1">
        <v>10979.398406116001</v>
      </c>
      <c r="AH172" s="1">
        <v>5705.6377516880002</v>
      </c>
      <c r="AI172" s="1">
        <v>3931.668615651</v>
      </c>
      <c r="AJ172" s="1">
        <v>63.464158555000004</v>
      </c>
      <c r="AK172" s="1">
        <v>3621.5764912180002</v>
      </c>
      <c r="AL172" s="1">
        <v>7041.9243301960005</v>
      </c>
      <c r="AM172" s="1">
        <v>0</v>
      </c>
      <c r="AN172" s="1">
        <v>0</v>
      </c>
      <c r="AO172" s="1">
        <v>4533.7197602200004</v>
      </c>
      <c r="AP172" s="1">
        <v>26.549485851</v>
      </c>
      <c r="AQ172" s="1">
        <v>0</v>
      </c>
      <c r="AR172" s="1">
        <v>0</v>
      </c>
      <c r="AS172" s="1">
        <v>0</v>
      </c>
      <c r="AT172" s="1">
        <v>6169.1</v>
      </c>
      <c r="AU172" s="1">
        <v>0</v>
      </c>
      <c r="AV172" s="1">
        <v>0</v>
      </c>
      <c r="AW172" s="1">
        <v>0</v>
      </c>
      <c r="AX172" s="1">
        <v>0</v>
      </c>
      <c r="AY172" s="1">
        <v>0</v>
      </c>
      <c r="AZ172" s="1">
        <v>0</v>
      </c>
      <c r="BA172" s="1">
        <v>0</v>
      </c>
      <c r="BB172" s="1">
        <v>0</v>
      </c>
      <c r="BC172" s="1">
        <v>2048.9008538319999</v>
      </c>
      <c r="BD172" s="1">
        <v>0</v>
      </c>
      <c r="BE172" s="1">
        <v>2890.951978481</v>
      </c>
      <c r="BF172" s="1">
        <v>4001.5218521739998</v>
      </c>
      <c r="BG172" s="1">
        <v>1267.0408504669999</v>
      </c>
      <c r="BH172" s="1">
        <v>809.93167339000001</v>
      </c>
      <c r="BI172" s="1">
        <v>460.02385260300002</v>
      </c>
      <c r="BJ172" s="1">
        <v>1949.542500304</v>
      </c>
      <c r="BK172" s="1">
        <v>0</v>
      </c>
      <c r="BL172" s="1">
        <v>0</v>
      </c>
      <c r="BM172" s="1">
        <v>1651.7814328679999</v>
      </c>
      <c r="BN172" s="1">
        <v>3.0307164719999999</v>
      </c>
      <c r="BO172" s="1">
        <v>12896.524526857998</v>
      </c>
      <c r="BP172" s="1">
        <v>0</v>
      </c>
      <c r="BQ172" s="1">
        <v>0</v>
      </c>
      <c r="BR172" s="1">
        <v>0</v>
      </c>
      <c r="BS172" s="1">
        <v>28789.999999999996</v>
      </c>
      <c r="BT172" s="1">
        <v>0</v>
      </c>
      <c r="BU172" s="1">
        <v>0</v>
      </c>
      <c r="BV172" s="1">
        <v>0</v>
      </c>
      <c r="BW172" s="1">
        <v>0</v>
      </c>
      <c r="BX172" s="1">
        <v>0</v>
      </c>
      <c r="BY172" s="1">
        <v>0</v>
      </c>
      <c r="BZ172" s="1">
        <v>0</v>
      </c>
      <c r="CA172" s="1">
        <v>0</v>
      </c>
      <c r="CB172" s="1">
        <v>28789.999999999996</v>
      </c>
    </row>
    <row r="173" spans="2:80">
      <c r="B173">
        <v>171</v>
      </c>
      <c r="C173" s="1" t="s">
        <v>20</v>
      </c>
      <c r="D173" s="1" t="s">
        <v>19</v>
      </c>
      <c r="E173" s="1" t="s">
        <v>125</v>
      </c>
      <c r="F173" s="1" t="s">
        <v>246</v>
      </c>
      <c r="G173" s="1">
        <v>1167990</v>
      </c>
      <c r="H173" s="1">
        <v>14789094</v>
      </c>
      <c r="I173" s="1">
        <v>315037.84000000003</v>
      </c>
      <c r="J173" s="1">
        <v>174922.89</v>
      </c>
      <c r="K173" s="1">
        <v>55527.85</v>
      </c>
      <c r="L173" s="1">
        <v>186240.67</v>
      </c>
      <c r="M173" s="1">
        <v>0</v>
      </c>
      <c r="N173" s="1">
        <v>-2787.15</v>
      </c>
      <c r="O173" s="1">
        <v>-1112.567</v>
      </c>
      <c r="P173" s="1">
        <v>0</v>
      </c>
      <c r="Q173" s="1">
        <v>-1368.5840000000001</v>
      </c>
      <c r="R173" s="1">
        <v>-3133.9690000000001</v>
      </c>
      <c r="S173" s="1">
        <v>-9907.3439999999991</v>
      </c>
      <c r="T173" s="1">
        <v>1276.18</v>
      </c>
      <c r="U173" s="1">
        <v>828.08799999999997</v>
      </c>
      <c r="V173" s="1">
        <v>1841.14</v>
      </c>
      <c r="W173" s="1">
        <v>3306.1019999999999</v>
      </c>
      <c r="X173" s="1">
        <v>0</v>
      </c>
      <c r="Y173" s="1">
        <v>-11058.11</v>
      </c>
      <c r="Z173" s="1">
        <v>-30500.01</v>
      </c>
      <c r="AA173" s="1">
        <v>17091</v>
      </c>
      <c r="AB173" s="1">
        <v>5</v>
      </c>
      <c r="AC173" s="1">
        <v>2046796</v>
      </c>
      <c r="AD173" s="1">
        <v>74029</v>
      </c>
      <c r="AE173" s="1">
        <v>5731.5626642120005</v>
      </c>
      <c r="AF173" s="1">
        <v>0</v>
      </c>
      <c r="AG173" s="1">
        <v>10979.398406116001</v>
      </c>
      <c r="AH173" s="1">
        <v>10146.726120279</v>
      </c>
      <c r="AI173" s="1">
        <v>3806.4774997620002</v>
      </c>
      <c r="AJ173" s="1">
        <v>85.375419535000006</v>
      </c>
      <c r="AK173" s="1">
        <v>3430.0167801550001</v>
      </c>
      <c r="AL173" s="1">
        <v>6039.9994986800002</v>
      </c>
      <c r="AM173" s="1">
        <v>0</v>
      </c>
      <c r="AN173" s="1">
        <v>0</v>
      </c>
      <c r="AO173" s="1">
        <v>4533.7197602200004</v>
      </c>
      <c r="AP173" s="1">
        <v>26.549485851</v>
      </c>
      <c r="AQ173" s="1">
        <v>0</v>
      </c>
      <c r="AR173" s="1">
        <v>0</v>
      </c>
      <c r="AS173" s="1">
        <v>0</v>
      </c>
      <c r="AT173" s="1">
        <v>8421.9</v>
      </c>
      <c r="AU173" s="1">
        <v>0</v>
      </c>
      <c r="AV173" s="1">
        <v>0</v>
      </c>
      <c r="AW173" s="1">
        <v>0</v>
      </c>
      <c r="AX173" s="1">
        <v>0</v>
      </c>
      <c r="AY173" s="1">
        <v>0</v>
      </c>
      <c r="AZ173" s="1">
        <v>0</v>
      </c>
      <c r="BA173" s="1">
        <v>0</v>
      </c>
      <c r="BB173" s="1">
        <v>0</v>
      </c>
      <c r="BC173" s="1">
        <v>1574.115910304</v>
      </c>
      <c r="BD173" s="1">
        <v>0</v>
      </c>
      <c r="BE173" s="1">
        <v>2890.951978481</v>
      </c>
      <c r="BF173" s="1">
        <v>4001.5969374920001</v>
      </c>
      <c r="BG173" s="1">
        <v>1445.2968083679998</v>
      </c>
      <c r="BH173" s="1">
        <v>870.812214412</v>
      </c>
      <c r="BI173" s="1">
        <v>475.76787860000002</v>
      </c>
      <c r="BJ173" s="1">
        <v>1744.2251112019999</v>
      </c>
      <c r="BK173" s="1">
        <v>0</v>
      </c>
      <c r="BL173" s="1">
        <v>0</v>
      </c>
      <c r="BM173" s="1">
        <v>1651.7814328679999</v>
      </c>
      <c r="BN173" s="1">
        <v>3.0307164719999999</v>
      </c>
      <c r="BO173" s="1">
        <v>12342.538224716</v>
      </c>
      <c r="BP173" s="1">
        <v>0</v>
      </c>
      <c r="BQ173" s="1">
        <v>0</v>
      </c>
      <c r="BR173" s="1">
        <v>0</v>
      </c>
      <c r="BS173" s="1">
        <v>32150</v>
      </c>
      <c r="BT173" s="1">
        <v>0</v>
      </c>
      <c r="BU173" s="1">
        <v>0</v>
      </c>
      <c r="BV173" s="1">
        <v>0</v>
      </c>
      <c r="BW173" s="1">
        <v>0</v>
      </c>
      <c r="BX173" s="1">
        <v>0</v>
      </c>
      <c r="BY173" s="1">
        <v>0</v>
      </c>
      <c r="BZ173" s="1">
        <v>0</v>
      </c>
      <c r="CA173" s="1">
        <v>0</v>
      </c>
      <c r="CB173" s="1">
        <v>32150</v>
      </c>
    </row>
    <row r="174" spans="2:80">
      <c r="B174">
        <v>172</v>
      </c>
      <c r="C174" s="1" t="s">
        <v>20</v>
      </c>
      <c r="D174" s="1" t="s">
        <v>19</v>
      </c>
      <c r="E174" s="1" t="s">
        <v>127</v>
      </c>
      <c r="F174" s="1" t="s">
        <v>247</v>
      </c>
      <c r="G174" s="1">
        <v>1167990</v>
      </c>
      <c r="H174" s="1">
        <v>14789094</v>
      </c>
      <c r="I174" s="1">
        <v>315037.84000000003</v>
      </c>
      <c r="J174" s="1">
        <v>174922.89</v>
      </c>
      <c r="K174" s="1">
        <v>55527.85</v>
      </c>
      <c r="L174" s="1">
        <v>186240.67</v>
      </c>
      <c r="M174" s="1">
        <v>0</v>
      </c>
      <c r="N174" s="1">
        <v>-2787.15</v>
      </c>
      <c r="O174" s="1">
        <v>-1112.567</v>
      </c>
      <c r="P174" s="1">
        <v>0</v>
      </c>
      <c r="Q174" s="1">
        <v>-1368.5840000000001</v>
      </c>
      <c r="R174" s="1">
        <v>-3133.9690000000001</v>
      </c>
      <c r="S174" s="1">
        <v>-9907.3439999999991</v>
      </c>
      <c r="T174" s="1">
        <v>1276.18</v>
      </c>
      <c r="U174" s="1">
        <v>828.08799999999997</v>
      </c>
      <c r="V174" s="1">
        <v>1841.14</v>
      </c>
      <c r="W174" s="1">
        <v>3306.1019999999999</v>
      </c>
      <c r="X174" s="1">
        <v>0</v>
      </c>
      <c r="Y174" s="1">
        <v>-11058.11</v>
      </c>
      <c r="Z174" s="1">
        <v>-19282.312000000002</v>
      </c>
      <c r="AA174" s="1">
        <v>14938</v>
      </c>
      <c r="AB174" s="1">
        <v>0</v>
      </c>
      <c r="AC174" s="1">
        <v>1913684</v>
      </c>
      <c r="AD174" s="1">
        <v>54940</v>
      </c>
      <c r="AE174" s="1">
        <v>5731.5626642120005</v>
      </c>
      <c r="AF174" s="1">
        <v>0</v>
      </c>
      <c r="AG174" s="1">
        <v>10979.398406116001</v>
      </c>
      <c r="AH174" s="1">
        <v>6079.4295295370002</v>
      </c>
      <c r="AI174" s="1">
        <v>3859.0747650210001</v>
      </c>
      <c r="AJ174" s="1">
        <v>54.750848697999999</v>
      </c>
      <c r="AK174" s="1">
        <v>3613.3921915559999</v>
      </c>
      <c r="AL174" s="1">
        <v>6989.6649488680005</v>
      </c>
      <c r="AM174" s="1">
        <v>0</v>
      </c>
      <c r="AN174" s="1">
        <v>0</v>
      </c>
      <c r="AO174" s="1">
        <v>4533.7197602200004</v>
      </c>
      <c r="AP174" s="1">
        <v>26.549485851</v>
      </c>
      <c r="AQ174" s="1">
        <v>0</v>
      </c>
      <c r="AR174" s="1">
        <v>0</v>
      </c>
      <c r="AS174" s="1">
        <v>0</v>
      </c>
      <c r="AT174" s="1">
        <v>6250.3</v>
      </c>
      <c r="AU174" s="1">
        <v>0</v>
      </c>
      <c r="AV174" s="1">
        <v>0</v>
      </c>
      <c r="AW174" s="1">
        <v>0</v>
      </c>
      <c r="AX174" s="1">
        <v>0</v>
      </c>
      <c r="AY174" s="1">
        <v>0</v>
      </c>
      <c r="AZ174" s="1">
        <v>0</v>
      </c>
      <c r="BA174" s="1">
        <v>0</v>
      </c>
      <c r="BB174" s="1">
        <v>0</v>
      </c>
      <c r="BC174" s="1">
        <v>1574.115910304</v>
      </c>
      <c r="BD174" s="1">
        <v>0</v>
      </c>
      <c r="BE174" s="1">
        <v>2890.951978481</v>
      </c>
      <c r="BF174" s="1">
        <v>4001.5901115539996</v>
      </c>
      <c r="BG174" s="1">
        <v>1195.4913683509999</v>
      </c>
      <c r="BH174" s="1">
        <v>764.05454409200001</v>
      </c>
      <c r="BI174" s="1">
        <v>456.39245358700003</v>
      </c>
      <c r="BJ174" s="1">
        <v>1882.3070110039998</v>
      </c>
      <c r="BK174" s="1">
        <v>0</v>
      </c>
      <c r="BL174" s="1">
        <v>0</v>
      </c>
      <c r="BM174" s="1">
        <v>1651.7814328679999</v>
      </c>
      <c r="BN174" s="1">
        <v>3.0307164719999999</v>
      </c>
      <c r="BO174" s="1">
        <v>12485.456301590999</v>
      </c>
      <c r="BP174" s="1">
        <v>0</v>
      </c>
      <c r="BQ174" s="1">
        <v>0</v>
      </c>
      <c r="BR174" s="1">
        <v>0</v>
      </c>
      <c r="BS174" s="1">
        <v>29270</v>
      </c>
      <c r="BT174" s="1">
        <v>0</v>
      </c>
      <c r="BU174" s="1">
        <v>0</v>
      </c>
      <c r="BV174" s="1">
        <v>0</v>
      </c>
      <c r="BW174" s="1">
        <v>0</v>
      </c>
      <c r="BX174" s="1">
        <v>0</v>
      </c>
      <c r="BY174" s="1">
        <v>0</v>
      </c>
      <c r="BZ174" s="1">
        <v>0</v>
      </c>
      <c r="CA174" s="1">
        <v>0</v>
      </c>
      <c r="CB174" s="1">
        <v>29270</v>
      </c>
    </row>
    <row r="175" spans="2:80">
      <c r="B175">
        <v>173</v>
      </c>
      <c r="C175" s="1" t="s">
        <v>20</v>
      </c>
      <c r="D175" s="1" t="s">
        <v>19</v>
      </c>
      <c r="E175" s="1" t="s">
        <v>129</v>
      </c>
      <c r="F175" s="1" t="s">
        <v>248</v>
      </c>
      <c r="G175" s="1">
        <v>1167990</v>
      </c>
      <c r="H175" s="1">
        <v>14789094</v>
      </c>
      <c r="I175" s="1">
        <v>315037.84000000003</v>
      </c>
      <c r="J175" s="1">
        <v>174922.89</v>
      </c>
      <c r="K175" s="1">
        <v>55527.85</v>
      </c>
      <c r="L175" s="1">
        <v>186240.67</v>
      </c>
      <c r="M175" s="1">
        <v>0</v>
      </c>
      <c r="N175" s="1">
        <v>-2650.875</v>
      </c>
      <c r="O175" s="1">
        <v>-1106.92</v>
      </c>
      <c r="P175" s="1">
        <v>0</v>
      </c>
      <c r="Q175" s="1">
        <v>-1368.5840000000001</v>
      </c>
      <c r="R175" s="1">
        <v>-2489.491</v>
      </c>
      <c r="S175" s="1">
        <v>-9285.3940000000002</v>
      </c>
      <c r="T175" s="1">
        <v>1174.579</v>
      </c>
      <c r="U175" s="1">
        <v>695.40800000000002</v>
      </c>
      <c r="V175" s="1">
        <v>2021.3720000000001</v>
      </c>
      <c r="W175" s="1">
        <v>2878.0219999999999</v>
      </c>
      <c r="X175" s="1">
        <v>0</v>
      </c>
      <c r="Y175" s="1">
        <v>-10131.879999999999</v>
      </c>
      <c r="Z175" s="1">
        <v>-28879.421999999999</v>
      </c>
      <c r="AA175" s="1">
        <v>15828</v>
      </c>
      <c r="AB175" s="1">
        <v>17</v>
      </c>
      <c r="AC175" s="1">
        <v>2102970</v>
      </c>
      <c r="AD175" s="1">
        <v>72327</v>
      </c>
      <c r="AE175" s="1">
        <v>7386.8492162430002</v>
      </c>
      <c r="AF175" s="1">
        <v>0</v>
      </c>
      <c r="AG175" s="1">
        <v>10979.398406116001</v>
      </c>
      <c r="AH175" s="1">
        <v>9573.6579084580007</v>
      </c>
      <c r="AI175" s="1">
        <v>3878.6140125460001</v>
      </c>
      <c r="AJ175" s="1">
        <v>95.102381184999999</v>
      </c>
      <c r="AK175" s="1">
        <v>3437.2010799</v>
      </c>
      <c r="AL175" s="1">
        <v>6097.7059785319998</v>
      </c>
      <c r="AM175" s="1">
        <v>0</v>
      </c>
      <c r="AN175" s="1">
        <v>0</v>
      </c>
      <c r="AO175" s="1">
        <v>4533.7197602200004</v>
      </c>
      <c r="AP175" s="1">
        <v>26.549485851</v>
      </c>
      <c r="AQ175" s="1">
        <v>0</v>
      </c>
      <c r="AR175" s="1">
        <v>0</v>
      </c>
      <c r="AS175" s="1">
        <v>0</v>
      </c>
      <c r="AT175" s="1">
        <v>8228.4</v>
      </c>
      <c r="AU175" s="1">
        <v>0</v>
      </c>
      <c r="AV175" s="1">
        <v>0</v>
      </c>
      <c r="AW175" s="1">
        <v>0</v>
      </c>
      <c r="AX175" s="1">
        <v>0</v>
      </c>
      <c r="AY175" s="1">
        <v>0</v>
      </c>
      <c r="AZ175" s="1">
        <v>0</v>
      </c>
      <c r="BA175" s="1">
        <v>0</v>
      </c>
      <c r="BB175" s="1">
        <v>0</v>
      </c>
      <c r="BC175" s="1">
        <v>2048.9008538319999</v>
      </c>
      <c r="BD175" s="1">
        <v>0</v>
      </c>
      <c r="BE175" s="1">
        <v>2890.951978481</v>
      </c>
      <c r="BF175" s="1">
        <v>4001.5286781120003</v>
      </c>
      <c r="BG175" s="1">
        <v>1446.4162621999999</v>
      </c>
      <c r="BH175" s="1">
        <v>872.48798219100001</v>
      </c>
      <c r="BI175" s="1">
        <v>475.38562607200004</v>
      </c>
      <c r="BJ175" s="1">
        <v>1852.9179349449998</v>
      </c>
      <c r="BK175" s="1">
        <v>0</v>
      </c>
      <c r="BL175" s="1">
        <v>0</v>
      </c>
      <c r="BM175" s="1">
        <v>1651.7814328679999</v>
      </c>
      <c r="BN175" s="1">
        <v>3.0307164719999999</v>
      </c>
      <c r="BO175" s="1">
        <v>12844.459684763</v>
      </c>
      <c r="BP175" s="1">
        <v>0</v>
      </c>
      <c r="BQ175" s="1">
        <v>0</v>
      </c>
      <c r="BR175" s="1">
        <v>0</v>
      </c>
      <c r="BS175" s="1">
        <v>32289.999999999996</v>
      </c>
      <c r="BT175" s="1">
        <v>0</v>
      </c>
      <c r="BU175" s="1">
        <v>0</v>
      </c>
      <c r="BV175" s="1">
        <v>0</v>
      </c>
      <c r="BW175" s="1">
        <v>0</v>
      </c>
      <c r="BX175" s="1">
        <v>0</v>
      </c>
      <c r="BY175" s="1">
        <v>0</v>
      </c>
      <c r="BZ175" s="1">
        <v>0</v>
      </c>
      <c r="CA175" s="1">
        <v>0</v>
      </c>
      <c r="CB175" s="1">
        <v>32289.999999999996</v>
      </c>
    </row>
    <row r="176" spans="2:80">
      <c r="B176">
        <v>174</v>
      </c>
      <c r="C176" s="1" t="s">
        <v>20</v>
      </c>
      <c r="D176" s="1" t="s">
        <v>19</v>
      </c>
      <c r="E176" s="1" t="s">
        <v>131</v>
      </c>
      <c r="F176" s="1" t="s">
        <v>249</v>
      </c>
      <c r="G176" s="1">
        <v>1167990</v>
      </c>
      <c r="H176" s="1">
        <v>14789094</v>
      </c>
      <c r="I176" s="1">
        <v>315037.84000000003</v>
      </c>
      <c r="J176" s="1">
        <v>174922.89</v>
      </c>
      <c r="K176" s="1">
        <v>55527.85</v>
      </c>
      <c r="L176" s="1">
        <v>186240.67</v>
      </c>
      <c r="M176" s="1">
        <v>0</v>
      </c>
      <c r="N176" s="1">
        <v>-2650.875</v>
      </c>
      <c r="O176" s="1">
        <v>-1106.92</v>
      </c>
      <c r="P176" s="1">
        <v>0</v>
      </c>
      <c r="Q176" s="1">
        <v>-1368.5840000000001</v>
      </c>
      <c r="R176" s="1">
        <v>-2489.491</v>
      </c>
      <c r="S176" s="1">
        <v>-9285.3940000000002</v>
      </c>
      <c r="T176" s="1">
        <v>1174.579</v>
      </c>
      <c r="U176" s="1">
        <v>695.40800000000002</v>
      </c>
      <c r="V176" s="1">
        <v>2021.3720000000001</v>
      </c>
      <c r="W176" s="1">
        <v>2878.0219999999999</v>
      </c>
      <c r="X176" s="1">
        <v>0</v>
      </c>
      <c r="Y176" s="1">
        <v>-10131.879999999999</v>
      </c>
      <c r="Z176" s="1">
        <v>-17559.363000000001</v>
      </c>
      <c r="AA176" s="1">
        <v>14643</v>
      </c>
      <c r="AB176" s="1">
        <v>0</v>
      </c>
      <c r="AC176" s="1">
        <v>1966672</v>
      </c>
      <c r="AD176" s="1">
        <v>53277</v>
      </c>
      <c r="AE176" s="1">
        <v>7386.8492162430002</v>
      </c>
      <c r="AF176" s="1">
        <v>0</v>
      </c>
      <c r="AG176" s="1">
        <v>10979.398406116001</v>
      </c>
      <c r="AH176" s="1">
        <v>5436.6207091699998</v>
      </c>
      <c r="AI176" s="1">
        <v>3932.5491616530003</v>
      </c>
      <c r="AJ176" s="1">
        <v>64.030711409000006</v>
      </c>
      <c r="AK176" s="1">
        <v>3620.7983342860002</v>
      </c>
      <c r="AL176" s="1">
        <v>7046.3646028650001</v>
      </c>
      <c r="AM176" s="1">
        <v>0</v>
      </c>
      <c r="AN176" s="1">
        <v>0</v>
      </c>
      <c r="AO176" s="1">
        <v>4533.7197602200004</v>
      </c>
      <c r="AP176" s="1">
        <v>26.549485851</v>
      </c>
      <c r="AQ176" s="1">
        <v>0</v>
      </c>
      <c r="AR176" s="1">
        <v>0</v>
      </c>
      <c r="AS176" s="1">
        <v>0</v>
      </c>
      <c r="AT176" s="1">
        <v>6061.1</v>
      </c>
      <c r="AU176" s="1">
        <v>0</v>
      </c>
      <c r="AV176" s="1">
        <v>0</v>
      </c>
      <c r="AW176" s="1">
        <v>0</v>
      </c>
      <c r="AX176" s="1">
        <v>0</v>
      </c>
      <c r="AY176" s="1">
        <v>0</v>
      </c>
      <c r="AZ176" s="1">
        <v>0</v>
      </c>
      <c r="BA176" s="1">
        <v>0</v>
      </c>
      <c r="BB176" s="1">
        <v>0</v>
      </c>
      <c r="BC176" s="1">
        <v>2048.9008538319999</v>
      </c>
      <c r="BD176" s="1">
        <v>0</v>
      </c>
      <c r="BE176" s="1">
        <v>2890.951978481</v>
      </c>
      <c r="BF176" s="1">
        <v>4001.5832856159996</v>
      </c>
      <c r="BG176" s="1">
        <v>1254.5869265859999</v>
      </c>
      <c r="BH176" s="1">
        <v>773.75761495900008</v>
      </c>
      <c r="BI176" s="1">
        <v>458.80542266999998</v>
      </c>
      <c r="BJ176" s="1">
        <v>1958.177311874</v>
      </c>
      <c r="BK176" s="1">
        <v>0</v>
      </c>
      <c r="BL176" s="1">
        <v>0</v>
      </c>
      <c r="BM176" s="1">
        <v>1651.7814328679999</v>
      </c>
      <c r="BN176" s="1">
        <v>3.0307164719999999</v>
      </c>
      <c r="BO176" s="1">
        <v>12885.401660886999</v>
      </c>
      <c r="BP176" s="1">
        <v>0</v>
      </c>
      <c r="BQ176" s="1">
        <v>0</v>
      </c>
      <c r="BR176" s="1">
        <v>0</v>
      </c>
      <c r="BS176" s="1">
        <v>28450</v>
      </c>
      <c r="BT176" s="1">
        <v>0</v>
      </c>
      <c r="BU176" s="1">
        <v>0</v>
      </c>
      <c r="BV176" s="1">
        <v>0</v>
      </c>
      <c r="BW176" s="1">
        <v>0</v>
      </c>
      <c r="BX176" s="1">
        <v>0</v>
      </c>
      <c r="BY176" s="1">
        <v>0</v>
      </c>
      <c r="BZ176" s="1">
        <v>0</v>
      </c>
      <c r="CA176" s="1">
        <v>0</v>
      </c>
      <c r="CB176" s="1">
        <v>28450</v>
      </c>
    </row>
    <row r="177" spans="2:80">
      <c r="B177">
        <v>175</v>
      </c>
      <c r="C177" s="1" t="s">
        <v>20</v>
      </c>
      <c r="D177" s="1" t="s">
        <v>19</v>
      </c>
      <c r="E177" s="1" t="s">
        <v>133</v>
      </c>
      <c r="F177" s="1" t="s">
        <v>250</v>
      </c>
      <c r="G177" s="1">
        <v>1167990</v>
      </c>
      <c r="H177" s="1">
        <v>14789094</v>
      </c>
      <c r="I177" s="1">
        <v>315037.84000000003</v>
      </c>
      <c r="J177" s="1">
        <v>174922.89</v>
      </c>
      <c r="K177" s="1">
        <v>55527.85</v>
      </c>
      <c r="L177" s="1">
        <v>186240.67</v>
      </c>
      <c r="M177" s="1">
        <v>0</v>
      </c>
      <c r="N177" s="1">
        <v>-2750.431</v>
      </c>
      <c r="O177" s="1">
        <v>-1109.7860000000001</v>
      </c>
      <c r="P177" s="1">
        <v>0</v>
      </c>
      <c r="Q177" s="1">
        <v>-1368.5840000000001</v>
      </c>
      <c r="R177" s="1">
        <v>-2601.2359999999999</v>
      </c>
      <c r="S177" s="1">
        <v>-9733.0069999999996</v>
      </c>
      <c r="T177" s="1">
        <v>1244.3130000000001</v>
      </c>
      <c r="U177" s="1">
        <v>789.06899999999996</v>
      </c>
      <c r="V177" s="1">
        <v>1772.7339999999999</v>
      </c>
      <c r="W177" s="1">
        <v>3180.7069999999999</v>
      </c>
      <c r="X177" s="1">
        <v>0</v>
      </c>
      <c r="Y177" s="1">
        <v>-10576.22</v>
      </c>
      <c r="Z177" s="1">
        <v>-29835.41</v>
      </c>
      <c r="AA177" s="1">
        <v>16310</v>
      </c>
      <c r="AB177" s="1">
        <v>5</v>
      </c>
      <c r="AC177" s="1">
        <v>2036522</v>
      </c>
      <c r="AD177" s="1">
        <v>72979</v>
      </c>
      <c r="AE177" s="1">
        <v>5731.5626642120005</v>
      </c>
      <c r="AF177" s="1">
        <v>0</v>
      </c>
      <c r="AG177" s="1">
        <v>10979.398406116001</v>
      </c>
      <c r="AH177" s="1">
        <v>9919.780746624001</v>
      </c>
      <c r="AI177" s="1">
        <v>3805.6891039229999</v>
      </c>
      <c r="AJ177" s="1">
        <v>86.163815373999995</v>
      </c>
      <c r="AK177" s="1">
        <v>3429.0986914939999</v>
      </c>
      <c r="AL177" s="1">
        <v>6043.0541059349998</v>
      </c>
      <c r="AM177" s="1">
        <v>0</v>
      </c>
      <c r="AN177" s="1">
        <v>0</v>
      </c>
      <c r="AO177" s="1">
        <v>4533.7197602200004</v>
      </c>
      <c r="AP177" s="1">
        <v>26.549485851</v>
      </c>
      <c r="AQ177" s="1">
        <v>0</v>
      </c>
      <c r="AR177" s="1">
        <v>0</v>
      </c>
      <c r="AS177" s="1">
        <v>0</v>
      </c>
      <c r="AT177" s="1">
        <v>8302.5</v>
      </c>
      <c r="AU177" s="1">
        <v>0</v>
      </c>
      <c r="AV177" s="1">
        <v>0</v>
      </c>
      <c r="AW177" s="1">
        <v>0</v>
      </c>
      <c r="AX177" s="1">
        <v>0</v>
      </c>
      <c r="AY177" s="1">
        <v>0</v>
      </c>
      <c r="AZ177" s="1">
        <v>0</v>
      </c>
      <c r="BA177" s="1">
        <v>0</v>
      </c>
      <c r="BB177" s="1">
        <v>0</v>
      </c>
      <c r="BC177" s="1">
        <v>1574.115910304</v>
      </c>
      <c r="BD177" s="1">
        <v>0</v>
      </c>
      <c r="BE177" s="1">
        <v>2890.951978481</v>
      </c>
      <c r="BF177" s="1">
        <v>4001.497961391</v>
      </c>
      <c r="BG177" s="1">
        <v>1443.0544877350001</v>
      </c>
      <c r="BH177" s="1">
        <v>873.02040535499998</v>
      </c>
      <c r="BI177" s="1">
        <v>474.80200837299998</v>
      </c>
      <c r="BJ177" s="1">
        <v>1752.522038841</v>
      </c>
      <c r="BK177" s="1">
        <v>0</v>
      </c>
      <c r="BL177" s="1">
        <v>0</v>
      </c>
      <c r="BM177" s="1">
        <v>1651.7814328679999</v>
      </c>
      <c r="BN177" s="1">
        <v>3.0307164719999999</v>
      </c>
      <c r="BO177" s="1">
        <v>12340.865869906</v>
      </c>
      <c r="BP177" s="1">
        <v>0</v>
      </c>
      <c r="BQ177" s="1">
        <v>0</v>
      </c>
      <c r="BR177" s="1">
        <v>0</v>
      </c>
      <c r="BS177" s="1">
        <v>32289.999999999996</v>
      </c>
      <c r="BT177" s="1">
        <v>0</v>
      </c>
      <c r="BU177" s="1">
        <v>0</v>
      </c>
      <c r="BV177" s="1">
        <v>0</v>
      </c>
      <c r="BW177" s="1">
        <v>0</v>
      </c>
      <c r="BX177" s="1">
        <v>0</v>
      </c>
      <c r="BY177" s="1">
        <v>0</v>
      </c>
      <c r="BZ177" s="1">
        <v>0</v>
      </c>
      <c r="CA177" s="1">
        <v>0</v>
      </c>
      <c r="CB177" s="1">
        <v>32289.999999999996</v>
      </c>
    </row>
    <row r="178" spans="2:80">
      <c r="B178">
        <v>176</v>
      </c>
      <c r="C178" s="1" t="s">
        <v>20</v>
      </c>
      <c r="D178" s="1" t="s">
        <v>19</v>
      </c>
      <c r="E178" s="1" t="s">
        <v>135</v>
      </c>
      <c r="F178" s="1" t="s">
        <v>251</v>
      </c>
      <c r="G178" s="1">
        <v>1167990</v>
      </c>
      <c r="H178" s="1">
        <v>14789094</v>
      </c>
      <c r="I178" s="1">
        <v>315037.84000000003</v>
      </c>
      <c r="J178" s="1">
        <v>174922.89</v>
      </c>
      <c r="K178" s="1">
        <v>55527.85</v>
      </c>
      <c r="L178" s="1">
        <v>186240.67</v>
      </c>
      <c r="M178" s="1">
        <v>0</v>
      </c>
      <c r="N178" s="1">
        <v>-2750.431</v>
      </c>
      <c r="O178" s="1">
        <v>-1109.7860000000001</v>
      </c>
      <c r="P178" s="1">
        <v>0</v>
      </c>
      <c r="Q178" s="1">
        <v>-1368.5840000000001</v>
      </c>
      <c r="R178" s="1">
        <v>-2601.2359999999999</v>
      </c>
      <c r="S178" s="1">
        <v>-9733.0069999999996</v>
      </c>
      <c r="T178" s="1">
        <v>1244.3130000000001</v>
      </c>
      <c r="U178" s="1">
        <v>789.06899999999996</v>
      </c>
      <c r="V178" s="1">
        <v>1772.7339999999999</v>
      </c>
      <c r="W178" s="1">
        <v>3180.7069999999999</v>
      </c>
      <c r="X178" s="1">
        <v>0</v>
      </c>
      <c r="Y178" s="1">
        <v>-10576.22</v>
      </c>
      <c r="Z178" s="1">
        <v>-18535.978999999999</v>
      </c>
      <c r="AA178" s="1">
        <v>14750</v>
      </c>
      <c r="AB178" s="1">
        <v>0</v>
      </c>
      <c r="AC178" s="1">
        <v>1901263</v>
      </c>
      <c r="AD178" s="1">
        <v>54068</v>
      </c>
      <c r="AE178" s="1">
        <v>5731.5626642120005</v>
      </c>
      <c r="AF178" s="1">
        <v>0</v>
      </c>
      <c r="AG178" s="1">
        <v>10979.398406116001</v>
      </c>
      <c r="AH178" s="1">
        <v>5803.2896207160002</v>
      </c>
      <c r="AI178" s="1">
        <v>3859.8768127359999</v>
      </c>
      <c r="AJ178" s="1">
        <v>55.283271861999999</v>
      </c>
      <c r="AK178" s="1">
        <v>3612.5594271200002</v>
      </c>
      <c r="AL178" s="1">
        <v>6993.6001021250004</v>
      </c>
      <c r="AM178" s="1">
        <v>0</v>
      </c>
      <c r="AN178" s="1">
        <v>0</v>
      </c>
      <c r="AO178" s="1">
        <v>4533.7197602200004</v>
      </c>
      <c r="AP178" s="1">
        <v>26.549485851</v>
      </c>
      <c r="AQ178" s="1">
        <v>0</v>
      </c>
      <c r="AR178" s="1">
        <v>0</v>
      </c>
      <c r="AS178" s="1">
        <v>0</v>
      </c>
      <c r="AT178" s="1">
        <v>6151.1</v>
      </c>
      <c r="AU178" s="1">
        <v>0</v>
      </c>
      <c r="AV178" s="1">
        <v>0</v>
      </c>
      <c r="AW178" s="1">
        <v>0</v>
      </c>
      <c r="AX178" s="1">
        <v>0</v>
      </c>
      <c r="AY178" s="1">
        <v>0</v>
      </c>
      <c r="AZ178" s="1">
        <v>0</v>
      </c>
      <c r="BA178" s="1">
        <v>0</v>
      </c>
      <c r="BB178" s="1">
        <v>0</v>
      </c>
      <c r="BC178" s="1">
        <v>1574.115910304</v>
      </c>
      <c r="BD178" s="1">
        <v>0</v>
      </c>
      <c r="BE178" s="1">
        <v>2890.951978481</v>
      </c>
      <c r="BF178" s="1">
        <v>4001.5423299879999</v>
      </c>
      <c r="BG178" s="1">
        <v>1184.3036559689999</v>
      </c>
      <c r="BH178" s="1">
        <v>774.276386247</v>
      </c>
      <c r="BI178" s="1">
        <v>455.97948433800002</v>
      </c>
      <c r="BJ178" s="1">
        <v>1890.5493311390001</v>
      </c>
      <c r="BK178" s="1">
        <v>0</v>
      </c>
      <c r="BL178" s="1">
        <v>0</v>
      </c>
      <c r="BM178" s="1">
        <v>1651.7814328679999</v>
      </c>
      <c r="BN178" s="1">
        <v>3.0307164719999999</v>
      </c>
      <c r="BO178" s="1">
        <v>12480.432411222999</v>
      </c>
      <c r="BP178" s="1">
        <v>0</v>
      </c>
      <c r="BQ178" s="1">
        <v>0</v>
      </c>
      <c r="BR178" s="1">
        <v>0</v>
      </c>
      <c r="BS178" s="1">
        <v>28850</v>
      </c>
      <c r="BT178" s="1">
        <v>0</v>
      </c>
      <c r="BU178" s="1">
        <v>0</v>
      </c>
      <c r="BV178" s="1">
        <v>0</v>
      </c>
      <c r="BW178" s="1">
        <v>0</v>
      </c>
      <c r="BX178" s="1">
        <v>0</v>
      </c>
      <c r="BY178" s="1">
        <v>0</v>
      </c>
      <c r="BZ178" s="1">
        <v>0</v>
      </c>
      <c r="CA178" s="1">
        <v>0</v>
      </c>
      <c r="CB178" s="1">
        <v>28850</v>
      </c>
    </row>
    <row r="179" spans="2:80">
      <c r="B179">
        <v>177</v>
      </c>
      <c r="C179" s="1" t="s">
        <v>20</v>
      </c>
      <c r="D179" s="1" t="s">
        <v>19</v>
      </c>
      <c r="E179" s="1" t="s">
        <v>137</v>
      </c>
      <c r="F179" s="1" t="s">
        <v>252</v>
      </c>
      <c r="G179" s="1">
        <v>1167990</v>
      </c>
      <c r="H179" s="1">
        <v>14789094</v>
      </c>
      <c r="I179" s="1">
        <v>315037.84000000003</v>
      </c>
      <c r="J179" s="1">
        <v>174922.89</v>
      </c>
      <c r="K179" s="1">
        <v>55527.85</v>
      </c>
      <c r="L179" s="1">
        <v>186240.67</v>
      </c>
      <c r="M179" s="1">
        <v>0</v>
      </c>
      <c r="N179" s="1">
        <v>-2487.4780000000001</v>
      </c>
      <c r="O179" s="1">
        <v>-1105.9179999999999</v>
      </c>
      <c r="P179" s="1">
        <v>0</v>
      </c>
      <c r="Q179" s="1">
        <v>-1368.5840000000001</v>
      </c>
      <c r="R179" s="1">
        <v>-2699.953</v>
      </c>
      <c r="S179" s="1">
        <v>-6244.5410000000002</v>
      </c>
      <c r="T179" s="1">
        <v>988.08299999999997</v>
      </c>
      <c r="U179" s="1">
        <v>567.60799999999995</v>
      </c>
      <c r="V179" s="1">
        <v>1692.615</v>
      </c>
      <c r="W179" s="1">
        <v>2400.9769999999999</v>
      </c>
      <c r="X179" s="1">
        <v>0</v>
      </c>
      <c r="Y179" s="1">
        <v>-8257.1929999999993</v>
      </c>
      <c r="Z179" s="1">
        <v>-26900.965</v>
      </c>
      <c r="AA179" s="1">
        <v>14779</v>
      </c>
      <c r="AB179" s="1">
        <v>20</v>
      </c>
      <c r="AC179" s="1">
        <v>2073179</v>
      </c>
      <c r="AD179" s="1">
        <v>69516</v>
      </c>
      <c r="AE179" s="1">
        <v>7386.8492162430002</v>
      </c>
      <c r="AF179" s="1">
        <v>0</v>
      </c>
      <c r="AG179" s="1">
        <v>10979.398406116001</v>
      </c>
      <c r="AH179" s="1">
        <v>8873.3132566889999</v>
      </c>
      <c r="AI179" s="1">
        <v>3899.170324833</v>
      </c>
      <c r="AJ179" s="1">
        <v>100.279855158</v>
      </c>
      <c r="AK179" s="1">
        <v>3437.1737761479999</v>
      </c>
      <c r="AL179" s="1">
        <v>6120.5387411419997</v>
      </c>
      <c r="AM179" s="1">
        <v>0</v>
      </c>
      <c r="AN179" s="1">
        <v>0</v>
      </c>
      <c r="AO179" s="1">
        <v>4533.7197602200004</v>
      </c>
      <c r="AP179" s="1">
        <v>26.549485851</v>
      </c>
      <c r="AQ179" s="1">
        <v>0</v>
      </c>
      <c r="AR179" s="1">
        <v>0</v>
      </c>
      <c r="AS179" s="1">
        <v>0</v>
      </c>
      <c r="AT179" s="1">
        <v>7908.5</v>
      </c>
      <c r="AU179" s="1">
        <v>0</v>
      </c>
      <c r="AV179" s="1">
        <v>0</v>
      </c>
      <c r="AW179" s="1">
        <v>0</v>
      </c>
      <c r="AX179" s="1">
        <v>0</v>
      </c>
      <c r="AY179" s="1">
        <v>0</v>
      </c>
      <c r="AZ179" s="1">
        <v>0</v>
      </c>
      <c r="BA179" s="1">
        <v>0</v>
      </c>
      <c r="BB179" s="1">
        <v>0</v>
      </c>
      <c r="BC179" s="1">
        <v>2048.9008538319999</v>
      </c>
      <c r="BD179" s="1">
        <v>0</v>
      </c>
      <c r="BE179" s="1">
        <v>2890.951978481</v>
      </c>
      <c r="BF179" s="1">
        <v>4001.4843095149995</v>
      </c>
      <c r="BG179" s="1">
        <v>1448.6824736159999</v>
      </c>
      <c r="BH179" s="1">
        <v>869.37876743200002</v>
      </c>
      <c r="BI179" s="1">
        <v>471.89074581600005</v>
      </c>
      <c r="BJ179" s="1">
        <v>1901.87697525</v>
      </c>
      <c r="BK179" s="1">
        <v>0</v>
      </c>
      <c r="BL179" s="1">
        <v>0</v>
      </c>
      <c r="BM179" s="1">
        <v>1651.7814328679999</v>
      </c>
      <c r="BN179" s="1">
        <v>3.0307164719999999</v>
      </c>
      <c r="BO179" s="1">
        <v>12845.428967958998</v>
      </c>
      <c r="BP179" s="1">
        <v>0</v>
      </c>
      <c r="BQ179" s="1">
        <v>0</v>
      </c>
      <c r="BR179" s="1">
        <v>0</v>
      </c>
      <c r="BS179" s="1">
        <v>32289.999999999996</v>
      </c>
      <c r="BT179" s="1">
        <v>0</v>
      </c>
      <c r="BU179" s="1">
        <v>0</v>
      </c>
      <c r="BV179" s="1">
        <v>0</v>
      </c>
      <c r="BW179" s="1">
        <v>0</v>
      </c>
      <c r="BX179" s="1">
        <v>0</v>
      </c>
      <c r="BY179" s="1">
        <v>0</v>
      </c>
      <c r="BZ179" s="1">
        <v>0</v>
      </c>
      <c r="CA179" s="1">
        <v>0</v>
      </c>
      <c r="CB179" s="1">
        <v>32289.999999999996</v>
      </c>
    </row>
    <row r="180" spans="2:80">
      <c r="B180">
        <v>178</v>
      </c>
      <c r="C180" s="1" t="s">
        <v>20</v>
      </c>
      <c r="D180" s="1" t="s">
        <v>19</v>
      </c>
      <c r="E180" s="1" t="s">
        <v>139</v>
      </c>
      <c r="F180" s="1" t="s">
        <v>144</v>
      </c>
      <c r="G180" s="1">
        <v>1167990</v>
      </c>
      <c r="H180" s="1">
        <v>14789094</v>
      </c>
      <c r="I180" s="1">
        <v>315037.84000000003</v>
      </c>
      <c r="J180" s="1">
        <v>174922.89</v>
      </c>
      <c r="K180" s="1">
        <v>55527.85</v>
      </c>
      <c r="L180" s="1">
        <v>186240.67</v>
      </c>
      <c r="M180" s="1">
        <v>0</v>
      </c>
      <c r="N180" s="1">
        <v>-2487.4780000000001</v>
      </c>
      <c r="O180" s="1">
        <v>-1105.9179999999999</v>
      </c>
      <c r="P180" s="1">
        <v>0</v>
      </c>
      <c r="Q180" s="1">
        <v>-1368.5840000000001</v>
      </c>
      <c r="R180" s="1">
        <v>-2699.953</v>
      </c>
      <c r="S180" s="1">
        <v>-6244.5410000000002</v>
      </c>
      <c r="T180" s="1">
        <v>988.08299999999997</v>
      </c>
      <c r="U180" s="1">
        <v>567.60799999999995</v>
      </c>
      <c r="V180" s="1">
        <v>1692.615</v>
      </c>
      <c r="W180" s="1">
        <v>2400.9769999999999</v>
      </c>
      <c r="X180" s="1">
        <v>0</v>
      </c>
      <c r="Y180" s="1">
        <v>-8257.1929999999993</v>
      </c>
      <c r="Z180" s="1">
        <v>-15332.377</v>
      </c>
      <c r="AA180" s="1">
        <v>14494</v>
      </c>
      <c r="AB180" s="1">
        <v>0</v>
      </c>
      <c r="AC180" s="1">
        <v>1931954</v>
      </c>
      <c r="AD180" s="1">
        <v>50538</v>
      </c>
      <c r="AE180" s="1">
        <v>7386.8492162430002</v>
      </c>
      <c r="AF180" s="1">
        <v>0</v>
      </c>
      <c r="AG180" s="1">
        <v>10979.398406116001</v>
      </c>
      <c r="AH180" s="1">
        <v>4626.5354521750005</v>
      </c>
      <c r="AI180" s="1">
        <v>3953.842675244</v>
      </c>
      <c r="AJ180" s="1">
        <v>68.631393621000001</v>
      </c>
      <c r="AK180" s="1">
        <v>3620.938266015</v>
      </c>
      <c r="AL180" s="1">
        <v>7070.8151127809997</v>
      </c>
      <c r="AM180" s="1">
        <v>0</v>
      </c>
      <c r="AN180" s="1">
        <v>0</v>
      </c>
      <c r="AO180" s="1">
        <v>4533.7197602200004</v>
      </c>
      <c r="AP180" s="1">
        <v>26.549485851</v>
      </c>
      <c r="AQ180" s="1">
        <v>0</v>
      </c>
      <c r="AR180" s="1">
        <v>0</v>
      </c>
      <c r="AS180" s="1">
        <v>0</v>
      </c>
      <c r="AT180" s="1">
        <v>5749.5</v>
      </c>
      <c r="AU180" s="1">
        <v>0</v>
      </c>
      <c r="AV180" s="1">
        <v>0</v>
      </c>
      <c r="AW180" s="1">
        <v>0</v>
      </c>
      <c r="AX180" s="1">
        <v>0</v>
      </c>
      <c r="AY180" s="1">
        <v>0</v>
      </c>
      <c r="AZ180" s="1">
        <v>0</v>
      </c>
      <c r="BA180" s="1">
        <v>0</v>
      </c>
      <c r="BB180" s="1">
        <v>0</v>
      </c>
      <c r="BC180" s="1">
        <v>2048.9008538319999</v>
      </c>
      <c r="BD180" s="1">
        <v>0</v>
      </c>
      <c r="BE180" s="1">
        <v>2890.951978481</v>
      </c>
      <c r="BF180" s="1">
        <v>4001.5935245230003</v>
      </c>
      <c r="BG180" s="1">
        <v>1272.6142288439999</v>
      </c>
      <c r="BH180" s="1">
        <v>807.26273163199994</v>
      </c>
      <c r="BI180" s="1">
        <v>460.38904028600001</v>
      </c>
      <c r="BJ180" s="1">
        <v>1989.4913024490002</v>
      </c>
      <c r="BK180" s="1">
        <v>0</v>
      </c>
      <c r="BL180" s="1">
        <v>0</v>
      </c>
      <c r="BM180" s="1">
        <v>1651.7814328679999</v>
      </c>
      <c r="BN180" s="1">
        <v>3.0307164719999999</v>
      </c>
      <c r="BO180" s="1">
        <v>12860.739546893001</v>
      </c>
      <c r="BP180" s="1">
        <v>0</v>
      </c>
      <c r="BQ180" s="1">
        <v>0</v>
      </c>
      <c r="BR180" s="1">
        <v>0</v>
      </c>
      <c r="BS180" s="1">
        <v>27460.000000000004</v>
      </c>
      <c r="BT180" s="1">
        <v>0</v>
      </c>
      <c r="BU180" s="1">
        <v>0</v>
      </c>
      <c r="BV180" s="1">
        <v>0</v>
      </c>
      <c r="BW180" s="1">
        <v>0</v>
      </c>
      <c r="BX180" s="1">
        <v>0</v>
      </c>
      <c r="BY180" s="1">
        <v>0</v>
      </c>
      <c r="BZ180" s="1">
        <v>0</v>
      </c>
      <c r="CA180" s="1">
        <v>0</v>
      </c>
      <c r="CB180" s="1">
        <v>27460.000000000004</v>
      </c>
    </row>
    <row r="181" spans="2:80">
      <c r="B181">
        <v>179</v>
      </c>
      <c r="C181" s="1" t="s">
        <v>20</v>
      </c>
      <c r="D181" s="1" t="s">
        <v>19</v>
      </c>
      <c r="E181" s="1" t="s">
        <v>141</v>
      </c>
      <c r="F181" s="1" t="s">
        <v>146</v>
      </c>
      <c r="G181" s="1">
        <v>1167990</v>
      </c>
      <c r="H181" s="1">
        <v>14789094</v>
      </c>
      <c r="I181" s="1">
        <v>315037.84000000003</v>
      </c>
      <c r="J181" s="1">
        <v>174922.89</v>
      </c>
      <c r="K181" s="1">
        <v>55527.85</v>
      </c>
      <c r="L181" s="1">
        <v>186240.67</v>
      </c>
      <c r="M181" s="1">
        <v>0</v>
      </c>
      <c r="N181" s="1">
        <v>-2576.924</v>
      </c>
      <c r="O181" s="1">
        <v>-1109.172</v>
      </c>
      <c r="P181" s="1">
        <v>0</v>
      </c>
      <c r="Q181" s="1">
        <v>-1368.5840000000001</v>
      </c>
      <c r="R181" s="1">
        <v>-2817.203</v>
      </c>
      <c r="S181" s="1">
        <v>-6532.4129999999996</v>
      </c>
      <c r="T181" s="1">
        <v>1045.7539999999999</v>
      </c>
      <c r="U181" s="1">
        <v>633.64099999999996</v>
      </c>
      <c r="V181" s="1">
        <v>1483.308</v>
      </c>
      <c r="W181" s="1">
        <v>2629.8409999999999</v>
      </c>
      <c r="X181" s="1">
        <v>0</v>
      </c>
      <c r="Y181" s="1">
        <v>-8611.7530000000006</v>
      </c>
      <c r="Z181" s="1">
        <v>-27723.344000000001</v>
      </c>
      <c r="AA181" s="1">
        <v>15135</v>
      </c>
      <c r="AB181" s="1">
        <v>5</v>
      </c>
      <c r="AC181" s="1">
        <v>2003708</v>
      </c>
      <c r="AD181" s="1">
        <v>70255</v>
      </c>
      <c r="AE181" s="1">
        <v>5731.5626642120005</v>
      </c>
      <c r="AF181" s="1">
        <v>0</v>
      </c>
      <c r="AG181" s="1">
        <v>10979.398406116001</v>
      </c>
      <c r="AH181" s="1">
        <v>9173.0504331760003</v>
      </c>
      <c r="AI181" s="1">
        <v>3812.1839839300001</v>
      </c>
      <c r="AJ181" s="1">
        <v>90.242313328999998</v>
      </c>
      <c r="AK181" s="1">
        <v>3428.962172734</v>
      </c>
      <c r="AL181" s="1">
        <v>6061.4329440000001</v>
      </c>
      <c r="AM181" s="1">
        <v>0</v>
      </c>
      <c r="AN181" s="1">
        <v>0</v>
      </c>
      <c r="AO181" s="1">
        <v>4533.7197602200004</v>
      </c>
      <c r="AP181" s="1">
        <v>26.549485851</v>
      </c>
      <c r="AQ181" s="1">
        <v>0</v>
      </c>
      <c r="AR181" s="1">
        <v>0</v>
      </c>
      <c r="AS181" s="1">
        <v>0</v>
      </c>
      <c r="AT181" s="1">
        <v>7992.6</v>
      </c>
      <c r="AU181" s="1">
        <v>0</v>
      </c>
      <c r="AV181" s="1">
        <v>0</v>
      </c>
      <c r="AW181" s="1">
        <v>0</v>
      </c>
      <c r="AX181" s="1">
        <v>0</v>
      </c>
      <c r="AY181" s="1">
        <v>0</v>
      </c>
      <c r="AZ181" s="1">
        <v>0</v>
      </c>
      <c r="BA181" s="1">
        <v>0</v>
      </c>
      <c r="BB181" s="1">
        <v>0</v>
      </c>
      <c r="BC181" s="1">
        <v>1574.115910304</v>
      </c>
      <c r="BD181" s="1">
        <v>0</v>
      </c>
      <c r="BE181" s="1">
        <v>2890.951978481</v>
      </c>
      <c r="BF181" s="1">
        <v>4001.4058112279999</v>
      </c>
      <c r="BG181" s="1">
        <v>1445.3241121200001</v>
      </c>
      <c r="BH181" s="1">
        <v>871.02723145900006</v>
      </c>
      <c r="BI181" s="1">
        <v>477.511905759</v>
      </c>
      <c r="BJ181" s="1">
        <v>1782.289954459</v>
      </c>
      <c r="BK181" s="1">
        <v>0</v>
      </c>
      <c r="BL181" s="1">
        <v>0</v>
      </c>
      <c r="BM181" s="1">
        <v>1651.7814328679999</v>
      </c>
      <c r="BN181" s="1">
        <v>3.0307164719999999</v>
      </c>
      <c r="BO181" s="1">
        <v>12361.947779418999</v>
      </c>
      <c r="BP181" s="1">
        <v>0</v>
      </c>
      <c r="BQ181" s="1">
        <v>0</v>
      </c>
      <c r="BR181" s="1">
        <v>0</v>
      </c>
      <c r="BS181" s="1">
        <v>32289.999999999996</v>
      </c>
      <c r="BT181" s="1">
        <v>0</v>
      </c>
      <c r="BU181" s="1">
        <v>0</v>
      </c>
      <c r="BV181" s="1">
        <v>0</v>
      </c>
      <c r="BW181" s="1">
        <v>0</v>
      </c>
      <c r="BX181" s="1">
        <v>0</v>
      </c>
      <c r="BY181" s="1">
        <v>0</v>
      </c>
      <c r="BZ181" s="1">
        <v>0</v>
      </c>
      <c r="CA181" s="1">
        <v>0</v>
      </c>
      <c r="CB181" s="1">
        <v>32289.999999999996</v>
      </c>
    </row>
    <row r="182" spans="2:80">
      <c r="B182">
        <v>180</v>
      </c>
      <c r="C182" s="1" t="s">
        <v>20</v>
      </c>
      <c r="D182" s="1" t="s">
        <v>19</v>
      </c>
      <c r="E182" s="1" t="s">
        <v>143</v>
      </c>
      <c r="F182" s="1" t="s">
        <v>148</v>
      </c>
      <c r="G182" s="1">
        <v>1167990</v>
      </c>
      <c r="H182" s="1">
        <v>14789094</v>
      </c>
      <c r="I182" s="1">
        <v>315037.84000000003</v>
      </c>
      <c r="J182" s="1">
        <v>174922.89</v>
      </c>
      <c r="K182" s="1">
        <v>55527.85</v>
      </c>
      <c r="L182" s="1">
        <v>186240.67</v>
      </c>
      <c r="M182" s="1">
        <v>0</v>
      </c>
      <c r="N182" s="1">
        <v>-2576.924</v>
      </c>
      <c r="O182" s="1">
        <v>-1109.172</v>
      </c>
      <c r="P182" s="1">
        <v>0</v>
      </c>
      <c r="Q182" s="1">
        <v>-1368.5840000000001</v>
      </c>
      <c r="R182" s="1">
        <v>-2817.203</v>
      </c>
      <c r="S182" s="1">
        <v>-6532.4129999999996</v>
      </c>
      <c r="T182" s="1">
        <v>1045.7539999999999</v>
      </c>
      <c r="U182" s="1">
        <v>633.64099999999996</v>
      </c>
      <c r="V182" s="1">
        <v>1483.308</v>
      </c>
      <c r="W182" s="1">
        <v>2629.8409999999999</v>
      </c>
      <c r="X182" s="1">
        <v>0</v>
      </c>
      <c r="Y182" s="1">
        <v>-8611.7530000000006</v>
      </c>
      <c r="Z182" s="1">
        <v>-16260.664000000001</v>
      </c>
      <c r="AA182" s="1">
        <v>14586</v>
      </c>
      <c r="AB182" s="1">
        <v>0</v>
      </c>
      <c r="AC182" s="1">
        <v>1864995</v>
      </c>
      <c r="AD182" s="1">
        <v>51237</v>
      </c>
      <c r="AE182" s="1">
        <v>5731.5626642120005</v>
      </c>
      <c r="AF182" s="1">
        <v>0</v>
      </c>
      <c r="AG182" s="1">
        <v>10979.398406116001</v>
      </c>
      <c r="AH182" s="1">
        <v>4968.9040244409998</v>
      </c>
      <c r="AI182" s="1">
        <v>3877.5867088770001</v>
      </c>
      <c r="AJ182" s="1">
        <v>58.836172591</v>
      </c>
      <c r="AK182" s="1">
        <v>3612.4570380499999</v>
      </c>
      <c r="AL182" s="1">
        <v>7013.3270629449999</v>
      </c>
      <c r="AM182" s="1">
        <v>0</v>
      </c>
      <c r="AN182" s="1">
        <v>0</v>
      </c>
      <c r="AO182" s="1">
        <v>4533.7197602200004</v>
      </c>
      <c r="AP182" s="1">
        <v>26.549485851</v>
      </c>
      <c r="AQ182" s="1">
        <v>0</v>
      </c>
      <c r="AR182" s="1">
        <v>0</v>
      </c>
      <c r="AS182" s="1">
        <v>0</v>
      </c>
      <c r="AT182" s="1">
        <v>5829</v>
      </c>
      <c r="AU182" s="1">
        <v>0</v>
      </c>
      <c r="AV182" s="1">
        <v>0</v>
      </c>
      <c r="AW182" s="1">
        <v>0</v>
      </c>
      <c r="AX182" s="1">
        <v>0</v>
      </c>
      <c r="AY182" s="1">
        <v>0</v>
      </c>
      <c r="AZ182" s="1">
        <v>0</v>
      </c>
      <c r="BA182" s="1">
        <v>0</v>
      </c>
      <c r="BB182" s="1">
        <v>0</v>
      </c>
      <c r="BC182" s="1">
        <v>1574.115910304</v>
      </c>
      <c r="BD182" s="1">
        <v>0</v>
      </c>
      <c r="BE182" s="1">
        <v>2890.951978481</v>
      </c>
      <c r="BF182" s="1">
        <v>4001.5901115539996</v>
      </c>
      <c r="BG182" s="1">
        <v>1200.586931068</v>
      </c>
      <c r="BH182" s="1">
        <v>761.81563642799995</v>
      </c>
      <c r="BI182" s="1">
        <v>455.99654918300001</v>
      </c>
      <c r="BJ182" s="1">
        <v>1920.2080317489999</v>
      </c>
      <c r="BK182" s="1">
        <v>0</v>
      </c>
      <c r="BL182" s="1">
        <v>0</v>
      </c>
      <c r="BM182" s="1">
        <v>1651.7814328679999</v>
      </c>
      <c r="BN182" s="1">
        <v>3.0307164719999999</v>
      </c>
      <c r="BO182" s="1">
        <v>12484.603059341</v>
      </c>
      <c r="BP182" s="1">
        <v>0</v>
      </c>
      <c r="BQ182" s="1">
        <v>0</v>
      </c>
      <c r="BR182" s="1">
        <v>0</v>
      </c>
      <c r="BS182" s="1">
        <v>27739.999999999996</v>
      </c>
      <c r="BT182" s="1">
        <v>0</v>
      </c>
      <c r="BU182" s="1">
        <v>0</v>
      </c>
      <c r="BV182" s="1">
        <v>0</v>
      </c>
      <c r="BW182" s="1">
        <v>0</v>
      </c>
      <c r="BX182" s="1">
        <v>0</v>
      </c>
      <c r="BY182" s="1">
        <v>0</v>
      </c>
      <c r="BZ182" s="1">
        <v>0</v>
      </c>
      <c r="CA182" s="1">
        <v>0</v>
      </c>
      <c r="CB182" s="1">
        <v>27739.999999999996</v>
      </c>
    </row>
    <row r="183" spans="2:80">
      <c r="B183">
        <v>181</v>
      </c>
      <c r="C183" s="1" t="s">
        <v>20</v>
      </c>
      <c r="D183" s="1" t="s">
        <v>19</v>
      </c>
      <c r="E183" s="1" t="s">
        <v>145</v>
      </c>
      <c r="F183" s="1" t="s">
        <v>150</v>
      </c>
      <c r="G183" s="1">
        <v>1167990</v>
      </c>
      <c r="H183" s="1">
        <v>14789094</v>
      </c>
      <c r="I183" s="1">
        <v>315037.84000000003</v>
      </c>
      <c r="J183" s="1">
        <v>174922.89</v>
      </c>
      <c r="K183" s="1">
        <v>55527.85</v>
      </c>
      <c r="L183" s="1">
        <v>186240.67</v>
      </c>
      <c r="M183" s="1">
        <v>0</v>
      </c>
      <c r="N183" s="1">
        <v>-2453.6320000000001</v>
      </c>
      <c r="O183" s="1">
        <v>-1102.213</v>
      </c>
      <c r="P183" s="1">
        <v>0</v>
      </c>
      <c r="Q183" s="1">
        <v>-1368.5840000000001</v>
      </c>
      <c r="R183" s="1">
        <v>-2235.8240000000001</v>
      </c>
      <c r="S183" s="1">
        <v>-6131.7290000000003</v>
      </c>
      <c r="T183" s="1">
        <v>961.29399999999998</v>
      </c>
      <c r="U183" s="1">
        <v>543.12199999999996</v>
      </c>
      <c r="V183" s="1">
        <v>1633.018</v>
      </c>
      <c r="W183" s="1">
        <v>2314.471</v>
      </c>
      <c r="X183" s="1">
        <v>0</v>
      </c>
      <c r="Y183" s="1">
        <v>-7840.0770000000002</v>
      </c>
      <c r="Z183" s="1">
        <v>-26147.59</v>
      </c>
      <c r="AA183" s="1">
        <v>14499</v>
      </c>
      <c r="AB183" s="1">
        <v>19</v>
      </c>
      <c r="AC183" s="1">
        <v>2060988</v>
      </c>
      <c r="AD183" s="1">
        <v>68691</v>
      </c>
      <c r="AE183" s="1">
        <v>7386.8492162430002</v>
      </c>
      <c r="AF183" s="1">
        <v>0</v>
      </c>
      <c r="AG183" s="1">
        <v>10979.398406116001</v>
      </c>
      <c r="AH183" s="1">
        <v>8600.1426308980008</v>
      </c>
      <c r="AI183" s="1">
        <v>3896.3204957180001</v>
      </c>
      <c r="AJ183" s="1">
        <v>101.621151975</v>
      </c>
      <c r="AK183" s="1">
        <v>3436.4741175029999</v>
      </c>
      <c r="AL183" s="1">
        <v>6129.2247472469999</v>
      </c>
      <c r="AM183" s="1">
        <v>0</v>
      </c>
      <c r="AN183" s="1">
        <v>0</v>
      </c>
      <c r="AO183" s="1">
        <v>4533.7197602200004</v>
      </c>
      <c r="AP183" s="1">
        <v>26.549485851</v>
      </c>
      <c r="AQ183" s="1">
        <v>0</v>
      </c>
      <c r="AR183" s="1">
        <v>0</v>
      </c>
      <c r="AS183" s="1">
        <v>0</v>
      </c>
      <c r="AT183" s="1">
        <v>7814.6</v>
      </c>
      <c r="AU183" s="1">
        <v>0</v>
      </c>
      <c r="AV183" s="1">
        <v>0</v>
      </c>
      <c r="AW183" s="1">
        <v>0</v>
      </c>
      <c r="AX183" s="1">
        <v>0</v>
      </c>
      <c r="AY183" s="1">
        <v>0</v>
      </c>
      <c r="AZ183" s="1">
        <v>0</v>
      </c>
      <c r="BA183" s="1">
        <v>0</v>
      </c>
      <c r="BB183" s="1">
        <v>0</v>
      </c>
      <c r="BC183" s="1">
        <v>2048.9008538319999</v>
      </c>
      <c r="BD183" s="1">
        <v>0</v>
      </c>
      <c r="BE183" s="1">
        <v>2890.951978481</v>
      </c>
      <c r="BF183" s="1">
        <v>4001.5491559259999</v>
      </c>
      <c r="BG183" s="1">
        <v>1444.4674569009999</v>
      </c>
      <c r="BH183" s="1">
        <v>869.54600291299994</v>
      </c>
      <c r="BI183" s="1">
        <v>466.41634353999996</v>
      </c>
      <c r="BJ183" s="1">
        <v>1903.661958037</v>
      </c>
      <c r="BK183" s="1">
        <v>0</v>
      </c>
      <c r="BL183" s="1">
        <v>0</v>
      </c>
      <c r="BM183" s="1">
        <v>1651.7814328679999</v>
      </c>
      <c r="BN183" s="1">
        <v>3.0307164719999999</v>
      </c>
      <c r="BO183" s="1">
        <v>12844.326578971999</v>
      </c>
      <c r="BP183" s="1">
        <v>0</v>
      </c>
      <c r="BQ183" s="1">
        <v>0</v>
      </c>
      <c r="BR183" s="1">
        <v>0</v>
      </c>
      <c r="BS183" s="1">
        <v>32289.999999999996</v>
      </c>
      <c r="BT183" s="1">
        <v>0</v>
      </c>
      <c r="BU183" s="1">
        <v>0</v>
      </c>
      <c r="BV183" s="1">
        <v>0</v>
      </c>
      <c r="BW183" s="1">
        <v>0</v>
      </c>
      <c r="BX183" s="1">
        <v>0</v>
      </c>
      <c r="BY183" s="1">
        <v>0</v>
      </c>
      <c r="BZ183" s="1">
        <v>0</v>
      </c>
      <c r="CA183" s="1">
        <v>0</v>
      </c>
      <c r="CB183" s="1">
        <v>32289.999999999996</v>
      </c>
    </row>
    <row r="184" spans="2:80">
      <c r="B184">
        <v>182</v>
      </c>
      <c r="C184" s="1" t="s">
        <v>20</v>
      </c>
      <c r="D184" s="1" t="s">
        <v>19</v>
      </c>
      <c r="E184" s="1" t="s">
        <v>147</v>
      </c>
      <c r="F184" s="1" t="s">
        <v>152</v>
      </c>
      <c r="G184" s="1">
        <v>1167990</v>
      </c>
      <c r="H184" s="1">
        <v>14789094</v>
      </c>
      <c r="I184" s="1">
        <v>315037.84000000003</v>
      </c>
      <c r="J184" s="1">
        <v>174922.89</v>
      </c>
      <c r="K184" s="1">
        <v>55527.85</v>
      </c>
      <c r="L184" s="1">
        <v>186240.67</v>
      </c>
      <c r="M184" s="1">
        <v>0</v>
      </c>
      <c r="N184" s="1">
        <v>-2453.6320000000001</v>
      </c>
      <c r="O184" s="1">
        <v>-1102.213</v>
      </c>
      <c r="P184" s="1">
        <v>0</v>
      </c>
      <c r="Q184" s="1">
        <v>-1368.5840000000001</v>
      </c>
      <c r="R184" s="1">
        <v>-2235.8240000000001</v>
      </c>
      <c r="S184" s="1">
        <v>-6131.7290000000003</v>
      </c>
      <c r="T184" s="1">
        <v>961.29399999999998</v>
      </c>
      <c r="U184" s="1">
        <v>543.12199999999996</v>
      </c>
      <c r="V184" s="1">
        <v>1633.018</v>
      </c>
      <c r="W184" s="1">
        <v>2314.471</v>
      </c>
      <c r="X184" s="1">
        <v>0</v>
      </c>
      <c r="Y184" s="1">
        <v>-7840.0770000000002</v>
      </c>
      <c r="Z184" s="1">
        <v>-14601.886</v>
      </c>
      <c r="AA184" s="1">
        <v>14331</v>
      </c>
      <c r="AB184" s="1">
        <v>0</v>
      </c>
      <c r="AC184" s="1">
        <v>1919953</v>
      </c>
      <c r="AD184" s="1">
        <v>49690</v>
      </c>
      <c r="AE184" s="1">
        <v>7386.8492162430002</v>
      </c>
      <c r="AF184" s="1">
        <v>0</v>
      </c>
      <c r="AG184" s="1">
        <v>10979.398406116001</v>
      </c>
      <c r="AH184" s="1">
        <v>4351.1259187200003</v>
      </c>
      <c r="AI184" s="1">
        <v>3957.805132253</v>
      </c>
      <c r="AJ184" s="1">
        <v>69.552895250999995</v>
      </c>
      <c r="AK184" s="1">
        <v>3620.3751261299999</v>
      </c>
      <c r="AL184" s="1">
        <v>7079.3714260639999</v>
      </c>
      <c r="AM184" s="1">
        <v>0</v>
      </c>
      <c r="AN184" s="1">
        <v>0</v>
      </c>
      <c r="AO184" s="1">
        <v>4533.7197602200004</v>
      </c>
      <c r="AP184" s="1">
        <v>26.549485851</v>
      </c>
      <c r="AQ184" s="1">
        <v>0</v>
      </c>
      <c r="AR184" s="1">
        <v>0</v>
      </c>
      <c r="AS184" s="1">
        <v>0</v>
      </c>
      <c r="AT184" s="1">
        <v>5653</v>
      </c>
      <c r="AU184" s="1">
        <v>0</v>
      </c>
      <c r="AV184" s="1">
        <v>0</v>
      </c>
      <c r="AW184" s="1">
        <v>0</v>
      </c>
      <c r="AX184" s="1">
        <v>0</v>
      </c>
      <c r="AY184" s="1">
        <v>0</v>
      </c>
      <c r="AZ184" s="1">
        <v>0</v>
      </c>
      <c r="BA184" s="1">
        <v>0</v>
      </c>
      <c r="BB184" s="1">
        <v>0</v>
      </c>
      <c r="BC184" s="1">
        <v>2048.9008538319999</v>
      </c>
      <c r="BD184" s="1">
        <v>0</v>
      </c>
      <c r="BE184" s="1">
        <v>2890.951978481</v>
      </c>
      <c r="BF184" s="1">
        <v>4001.5798726469998</v>
      </c>
      <c r="BG184" s="1">
        <v>1260.1705438700001</v>
      </c>
      <c r="BH184" s="1">
        <v>771.30369024799995</v>
      </c>
      <c r="BI184" s="1">
        <v>459.31395505099999</v>
      </c>
      <c r="BJ184" s="1">
        <v>1998.470823888</v>
      </c>
      <c r="BK184" s="1">
        <v>0</v>
      </c>
      <c r="BL184" s="1">
        <v>0</v>
      </c>
      <c r="BM184" s="1">
        <v>1651.7814328679999</v>
      </c>
      <c r="BN184" s="1">
        <v>3.0307164719999999</v>
      </c>
      <c r="BO184" s="1">
        <v>12678.582565424998</v>
      </c>
      <c r="BP184" s="1">
        <v>0</v>
      </c>
      <c r="BQ184" s="1">
        <v>0</v>
      </c>
      <c r="BR184" s="1">
        <v>0</v>
      </c>
      <c r="BS184" s="1">
        <v>27089.999999999996</v>
      </c>
      <c r="BT184" s="1">
        <v>0</v>
      </c>
      <c r="BU184" s="1">
        <v>0</v>
      </c>
      <c r="BV184" s="1">
        <v>0</v>
      </c>
      <c r="BW184" s="1">
        <v>0</v>
      </c>
      <c r="BX184" s="1">
        <v>0</v>
      </c>
      <c r="BY184" s="1">
        <v>0</v>
      </c>
      <c r="BZ184" s="1">
        <v>0</v>
      </c>
      <c r="CA184" s="1">
        <v>0</v>
      </c>
      <c r="CB184" s="1">
        <v>27089.999999999996</v>
      </c>
    </row>
    <row r="185" spans="2:80">
      <c r="B185">
        <v>183</v>
      </c>
      <c r="C185" s="1" t="s">
        <v>20</v>
      </c>
      <c r="D185" s="1" t="s">
        <v>19</v>
      </c>
      <c r="E185" s="1" t="s">
        <v>149</v>
      </c>
      <c r="F185" s="1" t="s">
        <v>154</v>
      </c>
      <c r="G185" s="1">
        <v>1167990</v>
      </c>
      <c r="H185" s="1">
        <v>14789094</v>
      </c>
      <c r="I185" s="1">
        <v>315037.84000000003</v>
      </c>
      <c r="J185" s="1">
        <v>174922.89</v>
      </c>
      <c r="K185" s="1">
        <v>55527.85</v>
      </c>
      <c r="L185" s="1">
        <v>186240.67</v>
      </c>
      <c r="M185" s="1">
        <v>0</v>
      </c>
      <c r="N185" s="1">
        <v>-2537.2310000000002</v>
      </c>
      <c r="O185" s="1">
        <v>-1105.2550000000001</v>
      </c>
      <c r="P185" s="1">
        <v>0</v>
      </c>
      <c r="Q185" s="1">
        <v>-1368.5840000000001</v>
      </c>
      <c r="R185" s="1">
        <v>-2328.2020000000002</v>
      </c>
      <c r="S185" s="1">
        <v>-6398.4939999999997</v>
      </c>
      <c r="T185" s="1">
        <v>1015.841</v>
      </c>
      <c r="U185" s="1">
        <v>601.01400000000001</v>
      </c>
      <c r="V185" s="1">
        <v>1424.3969999999999</v>
      </c>
      <c r="W185" s="1">
        <v>2518.7979999999998</v>
      </c>
      <c r="X185" s="1">
        <v>0</v>
      </c>
      <c r="Y185" s="1">
        <v>-8177.7139999999999</v>
      </c>
      <c r="Z185" s="1">
        <v>-27060.103999999999</v>
      </c>
      <c r="AA185" s="1">
        <v>14657</v>
      </c>
      <c r="AB185" s="1">
        <v>5</v>
      </c>
      <c r="AC185" s="1">
        <v>1993791</v>
      </c>
      <c r="AD185" s="1">
        <v>69423</v>
      </c>
      <c r="AE185" s="1">
        <v>5731.5626642120005</v>
      </c>
      <c r="AF185" s="1">
        <v>0</v>
      </c>
      <c r="AG185" s="1">
        <v>10979.398406116001</v>
      </c>
      <c r="AH185" s="1">
        <v>8943.7876535699997</v>
      </c>
      <c r="AI185" s="1">
        <v>3816.7573623900003</v>
      </c>
      <c r="AJ185" s="1">
        <v>91.245726215000005</v>
      </c>
      <c r="AK185" s="1">
        <v>3428.1396472050001</v>
      </c>
      <c r="AL185" s="1">
        <v>6068.9858443969997</v>
      </c>
      <c r="AM185" s="1">
        <v>0</v>
      </c>
      <c r="AN185" s="1">
        <v>0</v>
      </c>
      <c r="AO185" s="1">
        <v>4533.7197602200004</v>
      </c>
      <c r="AP185" s="1">
        <v>26.549485851</v>
      </c>
      <c r="AQ185" s="1">
        <v>0</v>
      </c>
      <c r="AR185" s="1">
        <v>0</v>
      </c>
      <c r="AS185" s="1">
        <v>0</v>
      </c>
      <c r="AT185" s="1">
        <v>7898</v>
      </c>
      <c r="AU185" s="1">
        <v>0</v>
      </c>
      <c r="AV185" s="1">
        <v>0</v>
      </c>
      <c r="AW185" s="1">
        <v>0</v>
      </c>
      <c r="AX185" s="1">
        <v>0</v>
      </c>
      <c r="AY185" s="1">
        <v>0</v>
      </c>
      <c r="AZ185" s="1">
        <v>0</v>
      </c>
      <c r="BA185" s="1">
        <v>0</v>
      </c>
      <c r="BB185" s="1">
        <v>0</v>
      </c>
      <c r="BC185" s="1">
        <v>1574.115910304</v>
      </c>
      <c r="BD185" s="1">
        <v>0</v>
      </c>
      <c r="BE185" s="1">
        <v>2890.951978481</v>
      </c>
      <c r="BF185" s="1">
        <v>4001.4604187320001</v>
      </c>
      <c r="BG185" s="1">
        <v>1443.0647266419999</v>
      </c>
      <c r="BH185" s="1">
        <v>873.31050771999992</v>
      </c>
      <c r="BI185" s="1">
        <v>474.26958520900001</v>
      </c>
      <c r="BJ185" s="1">
        <v>1790.85309368</v>
      </c>
      <c r="BK185" s="1">
        <v>0</v>
      </c>
      <c r="BL185" s="1">
        <v>0</v>
      </c>
      <c r="BM185" s="1">
        <v>1651.7814328679999</v>
      </c>
      <c r="BN185" s="1">
        <v>3.0307164719999999</v>
      </c>
      <c r="BO185" s="1">
        <v>12340.377815339001</v>
      </c>
      <c r="BP185" s="1">
        <v>0</v>
      </c>
      <c r="BQ185" s="1">
        <v>0</v>
      </c>
      <c r="BR185" s="1">
        <v>0</v>
      </c>
      <c r="BS185" s="1">
        <v>32289.999999999996</v>
      </c>
      <c r="BT185" s="1">
        <v>0</v>
      </c>
      <c r="BU185" s="1">
        <v>0</v>
      </c>
      <c r="BV185" s="1">
        <v>0</v>
      </c>
      <c r="BW185" s="1">
        <v>0</v>
      </c>
      <c r="BX185" s="1">
        <v>0</v>
      </c>
      <c r="BY185" s="1">
        <v>0</v>
      </c>
      <c r="BZ185" s="1">
        <v>0</v>
      </c>
      <c r="CA185" s="1">
        <v>0</v>
      </c>
      <c r="CB185" s="1">
        <v>32289.999999999996</v>
      </c>
    </row>
    <row r="186" spans="2:80">
      <c r="B186">
        <v>184</v>
      </c>
      <c r="C186" s="1" t="s">
        <v>20</v>
      </c>
      <c r="D186" s="1" t="s">
        <v>19</v>
      </c>
      <c r="E186" s="1" t="s">
        <v>151</v>
      </c>
      <c r="F186" s="1" t="s">
        <v>156</v>
      </c>
      <c r="G186" s="1">
        <v>1167990</v>
      </c>
      <c r="H186" s="1">
        <v>14789094</v>
      </c>
      <c r="I186" s="1">
        <v>315037.84000000003</v>
      </c>
      <c r="J186" s="1">
        <v>174922.89</v>
      </c>
      <c r="K186" s="1">
        <v>55527.85</v>
      </c>
      <c r="L186" s="1">
        <v>186240.67</v>
      </c>
      <c r="M186" s="1">
        <v>0</v>
      </c>
      <c r="N186" s="1">
        <v>-2537.2310000000002</v>
      </c>
      <c r="O186" s="1">
        <v>-1105.2550000000001</v>
      </c>
      <c r="P186" s="1">
        <v>0</v>
      </c>
      <c r="Q186" s="1">
        <v>-1368.5840000000001</v>
      </c>
      <c r="R186" s="1">
        <v>-2328.2020000000002</v>
      </c>
      <c r="S186" s="1">
        <v>-6398.4939999999997</v>
      </c>
      <c r="T186" s="1">
        <v>1015.841</v>
      </c>
      <c r="U186" s="1">
        <v>601.01400000000001</v>
      </c>
      <c r="V186" s="1">
        <v>1424.3969999999999</v>
      </c>
      <c r="W186" s="1">
        <v>2518.7979999999998</v>
      </c>
      <c r="X186" s="1">
        <v>0</v>
      </c>
      <c r="Y186" s="1">
        <v>-8177.7139999999999</v>
      </c>
      <c r="Z186" s="1">
        <v>-15512.728999999999</v>
      </c>
      <c r="AA186" s="1">
        <v>14425</v>
      </c>
      <c r="AB186" s="1">
        <v>0</v>
      </c>
      <c r="AC186" s="1">
        <v>1853095</v>
      </c>
      <c r="AD186" s="1">
        <v>50388</v>
      </c>
      <c r="AE186" s="1">
        <v>5731.5626642120005</v>
      </c>
      <c r="AF186" s="1">
        <v>0</v>
      </c>
      <c r="AG186" s="1">
        <v>10979.398406116001</v>
      </c>
      <c r="AH186" s="1">
        <v>4696.1224771160005</v>
      </c>
      <c r="AI186" s="1">
        <v>3881.3341488390001</v>
      </c>
      <c r="AJ186" s="1">
        <v>59.812281724999998</v>
      </c>
      <c r="AK186" s="1">
        <v>3611.8085739399999</v>
      </c>
      <c r="AL186" s="1">
        <v>7021.6922499640004</v>
      </c>
      <c r="AM186" s="1">
        <v>0</v>
      </c>
      <c r="AN186" s="1">
        <v>0</v>
      </c>
      <c r="AO186" s="1">
        <v>4533.7197602200004</v>
      </c>
      <c r="AP186" s="1">
        <v>26.549485851</v>
      </c>
      <c r="AQ186" s="1">
        <v>0</v>
      </c>
      <c r="AR186" s="1">
        <v>0</v>
      </c>
      <c r="AS186" s="1">
        <v>0</v>
      </c>
      <c r="AT186" s="1">
        <v>5732.4</v>
      </c>
      <c r="AU186" s="1">
        <v>0</v>
      </c>
      <c r="AV186" s="1">
        <v>0</v>
      </c>
      <c r="AW186" s="1">
        <v>0</v>
      </c>
      <c r="AX186" s="1">
        <v>0</v>
      </c>
      <c r="AY186" s="1">
        <v>0</v>
      </c>
      <c r="AZ186" s="1">
        <v>0</v>
      </c>
      <c r="BA186" s="1">
        <v>0</v>
      </c>
      <c r="BB186" s="1">
        <v>0</v>
      </c>
      <c r="BC186" s="1">
        <v>1574.115910304</v>
      </c>
      <c r="BD186" s="1">
        <v>0</v>
      </c>
      <c r="BE186" s="1">
        <v>2890.951978481</v>
      </c>
      <c r="BF186" s="1">
        <v>4001.6003504610003</v>
      </c>
      <c r="BG186" s="1">
        <v>1189.4094575930001</v>
      </c>
      <c r="BH186" s="1">
        <v>771.95215435799992</v>
      </c>
      <c r="BI186" s="1">
        <v>454.962419576</v>
      </c>
      <c r="BJ186" s="1">
        <v>1928.7472801870001</v>
      </c>
      <c r="BK186" s="1">
        <v>0</v>
      </c>
      <c r="BL186" s="1">
        <v>0</v>
      </c>
      <c r="BM186" s="1">
        <v>1651.7814328679999</v>
      </c>
      <c r="BN186" s="1">
        <v>3.0307164719999999</v>
      </c>
      <c r="BO186" s="1">
        <v>12355.589418172</v>
      </c>
      <c r="BP186" s="1">
        <v>0</v>
      </c>
      <c r="BQ186" s="1">
        <v>0</v>
      </c>
      <c r="BR186" s="1">
        <v>0</v>
      </c>
      <c r="BS186" s="1">
        <v>27310.000000000004</v>
      </c>
      <c r="BT186" s="1">
        <v>0</v>
      </c>
      <c r="BU186" s="1">
        <v>0</v>
      </c>
      <c r="BV186" s="1">
        <v>0</v>
      </c>
      <c r="BW186" s="1">
        <v>0</v>
      </c>
      <c r="BX186" s="1">
        <v>0</v>
      </c>
      <c r="BY186" s="1">
        <v>0</v>
      </c>
      <c r="BZ186" s="1">
        <v>0</v>
      </c>
      <c r="CA186" s="1">
        <v>0</v>
      </c>
      <c r="CB186" s="1">
        <v>27310.000000000004</v>
      </c>
    </row>
    <row r="187" spans="2:80">
      <c r="B187">
        <v>185</v>
      </c>
      <c r="C187" s="1" t="s">
        <v>20</v>
      </c>
      <c r="D187" s="1" t="s">
        <v>19</v>
      </c>
      <c r="E187" s="1" t="s">
        <v>153</v>
      </c>
      <c r="F187" s="1" t="s">
        <v>158</v>
      </c>
      <c r="G187" s="1">
        <v>1167990</v>
      </c>
      <c r="H187" s="1">
        <v>14789094</v>
      </c>
      <c r="I187" s="1">
        <v>315037.84000000003</v>
      </c>
      <c r="J187" s="1">
        <v>174922.89</v>
      </c>
      <c r="K187" s="1">
        <v>55527.85</v>
      </c>
      <c r="L187" s="1">
        <v>186240.67</v>
      </c>
      <c r="M187" s="1">
        <v>0</v>
      </c>
      <c r="N187" s="1">
        <v>-2379.674</v>
      </c>
      <c r="O187" s="1">
        <v>-1103.6079999999999</v>
      </c>
      <c r="P187" s="1">
        <v>0</v>
      </c>
      <c r="Q187" s="1">
        <v>-1368.5840000000001</v>
      </c>
      <c r="R187" s="1">
        <v>-2542.453</v>
      </c>
      <c r="S187" s="1">
        <v>-4809.7079999999996</v>
      </c>
      <c r="T187" s="1">
        <v>875.35299999999995</v>
      </c>
      <c r="U187" s="1">
        <v>499.18099999999998</v>
      </c>
      <c r="V187" s="1">
        <v>1514.865</v>
      </c>
      <c r="W187" s="1">
        <v>2137.203</v>
      </c>
      <c r="X187" s="1">
        <v>0</v>
      </c>
      <c r="Y187" s="1">
        <v>-7177.4250000000002</v>
      </c>
      <c r="Z187" s="1">
        <v>-25540.918000000001</v>
      </c>
      <c r="AA187" s="1">
        <v>14534</v>
      </c>
      <c r="AB187" s="1">
        <v>23</v>
      </c>
      <c r="AC187" s="1">
        <v>2052189</v>
      </c>
      <c r="AD187" s="1">
        <v>67598</v>
      </c>
      <c r="AE187" s="1">
        <v>7386.8492162430002</v>
      </c>
      <c r="AF187" s="1">
        <v>0</v>
      </c>
      <c r="AG187" s="1">
        <v>10979.398406116001</v>
      </c>
      <c r="AH187" s="1">
        <v>8385.0368467040007</v>
      </c>
      <c r="AI187" s="1">
        <v>3907.3273207430002</v>
      </c>
      <c r="AJ187" s="1">
        <v>103.846407763</v>
      </c>
      <c r="AK187" s="1">
        <v>3436.7710458060001</v>
      </c>
      <c r="AL187" s="1">
        <v>6138.3066577560003</v>
      </c>
      <c r="AM187" s="1">
        <v>0</v>
      </c>
      <c r="AN187" s="1">
        <v>0</v>
      </c>
      <c r="AO187" s="1">
        <v>4533.7197602200004</v>
      </c>
      <c r="AP187" s="1">
        <v>26.549485851</v>
      </c>
      <c r="AQ187" s="1">
        <v>0</v>
      </c>
      <c r="AR187" s="1">
        <v>0</v>
      </c>
      <c r="AS187" s="1">
        <v>0</v>
      </c>
      <c r="AT187" s="1">
        <v>7690.3</v>
      </c>
      <c r="AU187" s="1">
        <v>0</v>
      </c>
      <c r="AV187" s="1">
        <v>0</v>
      </c>
      <c r="AW187" s="1">
        <v>0</v>
      </c>
      <c r="AX187" s="1">
        <v>0</v>
      </c>
      <c r="AY187" s="1">
        <v>0</v>
      </c>
      <c r="AZ187" s="1">
        <v>0</v>
      </c>
      <c r="BA187" s="1">
        <v>0</v>
      </c>
      <c r="BB187" s="1">
        <v>0</v>
      </c>
      <c r="BC187" s="1">
        <v>2048.9008538319999</v>
      </c>
      <c r="BD187" s="1">
        <v>0</v>
      </c>
      <c r="BE187" s="1">
        <v>2890.951978481</v>
      </c>
      <c r="BF187" s="1">
        <v>4001.6003504610003</v>
      </c>
      <c r="BG187" s="1">
        <v>1445.6346922990001</v>
      </c>
      <c r="BH187" s="1">
        <v>866.59037175899994</v>
      </c>
      <c r="BI187" s="1">
        <v>468.79518293299998</v>
      </c>
      <c r="BJ187" s="1">
        <v>1926.061273584</v>
      </c>
      <c r="BK187" s="1">
        <v>0</v>
      </c>
      <c r="BL187" s="1">
        <v>0</v>
      </c>
      <c r="BM187" s="1">
        <v>1651.7814328679999</v>
      </c>
      <c r="BN187" s="1">
        <v>3.0307164719999999</v>
      </c>
      <c r="BO187" s="1">
        <v>12846.944326195</v>
      </c>
      <c r="BP187" s="1">
        <v>0</v>
      </c>
      <c r="BQ187" s="1">
        <v>0</v>
      </c>
      <c r="BR187" s="1">
        <v>0</v>
      </c>
      <c r="BS187" s="1">
        <v>32289.999999999996</v>
      </c>
      <c r="BT187" s="1">
        <v>0</v>
      </c>
      <c r="BU187" s="1">
        <v>0</v>
      </c>
      <c r="BV187" s="1">
        <v>0</v>
      </c>
      <c r="BW187" s="1">
        <v>0</v>
      </c>
      <c r="BX187" s="1">
        <v>0</v>
      </c>
      <c r="BY187" s="1">
        <v>0</v>
      </c>
      <c r="BZ187" s="1">
        <v>0</v>
      </c>
      <c r="CA187" s="1">
        <v>0</v>
      </c>
      <c r="CB187" s="1">
        <v>32289.999999999996</v>
      </c>
    </row>
    <row r="188" spans="2:80">
      <c r="B188">
        <v>186</v>
      </c>
      <c r="C188" s="1" t="s">
        <v>20</v>
      </c>
      <c r="D188" s="1" t="s">
        <v>19</v>
      </c>
      <c r="E188" s="1" t="s">
        <v>155</v>
      </c>
      <c r="F188" s="1" t="s">
        <v>264</v>
      </c>
      <c r="G188" s="1">
        <v>1167990</v>
      </c>
      <c r="H188" s="1">
        <v>14789094</v>
      </c>
      <c r="I188" s="1">
        <v>315037.84000000003</v>
      </c>
      <c r="J188" s="1">
        <v>174922.89</v>
      </c>
      <c r="K188" s="1">
        <v>55527.85</v>
      </c>
      <c r="L188" s="1">
        <v>186240.67</v>
      </c>
      <c r="M188" s="1">
        <v>0</v>
      </c>
      <c r="N188" s="1">
        <v>-2379.674</v>
      </c>
      <c r="O188" s="1">
        <v>-1103.6079999999999</v>
      </c>
      <c r="P188" s="1">
        <v>0</v>
      </c>
      <c r="Q188" s="1">
        <v>-1368.5840000000001</v>
      </c>
      <c r="R188" s="1">
        <v>-2542.453</v>
      </c>
      <c r="S188" s="1">
        <v>-4809.7079999999996</v>
      </c>
      <c r="T188" s="1">
        <v>875.35299999999995</v>
      </c>
      <c r="U188" s="1">
        <v>499.18099999999998</v>
      </c>
      <c r="V188" s="1">
        <v>1514.865</v>
      </c>
      <c r="W188" s="1">
        <v>2137.203</v>
      </c>
      <c r="X188" s="1">
        <v>0</v>
      </c>
      <c r="Y188" s="1">
        <v>-7177.4250000000002</v>
      </c>
      <c r="Z188" s="1">
        <v>-13872.931</v>
      </c>
      <c r="AA188" s="1">
        <v>14347</v>
      </c>
      <c r="AB188" s="1">
        <v>0</v>
      </c>
      <c r="AC188" s="1">
        <v>1908566</v>
      </c>
      <c r="AD188" s="1">
        <v>48785</v>
      </c>
      <c r="AE188" s="1">
        <v>7386.8492162430002</v>
      </c>
      <c r="AF188" s="1">
        <v>0</v>
      </c>
      <c r="AG188" s="1">
        <v>10979.398406116001</v>
      </c>
      <c r="AH188" s="1">
        <v>4079.0269651950002</v>
      </c>
      <c r="AI188" s="1">
        <v>3968.1191245710002</v>
      </c>
      <c r="AJ188" s="1">
        <v>71.733782442000006</v>
      </c>
      <c r="AK188" s="1">
        <v>3620.9212011700001</v>
      </c>
      <c r="AL188" s="1">
        <v>7089.3031658540003</v>
      </c>
      <c r="AM188" s="1">
        <v>0</v>
      </c>
      <c r="AN188" s="1">
        <v>0</v>
      </c>
      <c r="AO188" s="1">
        <v>4533.7197602200004</v>
      </c>
      <c r="AP188" s="1">
        <v>26.549485851</v>
      </c>
      <c r="AQ188" s="1">
        <v>0</v>
      </c>
      <c r="AR188" s="1">
        <v>0</v>
      </c>
      <c r="AS188" s="1">
        <v>0</v>
      </c>
      <c r="AT188" s="1">
        <v>5550.1</v>
      </c>
      <c r="AU188" s="1">
        <v>0</v>
      </c>
      <c r="AV188" s="1">
        <v>0</v>
      </c>
      <c r="AW188" s="1">
        <v>0</v>
      </c>
      <c r="AX188" s="1">
        <v>0</v>
      </c>
      <c r="AY188" s="1">
        <v>0</v>
      </c>
      <c r="AZ188" s="1">
        <v>0</v>
      </c>
      <c r="BA188" s="1">
        <v>0</v>
      </c>
      <c r="BB188" s="1">
        <v>0</v>
      </c>
      <c r="BC188" s="1">
        <v>2048.9008538319999</v>
      </c>
      <c r="BD188" s="1">
        <v>0</v>
      </c>
      <c r="BE188" s="1">
        <v>2890.951978481</v>
      </c>
      <c r="BF188" s="1">
        <v>4001.6037634300001</v>
      </c>
      <c r="BG188" s="1">
        <v>1275.5732729669999</v>
      </c>
      <c r="BH188" s="1">
        <v>805.78150308599993</v>
      </c>
      <c r="BI188" s="1">
        <v>460.65866483700006</v>
      </c>
      <c r="BJ188" s="1">
        <v>2010.34113007</v>
      </c>
      <c r="BK188" s="1">
        <v>0</v>
      </c>
      <c r="BL188" s="1">
        <v>0</v>
      </c>
      <c r="BM188" s="1">
        <v>1651.7814328679999</v>
      </c>
      <c r="BN188" s="1">
        <v>3.0307164719999999</v>
      </c>
      <c r="BO188" s="1">
        <v>12838.336818377</v>
      </c>
      <c r="BP188" s="1">
        <v>0</v>
      </c>
      <c r="BQ188" s="1">
        <v>0</v>
      </c>
      <c r="BR188" s="1">
        <v>0</v>
      </c>
      <c r="BS188" s="1">
        <v>26689.999999999996</v>
      </c>
      <c r="BT188" s="1">
        <v>0</v>
      </c>
      <c r="BU188" s="1">
        <v>0</v>
      </c>
      <c r="BV188" s="1">
        <v>0</v>
      </c>
      <c r="BW188" s="1">
        <v>0</v>
      </c>
      <c r="BX188" s="1">
        <v>0</v>
      </c>
      <c r="BY188" s="1">
        <v>0</v>
      </c>
      <c r="BZ188" s="1">
        <v>0</v>
      </c>
      <c r="CA188" s="1">
        <v>0</v>
      </c>
      <c r="CB188" s="1">
        <v>26689.999999999996</v>
      </c>
    </row>
    <row r="189" spans="2:80">
      <c r="B189">
        <v>187</v>
      </c>
      <c r="C189" s="1" t="s">
        <v>20</v>
      </c>
      <c r="D189" s="1" t="s">
        <v>19</v>
      </c>
      <c r="E189" s="1" t="s">
        <v>157</v>
      </c>
      <c r="F189" s="1" t="s">
        <v>162</v>
      </c>
      <c r="G189" s="1">
        <v>1167990</v>
      </c>
      <c r="H189" s="1">
        <v>14789094</v>
      </c>
      <c r="I189" s="1">
        <v>315037.84000000003</v>
      </c>
      <c r="J189" s="1">
        <v>174922.89</v>
      </c>
      <c r="K189" s="1">
        <v>55527.85</v>
      </c>
      <c r="L189" s="1">
        <v>186240.67</v>
      </c>
      <c r="M189" s="1">
        <v>0</v>
      </c>
      <c r="N189" s="1">
        <v>-2466.0259999999998</v>
      </c>
      <c r="O189" s="1">
        <v>-1106.7739999999999</v>
      </c>
      <c r="P189" s="1">
        <v>0</v>
      </c>
      <c r="Q189" s="1">
        <v>-1368.5840000000001</v>
      </c>
      <c r="R189" s="1">
        <v>-2650.19</v>
      </c>
      <c r="S189" s="1">
        <v>-5027.2510000000002</v>
      </c>
      <c r="T189" s="1">
        <v>925.34500000000003</v>
      </c>
      <c r="U189" s="1">
        <v>554.59400000000005</v>
      </c>
      <c r="V189" s="1">
        <v>1328.4010000000001</v>
      </c>
      <c r="W189" s="1">
        <v>2325.7550000000001</v>
      </c>
      <c r="X189" s="1">
        <v>0</v>
      </c>
      <c r="Y189" s="1">
        <v>-7484.73</v>
      </c>
      <c r="Z189" s="1">
        <v>-26330.773000000001</v>
      </c>
      <c r="AA189" s="1">
        <v>14667</v>
      </c>
      <c r="AB189" s="1">
        <v>5</v>
      </c>
      <c r="AC189" s="1">
        <v>1982371</v>
      </c>
      <c r="AD189" s="1">
        <v>68388</v>
      </c>
      <c r="AE189" s="1">
        <v>5731.5626642120005</v>
      </c>
      <c r="AF189" s="1">
        <v>0</v>
      </c>
      <c r="AG189" s="1">
        <v>10979.398406116001</v>
      </c>
      <c r="AH189" s="1">
        <v>8675.1631024870003</v>
      </c>
      <c r="AI189" s="1">
        <v>3823.5901263280002</v>
      </c>
      <c r="AJ189" s="1">
        <v>93.098968381999995</v>
      </c>
      <c r="AK189" s="1">
        <v>3428.5253127020001</v>
      </c>
      <c r="AL189" s="1">
        <v>6078.6752633880005</v>
      </c>
      <c r="AM189" s="1">
        <v>0</v>
      </c>
      <c r="AN189" s="1">
        <v>0</v>
      </c>
      <c r="AO189" s="1">
        <v>4533.7197602200004</v>
      </c>
      <c r="AP189" s="1">
        <v>26.549485851</v>
      </c>
      <c r="AQ189" s="1">
        <v>0</v>
      </c>
      <c r="AR189" s="1">
        <v>0</v>
      </c>
      <c r="AS189" s="1">
        <v>0</v>
      </c>
      <c r="AT189" s="1">
        <v>7780.2</v>
      </c>
      <c r="AU189" s="1">
        <v>0</v>
      </c>
      <c r="AV189" s="1">
        <v>0</v>
      </c>
      <c r="AW189" s="1">
        <v>0</v>
      </c>
      <c r="AX189" s="1">
        <v>0</v>
      </c>
      <c r="AY189" s="1">
        <v>0</v>
      </c>
      <c r="AZ189" s="1">
        <v>0</v>
      </c>
      <c r="BA189" s="1">
        <v>0</v>
      </c>
      <c r="BB189" s="1">
        <v>0</v>
      </c>
      <c r="BC189" s="1">
        <v>1574.115910304</v>
      </c>
      <c r="BD189" s="1">
        <v>0</v>
      </c>
      <c r="BE189" s="1">
        <v>2890.951978481</v>
      </c>
      <c r="BF189" s="1">
        <v>4001.5286781120003</v>
      </c>
      <c r="BG189" s="1">
        <v>1442.955511634</v>
      </c>
      <c r="BH189" s="1">
        <v>869.93166840999993</v>
      </c>
      <c r="BI189" s="1">
        <v>475.55968749099998</v>
      </c>
      <c r="BJ189" s="1">
        <v>1801.948655899</v>
      </c>
      <c r="BK189" s="1">
        <v>0</v>
      </c>
      <c r="BL189" s="1">
        <v>0</v>
      </c>
      <c r="BM189" s="1">
        <v>1651.7814328679999</v>
      </c>
      <c r="BN189" s="1">
        <v>3.0307164719999999</v>
      </c>
      <c r="BO189" s="1">
        <v>12370.16962174</v>
      </c>
      <c r="BP189" s="1">
        <v>0</v>
      </c>
      <c r="BQ189" s="1">
        <v>0</v>
      </c>
      <c r="BR189" s="1">
        <v>0</v>
      </c>
      <c r="BS189" s="1">
        <v>32289.999999999996</v>
      </c>
      <c r="BT189" s="1">
        <v>0</v>
      </c>
      <c r="BU189" s="1">
        <v>0</v>
      </c>
      <c r="BV189" s="1">
        <v>0</v>
      </c>
      <c r="BW189" s="1">
        <v>0</v>
      </c>
      <c r="BX189" s="1">
        <v>0</v>
      </c>
      <c r="BY189" s="1">
        <v>0</v>
      </c>
      <c r="BZ189" s="1">
        <v>0</v>
      </c>
      <c r="CA189" s="1">
        <v>0</v>
      </c>
      <c r="CB189" s="1">
        <v>32289.999999999996</v>
      </c>
    </row>
    <row r="190" spans="2:80">
      <c r="B190">
        <v>188</v>
      </c>
      <c r="C190" s="1" t="s">
        <v>20</v>
      </c>
      <c r="D190" s="1" t="s">
        <v>19</v>
      </c>
      <c r="E190" s="1" t="s">
        <v>159</v>
      </c>
      <c r="F190" s="1" t="s">
        <v>265</v>
      </c>
      <c r="G190" s="1">
        <v>1167990</v>
      </c>
      <c r="H190" s="1">
        <v>14789094</v>
      </c>
      <c r="I190" s="1">
        <v>315037.84000000003</v>
      </c>
      <c r="J190" s="1">
        <v>174922.89</v>
      </c>
      <c r="K190" s="1">
        <v>55527.85</v>
      </c>
      <c r="L190" s="1">
        <v>186240.67</v>
      </c>
      <c r="M190" s="1">
        <v>0</v>
      </c>
      <c r="N190" s="1">
        <v>-2466.0259999999998</v>
      </c>
      <c r="O190" s="1">
        <v>-1106.7739999999999</v>
      </c>
      <c r="P190" s="1">
        <v>0</v>
      </c>
      <c r="Q190" s="1">
        <v>-1368.5840000000001</v>
      </c>
      <c r="R190" s="1">
        <v>-2650.19</v>
      </c>
      <c r="S190" s="1">
        <v>-5027.2510000000002</v>
      </c>
      <c r="T190" s="1">
        <v>925.34500000000003</v>
      </c>
      <c r="U190" s="1">
        <v>554.59400000000005</v>
      </c>
      <c r="V190" s="1">
        <v>1328.4010000000001</v>
      </c>
      <c r="W190" s="1">
        <v>2325.7550000000001</v>
      </c>
      <c r="X190" s="1">
        <v>0</v>
      </c>
      <c r="Y190" s="1">
        <v>-7484.73</v>
      </c>
      <c r="Z190" s="1">
        <v>-14759.701999999999</v>
      </c>
      <c r="AA190" s="1">
        <v>14423</v>
      </c>
      <c r="AB190" s="1">
        <v>0</v>
      </c>
      <c r="AC190" s="1">
        <v>1841420</v>
      </c>
      <c r="AD190" s="1">
        <v>49506</v>
      </c>
      <c r="AE190" s="1">
        <v>5731.5626642120005</v>
      </c>
      <c r="AF190" s="1">
        <v>0</v>
      </c>
      <c r="AG190" s="1">
        <v>10979.398406116001</v>
      </c>
      <c r="AH190" s="1">
        <v>4419.1498038589998</v>
      </c>
      <c r="AI190" s="1">
        <v>3891.2761275359999</v>
      </c>
      <c r="AJ190" s="1">
        <v>61.419790124000002</v>
      </c>
      <c r="AK190" s="1">
        <v>3612.2659117860003</v>
      </c>
      <c r="AL190" s="1">
        <v>7031.245150195</v>
      </c>
      <c r="AM190" s="1">
        <v>0</v>
      </c>
      <c r="AN190" s="1">
        <v>0</v>
      </c>
      <c r="AO190" s="1">
        <v>4533.7197602200004</v>
      </c>
      <c r="AP190" s="1">
        <v>26.549485851</v>
      </c>
      <c r="AQ190" s="1">
        <v>0</v>
      </c>
      <c r="AR190" s="1">
        <v>0</v>
      </c>
      <c r="AS190" s="1">
        <v>0</v>
      </c>
      <c r="AT190" s="1">
        <v>5632</v>
      </c>
      <c r="AU190" s="1">
        <v>0</v>
      </c>
      <c r="AV190" s="1">
        <v>0</v>
      </c>
      <c r="AW190" s="1">
        <v>0</v>
      </c>
      <c r="AX190" s="1">
        <v>0</v>
      </c>
      <c r="AY190" s="1">
        <v>0</v>
      </c>
      <c r="AZ190" s="1">
        <v>0</v>
      </c>
      <c r="BA190" s="1">
        <v>0</v>
      </c>
      <c r="BB190" s="1">
        <v>0</v>
      </c>
      <c r="BC190" s="1">
        <v>1574.115910304</v>
      </c>
      <c r="BD190" s="1">
        <v>0</v>
      </c>
      <c r="BE190" s="1">
        <v>2890.951978481</v>
      </c>
      <c r="BF190" s="1">
        <v>4001.6003504610003</v>
      </c>
      <c r="BG190" s="1">
        <v>1203.3514359579999</v>
      </c>
      <c r="BH190" s="1">
        <v>760.55966383599991</v>
      </c>
      <c r="BI190" s="1">
        <v>456.15695872599997</v>
      </c>
      <c r="BJ190" s="1">
        <v>1940.0339686699997</v>
      </c>
      <c r="BK190" s="1">
        <v>0</v>
      </c>
      <c r="BL190" s="1">
        <v>0</v>
      </c>
      <c r="BM190" s="1">
        <v>1651.7814328679999</v>
      </c>
      <c r="BN190" s="1">
        <v>3.0307164719999999</v>
      </c>
      <c r="BO190" s="1">
        <v>12227.210589237</v>
      </c>
      <c r="BP190" s="1">
        <v>0</v>
      </c>
      <c r="BQ190" s="1">
        <v>0</v>
      </c>
      <c r="BR190" s="1">
        <v>0</v>
      </c>
      <c r="BS190" s="1">
        <v>26900</v>
      </c>
      <c r="BT190" s="1">
        <v>0</v>
      </c>
      <c r="BU190" s="1">
        <v>0</v>
      </c>
      <c r="BV190" s="1">
        <v>0</v>
      </c>
      <c r="BW190" s="1">
        <v>0</v>
      </c>
      <c r="BX190" s="1">
        <v>0</v>
      </c>
      <c r="BY190" s="1">
        <v>0</v>
      </c>
      <c r="BZ190" s="1">
        <v>0</v>
      </c>
      <c r="CA190" s="1">
        <v>0</v>
      </c>
      <c r="CB190" s="1">
        <v>26900</v>
      </c>
    </row>
    <row r="191" spans="2:80">
      <c r="B191">
        <v>189</v>
      </c>
      <c r="C191" s="1" t="s">
        <v>20</v>
      </c>
      <c r="D191" s="1" t="s">
        <v>19</v>
      </c>
      <c r="E191" s="1" t="s">
        <v>161</v>
      </c>
      <c r="F191" s="1" t="s">
        <v>266</v>
      </c>
      <c r="G191" s="1">
        <v>1167990</v>
      </c>
      <c r="H191" s="1">
        <v>14789094</v>
      </c>
      <c r="I191" s="1">
        <v>315037.84000000003</v>
      </c>
      <c r="J191" s="1">
        <v>174922.89</v>
      </c>
      <c r="K191" s="1">
        <v>55527.85</v>
      </c>
      <c r="L191" s="1">
        <v>186240.67</v>
      </c>
      <c r="M191" s="1">
        <v>0</v>
      </c>
      <c r="N191" s="1">
        <v>-2340.7199999999998</v>
      </c>
      <c r="O191" s="1">
        <v>-1099.367</v>
      </c>
      <c r="P191" s="1">
        <v>0</v>
      </c>
      <c r="Q191" s="1">
        <v>-1368.5840000000001</v>
      </c>
      <c r="R191" s="1">
        <v>-2093.9549999999999</v>
      </c>
      <c r="S191" s="1">
        <v>-4702.7610000000004</v>
      </c>
      <c r="T191" s="1">
        <v>846.96799999999996</v>
      </c>
      <c r="U191" s="1">
        <v>474.036</v>
      </c>
      <c r="V191" s="1">
        <v>1453.5070000000001</v>
      </c>
      <c r="W191" s="1">
        <v>2047.615</v>
      </c>
      <c r="X191" s="1">
        <v>0</v>
      </c>
      <c r="Y191" s="1">
        <v>-6783.2619999999997</v>
      </c>
      <c r="Z191" s="1">
        <v>-24770.081999999999</v>
      </c>
      <c r="AA191" s="1">
        <v>14253</v>
      </c>
      <c r="AB191" s="1">
        <v>24</v>
      </c>
      <c r="AC191" s="1">
        <v>2039483</v>
      </c>
      <c r="AD191" s="1">
        <v>66820</v>
      </c>
      <c r="AE191" s="1">
        <v>7386.8492162430002</v>
      </c>
      <c r="AF191" s="1">
        <v>0</v>
      </c>
      <c r="AG191" s="1">
        <v>10979.398406116001</v>
      </c>
      <c r="AH191" s="1">
        <v>8097.091478112</v>
      </c>
      <c r="AI191" s="1">
        <v>3905.252235591</v>
      </c>
      <c r="AJ191" s="1">
        <v>105.484632883</v>
      </c>
      <c r="AK191" s="1">
        <v>3436.2113188900003</v>
      </c>
      <c r="AL191" s="1">
        <v>6149.2691141840005</v>
      </c>
      <c r="AM191" s="1">
        <v>0</v>
      </c>
      <c r="AN191" s="1">
        <v>0</v>
      </c>
      <c r="AO191" s="1">
        <v>4533.7197602200004</v>
      </c>
      <c r="AP191" s="1">
        <v>26.549485851</v>
      </c>
      <c r="AQ191" s="1">
        <v>0</v>
      </c>
      <c r="AR191" s="1">
        <v>0</v>
      </c>
      <c r="AS191" s="1">
        <v>0</v>
      </c>
      <c r="AT191" s="1">
        <v>7601.9</v>
      </c>
      <c r="AU191" s="1">
        <v>0</v>
      </c>
      <c r="AV191" s="1">
        <v>0</v>
      </c>
      <c r="AW191" s="1">
        <v>0</v>
      </c>
      <c r="AX191" s="1">
        <v>0</v>
      </c>
      <c r="AY191" s="1">
        <v>0</v>
      </c>
      <c r="AZ191" s="1">
        <v>0</v>
      </c>
      <c r="BA191" s="1">
        <v>0</v>
      </c>
      <c r="BB191" s="1">
        <v>0</v>
      </c>
      <c r="BC191" s="1">
        <v>2048.9008538319999</v>
      </c>
      <c r="BD191" s="1">
        <v>0</v>
      </c>
      <c r="BE191" s="1">
        <v>2890.951978481</v>
      </c>
      <c r="BF191" s="1">
        <v>4001.5969374920001</v>
      </c>
      <c r="BG191" s="1">
        <v>1444.6927128550001</v>
      </c>
      <c r="BH191" s="1">
        <v>869.34122477300002</v>
      </c>
      <c r="BI191" s="1">
        <v>468.04091678399999</v>
      </c>
      <c r="BJ191" s="1">
        <v>1928.1158809219999</v>
      </c>
      <c r="BK191" s="1">
        <v>0</v>
      </c>
      <c r="BL191" s="1">
        <v>0</v>
      </c>
      <c r="BM191" s="1">
        <v>1651.7814328679999</v>
      </c>
      <c r="BN191" s="1">
        <v>3.0307164719999999</v>
      </c>
      <c r="BO191" s="1">
        <v>12887.026234130999</v>
      </c>
      <c r="BP191" s="1">
        <v>0</v>
      </c>
      <c r="BQ191" s="1">
        <v>0</v>
      </c>
      <c r="BR191" s="1">
        <v>0</v>
      </c>
      <c r="BS191" s="1">
        <v>33590</v>
      </c>
      <c r="BT191" s="1">
        <v>0</v>
      </c>
      <c r="BU191" s="1">
        <v>0</v>
      </c>
      <c r="BV191" s="1">
        <v>0</v>
      </c>
      <c r="BW191" s="1">
        <v>0</v>
      </c>
      <c r="BX191" s="1">
        <v>0</v>
      </c>
      <c r="BY191" s="1">
        <v>0</v>
      </c>
      <c r="BZ191" s="1">
        <v>0</v>
      </c>
      <c r="CA191" s="1">
        <v>0</v>
      </c>
      <c r="CB191" s="1">
        <v>33590</v>
      </c>
    </row>
    <row r="192" spans="2:80">
      <c r="B192">
        <v>190</v>
      </c>
      <c r="C192" s="1" t="s">
        <v>20</v>
      </c>
      <c r="D192" s="1" t="s">
        <v>19</v>
      </c>
      <c r="E192" s="1" t="s">
        <v>163</v>
      </c>
      <c r="F192" s="1" t="s">
        <v>267</v>
      </c>
      <c r="G192" s="1">
        <v>1167990</v>
      </c>
      <c r="H192" s="1">
        <v>14789094</v>
      </c>
      <c r="I192" s="1">
        <v>315037.84000000003</v>
      </c>
      <c r="J192" s="1">
        <v>174922.89</v>
      </c>
      <c r="K192" s="1">
        <v>55527.85</v>
      </c>
      <c r="L192" s="1">
        <v>186240.67</v>
      </c>
      <c r="M192" s="1">
        <v>0</v>
      </c>
      <c r="N192" s="1">
        <v>-2340.7199999999998</v>
      </c>
      <c r="O192" s="1">
        <v>-1099.367</v>
      </c>
      <c r="P192" s="1">
        <v>0</v>
      </c>
      <c r="Q192" s="1">
        <v>-1368.5840000000001</v>
      </c>
      <c r="R192" s="1">
        <v>-2093.9549999999999</v>
      </c>
      <c r="S192" s="1">
        <v>-4702.7610000000004</v>
      </c>
      <c r="T192" s="1">
        <v>846.96799999999996</v>
      </c>
      <c r="U192" s="1">
        <v>474.036</v>
      </c>
      <c r="V192" s="1">
        <v>1453.5070000000001</v>
      </c>
      <c r="W192" s="1">
        <v>2047.615</v>
      </c>
      <c r="X192" s="1">
        <v>0</v>
      </c>
      <c r="Y192" s="1">
        <v>-6783.2619999999997</v>
      </c>
      <c r="Z192" s="1">
        <v>-13150.925999999999</v>
      </c>
      <c r="AA192" s="1">
        <v>14187</v>
      </c>
      <c r="AB192" s="1">
        <v>0</v>
      </c>
      <c r="AC192" s="1">
        <v>1897049</v>
      </c>
      <c r="AD192" s="1">
        <v>47918</v>
      </c>
      <c r="AE192" s="1">
        <v>7386.8492162430002</v>
      </c>
      <c r="AF192" s="1">
        <v>0</v>
      </c>
      <c r="AG192" s="1">
        <v>10979.398406116001</v>
      </c>
      <c r="AH192" s="1">
        <v>3811.2112877650002</v>
      </c>
      <c r="AI192" s="1">
        <v>3972.569636147</v>
      </c>
      <c r="AJ192" s="1">
        <v>72.955625343999998</v>
      </c>
      <c r="AK192" s="1">
        <v>3620.395603944</v>
      </c>
      <c r="AL192" s="1">
        <v>7099.9925847619998</v>
      </c>
      <c r="AM192" s="1">
        <v>0</v>
      </c>
      <c r="AN192" s="1">
        <v>0</v>
      </c>
      <c r="AO192" s="1">
        <v>4533.7197602200004</v>
      </c>
      <c r="AP192" s="1">
        <v>26.549485851</v>
      </c>
      <c r="AQ192" s="1">
        <v>0</v>
      </c>
      <c r="AR192" s="1">
        <v>0</v>
      </c>
      <c r="AS192" s="1">
        <v>0</v>
      </c>
      <c r="AT192" s="1">
        <v>5451.4</v>
      </c>
      <c r="AU192" s="1">
        <v>0</v>
      </c>
      <c r="AV192" s="1">
        <v>0</v>
      </c>
      <c r="AW192" s="1">
        <v>0</v>
      </c>
      <c r="AX192" s="1">
        <v>0</v>
      </c>
      <c r="AY192" s="1">
        <v>0</v>
      </c>
      <c r="AZ192" s="1">
        <v>0</v>
      </c>
      <c r="BA192" s="1">
        <v>0</v>
      </c>
      <c r="BB192" s="1">
        <v>0</v>
      </c>
      <c r="BC192" s="1">
        <v>2048.9008538319999</v>
      </c>
      <c r="BD192" s="1">
        <v>0</v>
      </c>
      <c r="BE192" s="1">
        <v>2890.951978481</v>
      </c>
      <c r="BF192" s="1">
        <v>4001.4911354529995</v>
      </c>
      <c r="BG192" s="1">
        <v>1263.1466528379999</v>
      </c>
      <c r="BH192" s="1">
        <v>818.03406179599995</v>
      </c>
      <c r="BI192" s="1">
        <v>459.58357960199993</v>
      </c>
      <c r="BJ192" s="1">
        <v>2019.59027606</v>
      </c>
      <c r="BK192" s="1">
        <v>0</v>
      </c>
      <c r="BL192" s="1">
        <v>0</v>
      </c>
      <c r="BM192" s="1">
        <v>1651.7814328679999</v>
      </c>
      <c r="BN192" s="1">
        <v>3.0307164719999999</v>
      </c>
      <c r="BO192" s="1">
        <v>12838.425555571001</v>
      </c>
      <c r="BP192" s="1">
        <v>0</v>
      </c>
      <c r="BQ192" s="1">
        <v>0</v>
      </c>
      <c r="BR192" s="1">
        <v>0</v>
      </c>
      <c r="BS192" s="1">
        <v>26260.000000000004</v>
      </c>
      <c r="BT192" s="1">
        <v>0</v>
      </c>
      <c r="BU192" s="1">
        <v>0</v>
      </c>
      <c r="BV192" s="1">
        <v>0</v>
      </c>
      <c r="BW192" s="1">
        <v>0</v>
      </c>
      <c r="BX192" s="1">
        <v>0</v>
      </c>
      <c r="BY192" s="1">
        <v>0</v>
      </c>
      <c r="BZ192" s="1">
        <v>0</v>
      </c>
      <c r="CA192" s="1">
        <v>0</v>
      </c>
      <c r="CB192" s="1">
        <v>26260.000000000004</v>
      </c>
    </row>
    <row r="193" spans="2:80">
      <c r="B193">
        <v>191</v>
      </c>
      <c r="C193" s="1" t="s">
        <v>20</v>
      </c>
      <c r="D193" s="1" t="s">
        <v>19</v>
      </c>
      <c r="E193" s="1" t="s">
        <v>165</v>
      </c>
      <c r="F193" s="1" t="s">
        <v>268</v>
      </c>
      <c r="G193" s="1">
        <v>1167990</v>
      </c>
      <c r="H193" s="1">
        <v>14789094</v>
      </c>
      <c r="I193" s="1">
        <v>315037.84000000003</v>
      </c>
      <c r="J193" s="1">
        <v>174922.89</v>
      </c>
      <c r="K193" s="1">
        <v>55527.85</v>
      </c>
      <c r="L193" s="1">
        <v>186240.67</v>
      </c>
      <c r="M193" s="1">
        <v>0</v>
      </c>
      <c r="N193" s="1">
        <v>-2426.5709999999999</v>
      </c>
      <c r="O193" s="1">
        <v>-1102.7080000000001</v>
      </c>
      <c r="P193" s="1">
        <v>0</v>
      </c>
      <c r="Q193" s="1">
        <v>-1368.5840000000001</v>
      </c>
      <c r="R193" s="1">
        <v>-2185.1819999999998</v>
      </c>
      <c r="S193" s="1">
        <v>-4918.8190000000004</v>
      </c>
      <c r="T193" s="1">
        <v>895.93200000000002</v>
      </c>
      <c r="U193" s="1">
        <v>526.38900000000001</v>
      </c>
      <c r="V193" s="1">
        <v>1277.2560000000001</v>
      </c>
      <c r="W193" s="1">
        <v>2228.1990000000001</v>
      </c>
      <c r="X193" s="1">
        <v>0</v>
      </c>
      <c r="Y193" s="1">
        <v>-7074.0870000000004</v>
      </c>
      <c r="Z193" s="1">
        <v>-25681.953000000001</v>
      </c>
      <c r="AA193" s="1">
        <v>14434</v>
      </c>
      <c r="AB193" s="1">
        <v>6</v>
      </c>
      <c r="AC193" s="1">
        <v>1972285</v>
      </c>
      <c r="AD193" s="1">
        <v>67540</v>
      </c>
      <c r="AE193" s="1">
        <v>5731.5626642120005</v>
      </c>
      <c r="AF193" s="1">
        <v>0</v>
      </c>
      <c r="AG193" s="1">
        <v>10979.398406116001</v>
      </c>
      <c r="AH193" s="1">
        <v>8442.9719954789998</v>
      </c>
      <c r="AI193" s="1">
        <v>3825.2522422309999</v>
      </c>
      <c r="AJ193" s="1">
        <v>94.262790811000002</v>
      </c>
      <c r="AK193" s="1">
        <v>3427.726677956</v>
      </c>
      <c r="AL193" s="1">
        <v>6088.1906209600002</v>
      </c>
      <c r="AM193" s="1">
        <v>0</v>
      </c>
      <c r="AN193" s="1">
        <v>0</v>
      </c>
      <c r="AO193" s="1">
        <v>4533.7197602200004</v>
      </c>
      <c r="AP193" s="1">
        <v>26.549485851</v>
      </c>
      <c r="AQ193" s="1">
        <v>0</v>
      </c>
      <c r="AR193" s="1">
        <v>0</v>
      </c>
      <c r="AS193" s="1">
        <v>0</v>
      </c>
      <c r="AT193" s="1">
        <v>7683.7</v>
      </c>
      <c r="AU193" s="1">
        <v>0</v>
      </c>
      <c r="AV193" s="1">
        <v>0</v>
      </c>
      <c r="AW193" s="1">
        <v>0</v>
      </c>
      <c r="AX193" s="1">
        <v>0</v>
      </c>
      <c r="AY193" s="1">
        <v>0</v>
      </c>
      <c r="AZ193" s="1">
        <v>0</v>
      </c>
      <c r="BA193" s="1">
        <v>0</v>
      </c>
      <c r="BB193" s="1">
        <v>0</v>
      </c>
      <c r="BC193" s="1">
        <v>1574.115910304</v>
      </c>
      <c r="BD193" s="1">
        <v>0</v>
      </c>
      <c r="BE193" s="1">
        <v>2890.951978481</v>
      </c>
      <c r="BF193" s="1">
        <v>4001.5866985849998</v>
      </c>
      <c r="BG193" s="1">
        <v>1443.126160084</v>
      </c>
      <c r="BH193" s="1">
        <v>873.569893364</v>
      </c>
      <c r="BI193" s="1">
        <v>471.05456841099999</v>
      </c>
      <c r="BJ193" s="1">
        <v>1809.9657200800002</v>
      </c>
      <c r="BK193" s="1">
        <v>0</v>
      </c>
      <c r="BL193" s="1">
        <v>0</v>
      </c>
      <c r="BM193" s="1">
        <v>1651.7814328679999</v>
      </c>
      <c r="BN193" s="1">
        <v>3.0307164719999999</v>
      </c>
      <c r="BO193" s="1">
        <v>12341.527985892</v>
      </c>
      <c r="BP193" s="1">
        <v>0</v>
      </c>
      <c r="BQ193" s="1">
        <v>0</v>
      </c>
      <c r="BR193" s="1">
        <v>0</v>
      </c>
      <c r="BS193" s="1">
        <v>32289.999999999996</v>
      </c>
      <c r="BT193" s="1">
        <v>0</v>
      </c>
      <c r="BU193" s="1">
        <v>0</v>
      </c>
      <c r="BV193" s="1">
        <v>0</v>
      </c>
      <c r="BW193" s="1">
        <v>0</v>
      </c>
      <c r="BX193" s="1">
        <v>0</v>
      </c>
      <c r="BY193" s="1">
        <v>0</v>
      </c>
      <c r="BZ193" s="1">
        <v>0</v>
      </c>
      <c r="CA193" s="1">
        <v>0</v>
      </c>
      <c r="CB193" s="1">
        <v>32289.999999999996</v>
      </c>
    </row>
    <row r="194" spans="2:80">
      <c r="B194">
        <v>192</v>
      </c>
      <c r="C194" s="1" t="s">
        <v>20</v>
      </c>
      <c r="D194" s="1" t="s">
        <v>19</v>
      </c>
      <c r="E194" s="1" t="s">
        <v>167</v>
      </c>
      <c r="F194" s="1" t="s">
        <v>170</v>
      </c>
      <c r="G194" s="1">
        <v>1167990</v>
      </c>
      <c r="H194" s="1">
        <v>14789094</v>
      </c>
      <c r="I194" s="1">
        <v>315037.84000000003</v>
      </c>
      <c r="J194" s="1">
        <v>174922.89</v>
      </c>
      <c r="K194" s="1">
        <v>55527.85</v>
      </c>
      <c r="L194" s="1">
        <v>186240.67</v>
      </c>
      <c r="M194" s="1">
        <v>0</v>
      </c>
      <c r="N194" s="1">
        <v>-2426.5709999999999</v>
      </c>
      <c r="O194" s="1">
        <v>-1102.7080000000001</v>
      </c>
      <c r="P194" s="1">
        <v>0</v>
      </c>
      <c r="Q194" s="1">
        <v>-1368.5840000000001</v>
      </c>
      <c r="R194" s="1">
        <v>-2185.1819999999998</v>
      </c>
      <c r="S194" s="1">
        <v>-4918.8190000000004</v>
      </c>
      <c r="T194" s="1">
        <v>895.93200000000002</v>
      </c>
      <c r="U194" s="1">
        <v>526.38900000000001</v>
      </c>
      <c r="V194" s="1">
        <v>1277.2560000000001</v>
      </c>
      <c r="W194" s="1">
        <v>2228.1990000000001</v>
      </c>
      <c r="X194" s="1">
        <v>0</v>
      </c>
      <c r="Y194" s="1">
        <v>-7074.0870000000004</v>
      </c>
      <c r="Z194" s="1">
        <v>-14015.079</v>
      </c>
      <c r="AA194" s="1">
        <v>14250</v>
      </c>
      <c r="AB194" s="1">
        <v>0</v>
      </c>
      <c r="AC194" s="1">
        <v>1829418</v>
      </c>
      <c r="AD194" s="1">
        <v>48606</v>
      </c>
      <c r="AE194" s="1">
        <v>5731.5626642120005</v>
      </c>
      <c r="AF194" s="1">
        <v>0</v>
      </c>
      <c r="AG194" s="1">
        <v>10979.398406116001</v>
      </c>
      <c r="AH194" s="1">
        <v>4142.7812261150002</v>
      </c>
      <c r="AI194" s="1">
        <v>3895.1259565680002</v>
      </c>
      <c r="AJ194" s="1">
        <v>62.505114266</v>
      </c>
      <c r="AK194" s="1">
        <v>3611.6310995520003</v>
      </c>
      <c r="AL194" s="1">
        <v>7040.7229651079997</v>
      </c>
      <c r="AM194" s="1">
        <v>0</v>
      </c>
      <c r="AN194" s="1">
        <v>0</v>
      </c>
      <c r="AO194" s="1">
        <v>4533.7197602200004</v>
      </c>
      <c r="AP194" s="1">
        <v>26.549485851</v>
      </c>
      <c r="AQ194" s="1">
        <v>0</v>
      </c>
      <c r="AR194" s="1">
        <v>0</v>
      </c>
      <c r="AS194" s="1">
        <v>0</v>
      </c>
      <c r="AT194" s="1">
        <v>5529.7</v>
      </c>
      <c r="AU194" s="1">
        <v>0</v>
      </c>
      <c r="AV194" s="1">
        <v>0</v>
      </c>
      <c r="AW194" s="1">
        <v>0</v>
      </c>
      <c r="AX194" s="1">
        <v>0</v>
      </c>
      <c r="AY194" s="1">
        <v>0</v>
      </c>
      <c r="AZ194" s="1">
        <v>0</v>
      </c>
      <c r="BA194" s="1">
        <v>0</v>
      </c>
      <c r="BB194" s="1">
        <v>0</v>
      </c>
      <c r="BC194" s="1">
        <v>1574.115910304</v>
      </c>
      <c r="BD194" s="1">
        <v>0</v>
      </c>
      <c r="BE194" s="1">
        <v>2890.951978481</v>
      </c>
      <c r="BF194" s="1">
        <v>4001.4535927939996</v>
      </c>
      <c r="BG194" s="1">
        <v>1192.2422218629999</v>
      </c>
      <c r="BH194" s="1">
        <v>770.52553331600006</v>
      </c>
      <c r="BI194" s="1">
        <v>455.14671990200003</v>
      </c>
      <c r="BJ194" s="1">
        <v>1948.8428416589998</v>
      </c>
      <c r="BK194" s="1">
        <v>0</v>
      </c>
      <c r="BL194" s="1">
        <v>0</v>
      </c>
      <c r="BM194" s="1">
        <v>1651.7814328679999</v>
      </c>
      <c r="BN194" s="1">
        <v>3.0307164719999999</v>
      </c>
      <c r="BO194" s="1">
        <v>12333.801024076</v>
      </c>
      <c r="BP194" s="1">
        <v>0</v>
      </c>
      <c r="BQ194" s="1">
        <v>0</v>
      </c>
      <c r="BR194" s="1">
        <v>0</v>
      </c>
      <c r="BS194" s="1">
        <v>26439.999999999996</v>
      </c>
      <c r="BT194" s="1">
        <v>0</v>
      </c>
      <c r="BU194" s="1">
        <v>0</v>
      </c>
      <c r="BV194" s="1">
        <v>0</v>
      </c>
      <c r="BW194" s="1">
        <v>0</v>
      </c>
      <c r="BX194" s="1">
        <v>0</v>
      </c>
      <c r="BY194" s="1">
        <v>0</v>
      </c>
      <c r="BZ194" s="1">
        <v>0</v>
      </c>
      <c r="CA194" s="1">
        <v>0</v>
      </c>
      <c r="CB194" s="1">
        <v>26439.999999999996</v>
      </c>
    </row>
    <row r="195" spans="2:80">
      <c r="B195">
        <v>193</v>
      </c>
      <c r="C195" s="1" t="s">
        <v>20</v>
      </c>
      <c r="D195" s="1" t="s">
        <v>19</v>
      </c>
      <c r="E195" s="1" t="s">
        <v>169</v>
      </c>
      <c r="F195" s="1" t="s">
        <v>172</v>
      </c>
      <c r="G195" s="1">
        <v>1167990</v>
      </c>
      <c r="H195" s="1">
        <v>14789094</v>
      </c>
      <c r="I195" s="1">
        <v>315037.84000000003</v>
      </c>
      <c r="J195" s="1">
        <v>174922.89</v>
      </c>
      <c r="K195" s="1">
        <v>55527.85</v>
      </c>
      <c r="L195" s="1">
        <v>186240.67</v>
      </c>
      <c r="M195" s="1">
        <v>0</v>
      </c>
      <c r="N195" s="1">
        <v>-2061.7339999999999</v>
      </c>
      <c r="O195" s="1">
        <v>-1109.454</v>
      </c>
      <c r="P195" s="1">
        <v>0</v>
      </c>
      <c r="Q195" s="1">
        <v>-1368.5840000000001</v>
      </c>
      <c r="R195" s="1">
        <v>-2933.3820000000001</v>
      </c>
      <c r="S195" s="1">
        <v>-9236.5460000000003</v>
      </c>
      <c r="T195" s="1">
        <v>1162.8330000000001</v>
      </c>
      <c r="U195" s="1">
        <v>685.56799999999998</v>
      </c>
      <c r="V195" s="1">
        <v>1996.693</v>
      </c>
      <c r="W195" s="1">
        <v>2846.5479999999998</v>
      </c>
      <c r="X195" s="1">
        <v>0</v>
      </c>
      <c r="Y195" s="1">
        <v>-10018.06</v>
      </c>
      <c r="Z195" s="1">
        <v>-28985.201000000001</v>
      </c>
      <c r="AA195" s="1">
        <v>15997</v>
      </c>
      <c r="AB195" s="1">
        <v>18</v>
      </c>
      <c r="AC195" s="1">
        <v>2104892</v>
      </c>
      <c r="AD195" s="1">
        <v>72230</v>
      </c>
      <c r="AE195" s="1">
        <v>7386.8492162430002</v>
      </c>
      <c r="AF195" s="1">
        <v>0</v>
      </c>
      <c r="AG195" s="1">
        <v>10979.398406116001</v>
      </c>
      <c r="AH195" s="1">
        <v>9618.988962716001</v>
      </c>
      <c r="AI195" s="1">
        <v>3880.9348314660001</v>
      </c>
      <c r="AJ195" s="1">
        <v>94.860060386000001</v>
      </c>
      <c r="AK195" s="1">
        <v>3437.6618307150002</v>
      </c>
      <c r="AL195" s="1">
        <v>6091.8902793560001</v>
      </c>
      <c r="AM195" s="1">
        <v>0</v>
      </c>
      <c r="AN195" s="1">
        <v>0</v>
      </c>
      <c r="AO195" s="1">
        <v>4533.7197602200004</v>
      </c>
      <c r="AP195" s="1">
        <v>26.549485851</v>
      </c>
      <c r="AQ195" s="1">
        <v>0</v>
      </c>
      <c r="AR195" s="1">
        <v>0</v>
      </c>
      <c r="AS195" s="1">
        <v>0</v>
      </c>
      <c r="AT195" s="1">
        <v>8217.2999999999993</v>
      </c>
      <c r="AU195" s="1">
        <v>0</v>
      </c>
      <c r="AV195" s="1">
        <v>0</v>
      </c>
      <c r="AW195" s="1">
        <v>0</v>
      </c>
      <c r="AX195" s="1">
        <v>0</v>
      </c>
      <c r="AY195" s="1">
        <v>0</v>
      </c>
      <c r="AZ195" s="1">
        <v>0</v>
      </c>
      <c r="BA195" s="1">
        <v>0</v>
      </c>
      <c r="BB195" s="1">
        <v>0</v>
      </c>
      <c r="BC195" s="1">
        <v>2048.9008538319999</v>
      </c>
      <c r="BD195" s="1">
        <v>0</v>
      </c>
      <c r="BE195" s="1">
        <v>2890.951978481</v>
      </c>
      <c r="BF195" s="1">
        <v>4001.5662207710002</v>
      </c>
      <c r="BG195" s="1">
        <v>1448.334350778</v>
      </c>
      <c r="BH195" s="1">
        <v>869.92825544100003</v>
      </c>
      <c r="BI195" s="1">
        <v>478.66548928099996</v>
      </c>
      <c r="BJ195" s="1">
        <v>1850.859914638</v>
      </c>
      <c r="BK195" s="1">
        <v>0</v>
      </c>
      <c r="BL195" s="1">
        <v>0</v>
      </c>
      <c r="BM195" s="1">
        <v>1651.7814328679999</v>
      </c>
      <c r="BN195" s="1">
        <v>3.0307164719999999</v>
      </c>
      <c r="BO195" s="1">
        <v>12846.821459311001</v>
      </c>
      <c r="BP195" s="1">
        <v>0</v>
      </c>
      <c r="BQ195" s="1">
        <v>0</v>
      </c>
      <c r="BR195" s="1">
        <v>0</v>
      </c>
      <c r="BS195" s="1">
        <v>32289.999999999996</v>
      </c>
      <c r="BT195" s="1">
        <v>0</v>
      </c>
      <c r="BU195" s="1">
        <v>0</v>
      </c>
      <c r="BV195" s="1">
        <v>0</v>
      </c>
      <c r="BW195" s="1">
        <v>0</v>
      </c>
      <c r="BX195" s="1">
        <v>0</v>
      </c>
      <c r="BY195" s="1">
        <v>0</v>
      </c>
      <c r="BZ195" s="1">
        <v>0</v>
      </c>
      <c r="CA195" s="1">
        <v>0</v>
      </c>
      <c r="CB195" s="1">
        <v>32289.999999999996</v>
      </c>
    </row>
    <row r="196" spans="2:80">
      <c r="B196">
        <v>194</v>
      </c>
      <c r="C196" s="1" t="s">
        <v>20</v>
      </c>
      <c r="D196" s="1" t="s">
        <v>19</v>
      </c>
      <c r="E196" s="1" t="s">
        <v>171</v>
      </c>
      <c r="F196" s="1" t="s">
        <v>174</v>
      </c>
      <c r="G196" s="1">
        <v>1167990</v>
      </c>
      <c r="H196" s="1">
        <v>14789094</v>
      </c>
      <c r="I196" s="1">
        <v>315037.84000000003</v>
      </c>
      <c r="J196" s="1">
        <v>174922.89</v>
      </c>
      <c r="K196" s="1">
        <v>55527.85</v>
      </c>
      <c r="L196" s="1">
        <v>186240.67</v>
      </c>
      <c r="M196" s="1">
        <v>0</v>
      </c>
      <c r="N196" s="1">
        <v>-2061.7339999999999</v>
      </c>
      <c r="O196" s="1">
        <v>-1109.454</v>
      </c>
      <c r="P196" s="1">
        <v>0</v>
      </c>
      <c r="Q196" s="1">
        <v>-1368.5840000000001</v>
      </c>
      <c r="R196" s="1">
        <v>-2933.3820000000001</v>
      </c>
      <c r="S196" s="1">
        <v>-9236.5460000000003</v>
      </c>
      <c r="T196" s="1">
        <v>1162.8330000000001</v>
      </c>
      <c r="U196" s="1">
        <v>685.56799999999998</v>
      </c>
      <c r="V196" s="1">
        <v>1996.693</v>
      </c>
      <c r="W196" s="1">
        <v>2846.5479999999998</v>
      </c>
      <c r="X196" s="1">
        <v>0</v>
      </c>
      <c r="Y196" s="1">
        <v>-10018.06</v>
      </c>
      <c r="Z196" s="1">
        <v>-17575.866999999998</v>
      </c>
      <c r="AA196" s="1">
        <v>14730</v>
      </c>
      <c r="AB196" s="1">
        <v>0</v>
      </c>
      <c r="AC196" s="1">
        <v>1966765</v>
      </c>
      <c r="AD196" s="1">
        <v>53252</v>
      </c>
      <c r="AE196" s="1">
        <v>7386.8492162430002</v>
      </c>
      <c r="AF196" s="1">
        <v>0</v>
      </c>
      <c r="AG196" s="1">
        <v>10979.398406116001</v>
      </c>
      <c r="AH196" s="1">
        <v>5443.9347017370001</v>
      </c>
      <c r="AI196" s="1">
        <v>3932.1634961560003</v>
      </c>
      <c r="AJ196" s="1">
        <v>63.986342812000004</v>
      </c>
      <c r="AK196" s="1">
        <v>3621.2966277599999</v>
      </c>
      <c r="AL196" s="1">
        <v>7041.0233063800006</v>
      </c>
      <c r="AM196" s="1">
        <v>0</v>
      </c>
      <c r="AN196" s="1">
        <v>0</v>
      </c>
      <c r="AO196" s="1">
        <v>4533.7197602200004</v>
      </c>
      <c r="AP196" s="1">
        <v>26.549485851</v>
      </c>
      <c r="AQ196" s="1">
        <v>0</v>
      </c>
      <c r="AR196" s="1">
        <v>0</v>
      </c>
      <c r="AS196" s="1">
        <v>0</v>
      </c>
      <c r="AT196" s="1">
        <v>6058.2</v>
      </c>
      <c r="AU196" s="1">
        <v>0</v>
      </c>
      <c r="AV196" s="1">
        <v>0</v>
      </c>
      <c r="AW196" s="1">
        <v>0</v>
      </c>
      <c r="AX196" s="1">
        <v>0</v>
      </c>
      <c r="AY196" s="1">
        <v>0</v>
      </c>
      <c r="AZ196" s="1">
        <v>0</v>
      </c>
      <c r="BA196" s="1">
        <v>0</v>
      </c>
      <c r="BB196" s="1">
        <v>0</v>
      </c>
      <c r="BC196" s="1">
        <v>2048.9008538319999</v>
      </c>
      <c r="BD196" s="1">
        <v>0</v>
      </c>
      <c r="BE196" s="1">
        <v>2890.951978481</v>
      </c>
      <c r="BF196" s="1">
        <v>4001.576459678</v>
      </c>
      <c r="BG196" s="1">
        <v>1267.8053555229999</v>
      </c>
      <c r="BH196" s="1">
        <v>809.6995914979999</v>
      </c>
      <c r="BI196" s="1">
        <v>460.08528604500003</v>
      </c>
      <c r="BJ196" s="1">
        <v>1948.624411643</v>
      </c>
      <c r="BK196" s="1">
        <v>0</v>
      </c>
      <c r="BL196" s="1">
        <v>0</v>
      </c>
      <c r="BM196" s="1">
        <v>1651.7814328679999</v>
      </c>
      <c r="BN196" s="1">
        <v>3.0307164719999999</v>
      </c>
      <c r="BO196" s="1">
        <v>12887.807804032</v>
      </c>
      <c r="BP196" s="1">
        <v>0</v>
      </c>
      <c r="BQ196" s="1">
        <v>0</v>
      </c>
      <c r="BR196" s="1">
        <v>0</v>
      </c>
      <c r="BS196" s="1">
        <v>28450</v>
      </c>
      <c r="BT196" s="1">
        <v>0</v>
      </c>
      <c r="BU196" s="1">
        <v>0</v>
      </c>
      <c r="BV196" s="1">
        <v>0</v>
      </c>
      <c r="BW196" s="1">
        <v>0</v>
      </c>
      <c r="BX196" s="1">
        <v>0</v>
      </c>
      <c r="BY196" s="1">
        <v>0</v>
      </c>
      <c r="BZ196" s="1">
        <v>0</v>
      </c>
      <c r="CA196" s="1">
        <v>0</v>
      </c>
      <c r="CB196" s="1">
        <v>28450</v>
      </c>
    </row>
    <row r="197" spans="2:80">
      <c r="B197">
        <v>195</v>
      </c>
      <c r="C197" s="1" t="s">
        <v>20</v>
      </c>
      <c r="D197" s="1" t="s">
        <v>19</v>
      </c>
      <c r="E197" s="1" t="s">
        <v>173</v>
      </c>
      <c r="F197" s="1" t="s">
        <v>176</v>
      </c>
      <c r="G197" s="1">
        <v>1167990</v>
      </c>
      <c r="H197" s="1">
        <v>14789094</v>
      </c>
      <c r="I197" s="1">
        <v>315037.84000000003</v>
      </c>
      <c r="J197" s="1">
        <v>174922.89</v>
      </c>
      <c r="K197" s="1">
        <v>55527.85</v>
      </c>
      <c r="L197" s="1">
        <v>186240.67</v>
      </c>
      <c r="M197" s="1">
        <v>0</v>
      </c>
      <c r="N197" s="1">
        <v>-2132.6999999999998</v>
      </c>
      <c r="O197" s="1">
        <v>-1112.068</v>
      </c>
      <c r="P197" s="1">
        <v>0</v>
      </c>
      <c r="Q197" s="1">
        <v>-1368.5840000000001</v>
      </c>
      <c r="R197" s="1">
        <v>-3066.5410000000002</v>
      </c>
      <c r="S197" s="1">
        <v>-9686.3940000000002</v>
      </c>
      <c r="T197" s="1">
        <v>1232.1790000000001</v>
      </c>
      <c r="U197" s="1">
        <v>778.36</v>
      </c>
      <c r="V197" s="1">
        <v>1753.213</v>
      </c>
      <c r="W197" s="1">
        <v>3146.58</v>
      </c>
      <c r="X197" s="1">
        <v>0</v>
      </c>
      <c r="Y197" s="1">
        <v>-10455.950000000001</v>
      </c>
      <c r="Z197" s="1">
        <v>-29818.398000000001</v>
      </c>
      <c r="AA197" s="1">
        <v>16428</v>
      </c>
      <c r="AB197" s="1">
        <v>5</v>
      </c>
      <c r="AC197" s="1">
        <v>2035913</v>
      </c>
      <c r="AD197" s="1">
        <v>72944</v>
      </c>
      <c r="AE197" s="1">
        <v>5731.5626642120005</v>
      </c>
      <c r="AF197" s="1">
        <v>0</v>
      </c>
      <c r="AG197" s="1">
        <v>10979.398406116001</v>
      </c>
      <c r="AH197" s="1">
        <v>9911.9104401099994</v>
      </c>
      <c r="AI197" s="1">
        <v>3804.074769586</v>
      </c>
      <c r="AJ197" s="1">
        <v>85.866887071000008</v>
      </c>
      <c r="AK197" s="1">
        <v>3429.6788962240003</v>
      </c>
      <c r="AL197" s="1">
        <v>6038.9210004759998</v>
      </c>
      <c r="AM197" s="1">
        <v>0</v>
      </c>
      <c r="AN197" s="1">
        <v>0</v>
      </c>
      <c r="AO197" s="1">
        <v>4533.7197602200004</v>
      </c>
      <c r="AP197" s="1">
        <v>26.549485851</v>
      </c>
      <c r="AQ197" s="1">
        <v>0</v>
      </c>
      <c r="AR197" s="1">
        <v>0</v>
      </c>
      <c r="AS197" s="1">
        <v>0</v>
      </c>
      <c r="AT197" s="1">
        <v>8298.5</v>
      </c>
      <c r="AU197" s="1">
        <v>0</v>
      </c>
      <c r="AV197" s="1">
        <v>0</v>
      </c>
      <c r="AW197" s="1">
        <v>0</v>
      </c>
      <c r="AX197" s="1">
        <v>0</v>
      </c>
      <c r="AY197" s="1">
        <v>0</v>
      </c>
      <c r="AZ197" s="1">
        <v>0</v>
      </c>
      <c r="BA197" s="1">
        <v>0</v>
      </c>
      <c r="BB197" s="1">
        <v>0</v>
      </c>
      <c r="BC197" s="1">
        <v>1574.115910304</v>
      </c>
      <c r="BD197" s="1">
        <v>0</v>
      </c>
      <c r="BE197" s="1">
        <v>2890.951978481</v>
      </c>
      <c r="BF197" s="1">
        <v>4001.5013743600002</v>
      </c>
      <c r="BG197" s="1">
        <v>1445.3275250889999</v>
      </c>
      <c r="BH197" s="1">
        <v>870.539176892</v>
      </c>
      <c r="BI197" s="1">
        <v>476.67914132300001</v>
      </c>
      <c r="BJ197" s="1">
        <v>1743.887227271</v>
      </c>
      <c r="BK197" s="1">
        <v>0</v>
      </c>
      <c r="BL197" s="1">
        <v>0</v>
      </c>
      <c r="BM197" s="1">
        <v>1651.7814328679999</v>
      </c>
      <c r="BN197" s="1">
        <v>3.0307164719999999</v>
      </c>
      <c r="BO197" s="1">
        <v>12343.227644453998</v>
      </c>
      <c r="BP197" s="1">
        <v>0</v>
      </c>
      <c r="BQ197" s="1">
        <v>0</v>
      </c>
      <c r="BR197" s="1">
        <v>0</v>
      </c>
      <c r="BS197" s="1">
        <v>32020</v>
      </c>
      <c r="BT197" s="1">
        <v>0</v>
      </c>
      <c r="BU197" s="1">
        <v>0</v>
      </c>
      <c r="BV197" s="1">
        <v>0</v>
      </c>
      <c r="BW197" s="1">
        <v>0</v>
      </c>
      <c r="BX197" s="1">
        <v>0</v>
      </c>
      <c r="BY197" s="1">
        <v>0</v>
      </c>
      <c r="BZ197" s="1">
        <v>0</v>
      </c>
      <c r="CA197" s="1">
        <v>0</v>
      </c>
      <c r="CB197" s="1">
        <v>32020</v>
      </c>
    </row>
    <row r="198" spans="2:80">
      <c r="B198">
        <v>196</v>
      </c>
      <c r="C198" s="1" t="s">
        <v>20</v>
      </c>
      <c r="D198" s="1" t="s">
        <v>19</v>
      </c>
      <c r="E198" s="1" t="s">
        <v>175</v>
      </c>
      <c r="F198" s="1" t="s">
        <v>178</v>
      </c>
      <c r="G198" s="1">
        <v>1167990</v>
      </c>
      <c r="H198" s="1">
        <v>14789094</v>
      </c>
      <c r="I198" s="1">
        <v>315037.84000000003</v>
      </c>
      <c r="J198" s="1">
        <v>174922.89</v>
      </c>
      <c r="K198" s="1">
        <v>55527.85</v>
      </c>
      <c r="L198" s="1">
        <v>186240.67</v>
      </c>
      <c r="M198" s="1">
        <v>0</v>
      </c>
      <c r="N198" s="1">
        <v>-2132.6999999999998</v>
      </c>
      <c r="O198" s="1">
        <v>-1112.068</v>
      </c>
      <c r="P198" s="1">
        <v>0</v>
      </c>
      <c r="Q198" s="1">
        <v>-1368.5840000000001</v>
      </c>
      <c r="R198" s="1">
        <v>-3066.5410000000002</v>
      </c>
      <c r="S198" s="1">
        <v>-9686.3940000000002</v>
      </c>
      <c r="T198" s="1">
        <v>1232.1790000000001</v>
      </c>
      <c r="U198" s="1">
        <v>778.36</v>
      </c>
      <c r="V198" s="1">
        <v>1753.213</v>
      </c>
      <c r="W198" s="1">
        <v>3146.58</v>
      </c>
      <c r="X198" s="1">
        <v>0</v>
      </c>
      <c r="Y198" s="1">
        <v>-10455.950000000001</v>
      </c>
      <c r="Z198" s="1">
        <v>-18554.918000000001</v>
      </c>
      <c r="AA198" s="1">
        <v>14836</v>
      </c>
      <c r="AB198" s="1">
        <v>0</v>
      </c>
      <c r="AC198" s="1">
        <v>1901349</v>
      </c>
      <c r="AD198" s="1">
        <v>54049</v>
      </c>
      <c r="AE198" s="1">
        <v>5731.5626642120005</v>
      </c>
      <c r="AF198" s="1">
        <v>0</v>
      </c>
      <c r="AG198" s="1">
        <v>10979.398406116001</v>
      </c>
      <c r="AH198" s="1">
        <v>5808.8834769069999</v>
      </c>
      <c r="AI198" s="1">
        <v>3860.276130109</v>
      </c>
      <c r="AJ198" s="1">
        <v>55.095558566999998</v>
      </c>
      <c r="AK198" s="1">
        <v>3613.0611335630001</v>
      </c>
      <c r="AL198" s="1">
        <v>6989.1325257039998</v>
      </c>
      <c r="AM198" s="1">
        <v>0</v>
      </c>
      <c r="AN198" s="1">
        <v>0</v>
      </c>
      <c r="AO198" s="1">
        <v>4533.7197602200004</v>
      </c>
      <c r="AP198" s="1">
        <v>26.549485851</v>
      </c>
      <c r="AQ198" s="1">
        <v>0</v>
      </c>
      <c r="AR198" s="1">
        <v>0</v>
      </c>
      <c r="AS198" s="1">
        <v>0</v>
      </c>
      <c r="AT198" s="1">
        <v>6148.9</v>
      </c>
      <c r="AU198" s="1">
        <v>0</v>
      </c>
      <c r="AV198" s="1">
        <v>0</v>
      </c>
      <c r="AW198" s="1">
        <v>0</v>
      </c>
      <c r="AX198" s="1">
        <v>0</v>
      </c>
      <c r="AY198" s="1">
        <v>0</v>
      </c>
      <c r="AZ198" s="1">
        <v>0</v>
      </c>
      <c r="BA198" s="1">
        <v>0</v>
      </c>
      <c r="BB198" s="1">
        <v>0</v>
      </c>
      <c r="BC198" s="1">
        <v>1574.115910304</v>
      </c>
      <c r="BD198" s="1">
        <v>0</v>
      </c>
      <c r="BE198" s="1">
        <v>2890.951978481</v>
      </c>
      <c r="BF198" s="1">
        <v>4001.5389170190001</v>
      </c>
      <c r="BG198" s="1">
        <v>1196.0408563599999</v>
      </c>
      <c r="BH198" s="1">
        <v>763.96239392899997</v>
      </c>
      <c r="BI198" s="1">
        <v>456.17743653999997</v>
      </c>
      <c r="BJ198" s="1">
        <v>1881.2250998309999</v>
      </c>
      <c r="BK198" s="1">
        <v>0</v>
      </c>
      <c r="BL198" s="1">
        <v>0</v>
      </c>
      <c r="BM198" s="1">
        <v>1651.7814328679999</v>
      </c>
      <c r="BN198" s="1">
        <v>3.0307164719999999</v>
      </c>
      <c r="BO198" s="1">
        <v>12394.657674315</v>
      </c>
      <c r="BP198" s="1">
        <v>0</v>
      </c>
      <c r="BQ198" s="1">
        <v>0</v>
      </c>
      <c r="BR198" s="1">
        <v>0</v>
      </c>
      <c r="BS198" s="1">
        <v>28889.999999999996</v>
      </c>
      <c r="BT198" s="1">
        <v>0</v>
      </c>
      <c r="BU198" s="1">
        <v>0</v>
      </c>
      <c r="BV198" s="1">
        <v>0</v>
      </c>
      <c r="BW198" s="1">
        <v>0</v>
      </c>
      <c r="BX198" s="1">
        <v>0</v>
      </c>
      <c r="BY198" s="1">
        <v>0</v>
      </c>
      <c r="BZ198" s="1">
        <v>0</v>
      </c>
      <c r="CA198" s="1">
        <v>0</v>
      </c>
      <c r="CB198" s="1">
        <v>28889.999999999996</v>
      </c>
    </row>
    <row r="199" spans="2:80">
      <c r="B199">
        <v>197</v>
      </c>
      <c r="C199" s="1" t="s">
        <v>20</v>
      </c>
      <c r="D199" s="1" t="s">
        <v>19</v>
      </c>
      <c r="E199" s="1" t="s">
        <v>177</v>
      </c>
      <c r="F199" s="1" t="s">
        <v>180</v>
      </c>
      <c r="G199" s="1">
        <v>1167990</v>
      </c>
      <c r="H199" s="1">
        <v>14789094</v>
      </c>
      <c r="I199" s="1">
        <v>315037.84000000003</v>
      </c>
      <c r="J199" s="1">
        <v>174922.89</v>
      </c>
      <c r="K199" s="1">
        <v>55527.85</v>
      </c>
      <c r="L199" s="1">
        <v>186240.67</v>
      </c>
      <c r="M199" s="1">
        <v>0</v>
      </c>
      <c r="N199" s="1">
        <v>-2035.671</v>
      </c>
      <c r="O199" s="1">
        <v>-1105.962</v>
      </c>
      <c r="P199" s="1">
        <v>0</v>
      </c>
      <c r="Q199" s="1">
        <v>-1368.5840000000001</v>
      </c>
      <c r="R199" s="1">
        <v>-2432.857</v>
      </c>
      <c r="S199" s="1">
        <v>-9069.1219999999994</v>
      </c>
      <c r="T199" s="1">
        <v>1132.8900000000001</v>
      </c>
      <c r="U199" s="1">
        <v>652.86599999999999</v>
      </c>
      <c r="V199" s="1">
        <v>1919.6479999999999</v>
      </c>
      <c r="W199" s="1">
        <v>2738.8870000000002</v>
      </c>
      <c r="X199" s="1">
        <v>0</v>
      </c>
      <c r="Y199" s="1">
        <v>-9567.9040000000005</v>
      </c>
      <c r="Z199" s="1">
        <v>-28294.375</v>
      </c>
      <c r="AA199" s="1">
        <v>15425</v>
      </c>
      <c r="AB199" s="1">
        <v>17</v>
      </c>
      <c r="AC199" s="1">
        <v>2093856</v>
      </c>
      <c r="AD199" s="1">
        <v>71327</v>
      </c>
      <c r="AE199" s="1">
        <v>7386.8492162430002</v>
      </c>
      <c r="AF199" s="1">
        <v>0</v>
      </c>
      <c r="AG199" s="1">
        <v>10979.398406116001</v>
      </c>
      <c r="AH199" s="1">
        <v>9372.9480275059996</v>
      </c>
      <c r="AI199" s="1">
        <v>3880.4911454960002</v>
      </c>
      <c r="AJ199" s="1">
        <v>95.784974985000005</v>
      </c>
      <c r="AK199" s="1">
        <v>3436.914390504</v>
      </c>
      <c r="AL199" s="1">
        <v>6096.7401083049999</v>
      </c>
      <c r="AM199" s="1">
        <v>0</v>
      </c>
      <c r="AN199" s="1">
        <v>0</v>
      </c>
      <c r="AO199" s="1">
        <v>4533.7197602200004</v>
      </c>
      <c r="AP199" s="1">
        <v>26.549485851</v>
      </c>
      <c r="AQ199" s="1">
        <v>0</v>
      </c>
      <c r="AR199" s="1">
        <v>0</v>
      </c>
      <c r="AS199" s="1">
        <v>0</v>
      </c>
      <c r="AT199" s="1">
        <v>8114.6</v>
      </c>
      <c r="AU199" s="1">
        <v>0</v>
      </c>
      <c r="AV199" s="1">
        <v>0</v>
      </c>
      <c r="AW199" s="1">
        <v>0</v>
      </c>
      <c r="AX199" s="1">
        <v>0</v>
      </c>
      <c r="AY199" s="1">
        <v>0</v>
      </c>
      <c r="AZ199" s="1">
        <v>0</v>
      </c>
      <c r="BA199" s="1">
        <v>0</v>
      </c>
      <c r="BB199" s="1">
        <v>0</v>
      </c>
      <c r="BC199" s="1">
        <v>2048.9008538319999</v>
      </c>
      <c r="BD199" s="1">
        <v>0</v>
      </c>
      <c r="BE199" s="1">
        <v>2890.951978481</v>
      </c>
      <c r="BF199" s="1">
        <v>4001.6037634300001</v>
      </c>
      <c r="BG199" s="1">
        <v>1446.4845215799999</v>
      </c>
      <c r="BH199" s="1">
        <v>872.32415967899999</v>
      </c>
      <c r="BI199" s="1">
        <v>474.33784458899999</v>
      </c>
      <c r="BJ199" s="1">
        <v>1852.880392286</v>
      </c>
      <c r="BK199" s="1">
        <v>0</v>
      </c>
      <c r="BL199" s="1">
        <v>0</v>
      </c>
      <c r="BM199" s="1">
        <v>1651.7814328679999</v>
      </c>
      <c r="BN199" s="1">
        <v>3.0307164719999999</v>
      </c>
      <c r="BO199" s="1">
        <v>12845.428967958998</v>
      </c>
      <c r="BP199" s="1">
        <v>0</v>
      </c>
      <c r="BQ199" s="1">
        <v>0</v>
      </c>
      <c r="BR199" s="1">
        <v>0</v>
      </c>
      <c r="BS199" s="1">
        <v>32289.999999999996</v>
      </c>
      <c r="BT199" s="1">
        <v>0</v>
      </c>
      <c r="BU199" s="1">
        <v>0</v>
      </c>
      <c r="BV199" s="1">
        <v>0</v>
      </c>
      <c r="BW199" s="1">
        <v>0</v>
      </c>
      <c r="BX199" s="1">
        <v>0</v>
      </c>
      <c r="BY199" s="1">
        <v>0</v>
      </c>
      <c r="BZ199" s="1">
        <v>0</v>
      </c>
      <c r="CA199" s="1">
        <v>0</v>
      </c>
      <c r="CB199" s="1">
        <v>32289.999999999996</v>
      </c>
    </row>
    <row r="200" spans="2:80">
      <c r="B200">
        <v>198</v>
      </c>
      <c r="C200" s="1" t="s">
        <v>20</v>
      </c>
      <c r="D200" s="1" t="s">
        <v>19</v>
      </c>
      <c r="E200" s="1" t="s">
        <v>179</v>
      </c>
      <c r="F200" s="1" t="s">
        <v>182</v>
      </c>
      <c r="G200" s="1">
        <v>1167990</v>
      </c>
      <c r="H200" s="1">
        <v>14789094</v>
      </c>
      <c r="I200" s="1">
        <v>315037.84000000003</v>
      </c>
      <c r="J200" s="1">
        <v>174922.89</v>
      </c>
      <c r="K200" s="1">
        <v>55527.85</v>
      </c>
      <c r="L200" s="1">
        <v>186240.67</v>
      </c>
      <c r="M200" s="1">
        <v>0</v>
      </c>
      <c r="N200" s="1">
        <v>-2035.671</v>
      </c>
      <c r="O200" s="1">
        <v>-1105.962</v>
      </c>
      <c r="P200" s="1">
        <v>0</v>
      </c>
      <c r="Q200" s="1">
        <v>-1368.5840000000001</v>
      </c>
      <c r="R200" s="1">
        <v>-2432.857</v>
      </c>
      <c r="S200" s="1">
        <v>-9069.1219999999994</v>
      </c>
      <c r="T200" s="1">
        <v>1132.8900000000001</v>
      </c>
      <c r="U200" s="1">
        <v>652.86599999999999</v>
      </c>
      <c r="V200" s="1">
        <v>1919.6479999999999</v>
      </c>
      <c r="W200" s="1">
        <v>2738.8870000000002</v>
      </c>
      <c r="X200" s="1">
        <v>0</v>
      </c>
      <c r="Y200" s="1">
        <v>-9567.9040000000005</v>
      </c>
      <c r="Z200" s="1">
        <v>-16840.23</v>
      </c>
      <c r="AA200" s="1">
        <v>14566</v>
      </c>
      <c r="AB200" s="1">
        <v>0</v>
      </c>
      <c r="AC200" s="1">
        <v>1954611</v>
      </c>
      <c r="AD200" s="1">
        <v>52447</v>
      </c>
      <c r="AE200" s="1">
        <v>7386.8492162430002</v>
      </c>
      <c r="AF200" s="1">
        <v>0</v>
      </c>
      <c r="AG200" s="1">
        <v>10979.398406116001</v>
      </c>
      <c r="AH200" s="1">
        <v>5170.6480350000002</v>
      </c>
      <c r="AI200" s="1">
        <v>3934.1498441140002</v>
      </c>
      <c r="AJ200" s="1">
        <v>64.621155045999998</v>
      </c>
      <c r="AK200" s="1">
        <v>3620.5560134870002</v>
      </c>
      <c r="AL200" s="1">
        <v>7046.4977086560002</v>
      </c>
      <c r="AM200" s="1">
        <v>0</v>
      </c>
      <c r="AN200" s="1">
        <v>0</v>
      </c>
      <c r="AO200" s="1">
        <v>4533.7197602200004</v>
      </c>
      <c r="AP200" s="1">
        <v>26.549485851</v>
      </c>
      <c r="AQ200" s="1">
        <v>0</v>
      </c>
      <c r="AR200" s="1">
        <v>0</v>
      </c>
      <c r="AS200" s="1">
        <v>0</v>
      </c>
      <c r="AT200" s="1">
        <v>5966.7</v>
      </c>
      <c r="AU200" s="1">
        <v>0</v>
      </c>
      <c r="AV200" s="1">
        <v>0</v>
      </c>
      <c r="AW200" s="1">
        <v>0</v>
      </c>
      <c r="AX200" s="1">
        <v>0</v>
      </c>
      <c r="AY200" s="1">
        <v>0</v>
      </c>
      <c r="AZ200" s="1">
        <v>0</v>
      </c>
      <c r="BA200" s="1">
        <v>0</v>
      </c>
      <c r="BB200" s="1">
        <v>0</v>
      </c>
      <c r="BC200" s="1">
        <v>2048.9008538319999</v>
      </c>
      <c r="BD200" s="1">
        <v>0</v>
      </c>
      <c r="BE200" s="1">
        <v>2890.951978481</v>
      </c>
      <c r="BF200" s="1">
        <v>4001.6003504610003</v>
      </c>
      <c r="BG200" s="1">
        <v>1255.341192735</v>
      </c>
      <c r="BH200" s="1">
        <v>773.55283681900005</v>
      </c>
      <c r="BI200" s="1">
        <v>458.87368204999996</v>
      </c>
      <c r="BJ200" s="1">
        <v>1957.2626361819998</v>
      </c>
      <c r="BK200" s="1">
        <v>0</v>
      </c>
      <c r="BL200" s="1">
        <v>0</v>
      </c>
      <c r="BM200" s="1">
        <v>1651.7814328679999</v>
      </c>
      <c r="BN200" s="1">
        <v>3.0307164719999999</v>
      </c>
      <c r="BO200" s="1">
        <v>12985.712232766</v>
      </c>
      <c r="BP200" s="1">
        <v>0</v>
      </c>
      <c r="BQ200" s="1">
        <v>0</v>
      </c>
      <c r="BR200" s="1">
        <v>0</v>
      </c>
      <c r="BS200" s="1">
        <v>28130</v>
      </c>
      <c r="BT200" s="1">
        <v>0</v>
      </c>
      <c r="BU200" s="1">
        <v>0</v>
      </c>
      <c r="BV200" s="1">
        <v>0</v>
      </c>
      <c r="BW200" s="1">
        <v>0</v>
      </c>
      <c r="BX200" s="1">
        <v>0</v>
      </c>
      <c r="BY200" s="1">
        <v>0</v>
      </c>
      <c r="BZ200" s="1">
        <v>0</v>
      </c>
      <c r="CA200" s="1">
        <v>0</v>
      </c>
      <c r="CB200" s="1">
        <v>28130</v>
      </c>
    </row>
    <row r="201" spans="2:80">
      <c r="B201">
        <v>199</v>
      </c>
      <c r="C201" s="1" t="s">
        <v>20</v>
      </c>
      <c r="D201" s="1" t="s">
        <v>19</v>
      </c>
      <c r="E201" s="1" t="s">
        <v>181</v>
      </c>
      <c r="F201" s="1" t="s">
        <v>253</v>
      </c>
      <c r="G201" s="1">
        <v>1167990</v>
      </c>
      <c r="H201" s="1">
        <v>14789094</v>
      </c>
      <c r="I201" s="1">
        <v>315037.84000000003</v>
      </c>
      <c r="J201" s="1">
        <v>174922.89</v>
      </c>
      <c r="K201" s="1">
        <v>55527.85</v>
      </c>
      <c r="L201" s="1">
        <v>186240.67</v>
      </c>
      <c r="M201" s="1">
        <v>0</v>
      </c>
      <c r="N201" s="1">
        <v>-2106.2669999999998</v>
      </c>
      <c r="O201" s="1">
        <v>-1109.0820000000001</v>
      </c>
      <c r="P201" s="1">
        <v>0</v>
      </c>
      <c r="Q201" s="1">
        <v>-1368.5840000000001</v>
      </c>
      <c r="R201" s="1">
        <v>-2542.893</v>
      </c>
      <c r="S201" s="1">
        <v>-9507.8259999999991</v>
      </c>
      <c r="T201" s="1">
        <v>1201.8920000000001</v>
      </c>
      <c r="U201" s="1">
        <v>739.84199999999998</v>
      </c>
      <c r="V201" s="1">
        <v>1685.9110000000001</v>
      </c>
      <c r="W201" s="1">
        <v>3022.0810000000001</v>
      </c>
      <c r="X201" s="1">
        <v>0</v>
      </c>
      <c r="Y201" s="1">
        <v>-9984.9279999999999</v>
      </c>
      <c r="Z201" s="1">
        <v>-29162.879000000001</v>
      </c>
      <c r="AA201" s="1">
        <v>15696</v>
      </c>
      <c r="AB201" s="1">
        <v>5</v>
      </c>
      <c r="AC201" s="1">
        <v>2026028</v>
      </c>
      <c r="AD201" s="1">
        <v>71893</v>
      </c>
      <c r="AE201" s="1">
        <v>5731.5626642120005</v>
      </c>
      <c r="AF201" s="1">
        <v>0</v>
      </c>
      <c r="AG201" s="1">
        <v>10979.398406116001</v>
      </c>
      <c r="AH201" s="1">
        <v>9689.0094347200011</v>
      </c>
      <c r="AI201" s="1">
        <v>3807.4706737410002</v>
      </c>
      <c r="AJ201" s="1">
        <v>86.679173692999996</v>
      </c>
      <c r="AK201" s="1">
        <v>3428.8154150670002</v>
      </c>
      <c r="AL201" s="1">
        <v>6042.2384063440004</v>
      </c>
      <c r="AM201" s="1">
        <v>0</v>
      </c>
      <c r="AN201" s="1">
        <v>0</v>
      </c>
      <c r="AO201" s="1">
        <v>4533.7197602200004</v>
      </c>
      <c r="AP201" s="1">
        <v>26.549485851</v>
      </c>
      <c r="AQ201" s="1">
        <v>0</v>
      </c>
      <c r="AR201" s="1">
        <v>0</v>
      </c>
      <c r="AS201" s="1">
        <v>0</v>
      </c>
      <c r="AT201" s="1">
        <v>8178.9</v>
      </c>
      <c r="AU201" s="1">
        <v>0</v>
      </c>
      <c r="AV201" s="1">
        <v>0</v>
      </c>
      <c r="AW201" s="1">
        <v>0</v>
      </c>
      <c r="AX201" s="1">
        <v>0</v>
      </c>
      <c r="AY201" s="1">
        <v>0</v>
      </c>
      <c r="AZ201" s="1">
        <v>0</v>
      </c>
      <c r="BA201" s="1">
        <v>0</v>
      </c>
      <c r="BB201" s="1">
        <v>0</v>
      </c>
      <c r="BC201" s="1">
        <v>1574.115910304</v>
      </c>
      <c r="BD201" s="1">
        <v>0</v>
      </c>
      <c r="BE201" s="1">
        <v>2890.951978481</v>
      </c>
      <c r="BF201" s="1">
        <v>4001.5457429569997</v>
      </c>
      <c r="BG201" s="1">
        <v>1443.0681396110001</v>
      </c>
      <c r="BH201" s="1">
        <v>872.795149401</v>
      </c>
      <c r="BI201" s="1">
        <v>475.61088202600001</v>
      </c>
      <c r="BJ201" s="1">
        <v>1751.6858614360001</v>
      </c>
      <c r="BK201" s="1">
        <v>0</v>
      </c>
      <c r="BL201" s="1">
        <v>0</v>
      </c>
      <c r="BM201" s="1">
        <v>1651.7814328679999</v>
      </c>
      <c r="BN201" s="1">
        <v>3.0307164719999999</v>
      </c>
      <c r="BO201" s="1">
        <v>12352.5587017</v>
      </c>
      <c r="BP201" s="1">
        <v>0</v>
      </c>
      <c r="BQ201" s="1">
        <v>0</v>
      </c>
      <c r="BR201" s="1">
        <v>0</v>
      </c>
      <c r="BS201" s="1">
        <v>32289.999999999996</v>
      </c>
      <c r="BT201" s="1">
        <v>0</v>
      </c>
      <c r="BU201" s="1">
        <v>0</v>
      </c>
      <c r="BV201" s="1">
        <v>0</v>
      </c>
      <c r="BW201" s="1">
        <v>0</v>
      </c>
      <c r="BX201" s="1">
        <v>0</v>
      </c>
      <c r="BY201" s="1">
        <v>0</v>
      </c>
      <c r="BZ201" s="1">
        <v>0</v>
      </c>
      <c r="CA201" s="1">
        <v>0</v>
      </c>
      <c r="CB201" s="1">
        <v>32289.999999999996</v>
      </c>
    </row>
    <row r="202" spans="2:80">
      <c r="B202">
        <v>200</v>
      </c>
      <c r="C202" s="1" t="s">
        <v>20</v>
      </c>
      <c r="D202" s="1" t="s">
        <v>19</v>
      </c>
      <c r="E202" s="1" t="s">
        <v>183</v>
      </c>
      <c r="F202" s="1" t="s">
        <v>254</v>
      </c>
      <c r="G202" s="1">
        <v>1167990</v>
      </c>
      <c r="H202" s="1">
        <v>14789094</v>
      </c>
      <c r="I202" s="1">
        <v>315037.84000000003</v>
      </c>
      <c r="J202" s="1">
        <v>174922.89</v>
      </c>
      <c r="K202" s="1">
        <v>55527.85</v>
      </c>
      <c r="L202" s="1">
        <v>186240.67</v>
      </c>
      <c r="M202" s="1">
        <v>0</v>
      </c>
      <c r="N202" s="1">
        <v>-2106.2669999999998</v>
      </c>
      <c r="O202" s="1">
        <v>-1109.0820000000001</v>
      </c>
      <c r="P202" s="1">
        <v>0</v>
      </c>
      <c r="Q202" s="1">
        <v>-1368.5840000000001</v>
      </c>
      <c r="R202" s="1">
        <v>-2542.893</v>
      </c>
      <c r="S202" s="1">
        <v>-9507.8259999999991</v>
      </c>
      <c r="T202" s="1">
        <v>1201.8920000000001</v>
      </c>
      <c r="U202" s="1">
        <v>739.84199999999998</v>
      </c>
      <c r="V202" s="1">
        <v>1685.9110000000001</v>
      </c>
      <c r="W202" s="1">
        <v>3022.0810000000001</v>
      </c>
      <c r="X202" s="1">
        <v>0</v>
      </c>
      <c r="Y202" s="1">
        <v>-9984.9279999999999</v>
      </c>
      <c r="Z202" s="1">
        <v>-17806.285</v>
      </c>
      <c r="AA202" s="1">
        <v>14657</v>
      </c>
      <c r="AB202" s="1">
        <v>0</v>
      </c>
      <c r="AC202" s="1">
        <v>1889136</v>
      </c>
      <c r="AD202" s="1">
        <v>53140</v>
      </c>
      <c r="AE202" s="1">
        <v>5731.5626642120005</v>
      </c>
      <c r="AF202" s="1">
        <v>0</v>
      </c>
      <c r="AG202" s="1">
        <v>10979.398406116001</v>
      </c>
      <c r="AH202" s="1">
        <v>5536.9142162039998</v>
      </c>
      <c r="AI202" s="1">
        <v>3861.1805668940001</v>
      </c>
      <c r="AJ202" s="1">
        <v>55.665524390000002</v>
      </c>
      <c r="AK202" s="1">
        <v>3612.2898025690001</v>
      </c>
      <c r="AL202" s="1">
        <v>6993.2553922560001</v>
      </c>
      <c r="AM202" s="1">
        <v>0</v>
      </c>
      <c r="AN202" s="1">
        <v>0</v>
      </c>
      <c r="AO202" s="1">
        <v>4533.7197602200004</v>
      </c>
      <c r="AP202" s="1">
        <v>26.549485851</v>
      </c>
      <c r="AQ202" s="1">
        <v>0</v>
      </c>
      <c r="AR202" s="1">
        <v>0</v>
      </c>
      <c r="AS202" s="1">
        <v>0</v>
      </c>
      <c r="AT202" s="1">
        <v>6045.5</v>
      </c>
      <c r="AU202" s="1">
        <v>0</v>
      </c>
      <c r="AV202" s="1">
        <v>0</v>
      </c>
      <c r="AW202" s="1">
        <v>0</v>
      </c>
      <c r="AX202" s="1">
        <v>0</v>
      </c>
      <c r="AY202" s="1">
        <v>0</v>
      </c>
      <c r="AZ202" s="1">
        <v>0</v>
      </c>
      <c r="BA202" s="1">
        <v>0</v>
      </c>
      <c r="BB202" s="1">
        <v>0</v>
      </c>
      <c r="BC202" s="1">
        <v>1574.115910304</v>
      </c>
      <c r="BD202" s="1">
        <v>0</v>
      </c>
      <c r="BE202" s="1">
        <v>2890.951978481</v>
      </c>
      <c r="BF202" s="1">
        <v>4001.6037634300001</v>
      </c>
      <c r="BG202" s="1">
        <v>1184.8497310089999</v>
      </c>
      <c r="BH202" s="1">
        <v>774.26614733999997</v>
      </c>
      <c r="BI202" s="1">
        <v>455.75081541499998</v>
      </c>
      <c r="BJ202" s="1">
        <v>1889.4708329350001</v>
      </c>
      <c r="BK202" s="1">
        <v>0</v>
      </c>
      <c r="BL202" s="1">
        <v>0</v>
      </c>
      <c r="BM202" s="1">
        <v>1651.7814328679999</v>
      </c>
      <c r="BN202" s="1">
        <v>3.0307164719999999</v>
      </c>
      <c r="BO202" s="1">
        <v>12383.367572863001</v>
      </c>
      <c r="BP202" s="1">
        <v>0</v>
      </c>
      <c r="BQ202" s="1">
        <v>0</v>
      </c>
      <c r="BR202" s="1">
        <v>0</v>
      </c>
      <c r="BS202" s="1">
        <v>28500</v>
      </c>
      <c r="BT202" s="1">
        <v>0</v>
      </c>
      <c r="BU202" s="1">
        <v>0</v>
      </c>
      <c r="BV202" s="1">
        <v>0</v>
      </c>
      <c r="BW202" s="1">
        <v>0</v>
      </c>
      <c r="BX202" s="1">
        <v>0</v>
      </c>
      <c r="BY202" s="1">
        <v>0</v>
      </c>
      <c r="BZ202" s="1">
        <v>0</v>
      </c>
      <c r="CA202" s="1">
        <v>0</v>
      </c>
      <c r="CB202" s="1">
        <v>28500</v>
      </c>
    </row>
    <row r="203" spans="2:80">
      <c r="B203">
        <v>201</v>
      </c>
      <c r="C203" s="1" t="s">
        <v>20</v>
      </c>
      <c r="D203" s="1" t="s">
        <v>19</v>
      </c>
      <c r="E203" s="1" t="s">
        <v>185</v>
      </c>
      <c r="F203" s="1" t="s">
        <v>255</v>
      </c>
      <c r="G203" s="1">
        <v>1167990</v>
      </c>
      <c r="H203" s="1">
        <v>14789094</v>
      </c>
      <c r="I203" s="1">
        <v>315037.84000000003</v>
      </c>
      <c r="J203" s="1">
        <v>174922.89</v>
      </c>
      <c r="K203" s="1">
        <v>55527.85</v>
      </c>
      <c r="L203" s="1">
        <v>186240.67</v>
      </c>
      <c r="M203" s="1">
        <v>0</v>
      </c>
      <c r="N203" s="1">
        <v>-1919.807</v>
      </c>
      <c r="O203" s="1">
        <v>-1105.069</v>
      </c>
      <c r="P203" s="1">
        <v>0</v>
      </c>
      <c r="Q203" s="1">
        <v>-1368.5840000000001</v>
      </c>
      <c r="R203" s="1">
        <v>-2635.7860000000001</v>
      </c>
      <c r="S203" s="1">
        <v>-6090.3630000000003</v>
      </c>
      <c r="T203" s="1">
        <v>944.85199999999998</v>
      </c>
      <c r="U203" s="1">
        <v>536.35500000000002</v>
      </c>
      <c r="V203" s="1">
        <v>1614.4349999999999</v>
      </c>
      <c r="W203" s="1">
        <v>2288.1080000000002</v>
      </c>
      <c r="X203" s="1">
        <v>0</v>
      </c>
      <c r="Y203" s="1">
        <v>-7735.8580000000002</v>
      </c>
      <c r="Z203" s="1">
        <v>-26202.66</v>
      </c>
      <c r="AA203" s="1">
        <v>14698</v>
      </c>
      <c r="AB203" s="1">
        <v>21</v>
      </c>
      <c r="AC203" s="1">
        <v>2061663</v>
      </c>
      <c r="AD203" s="1">
        <v>68651</v>
      </c>
      <c r="AE203" s="1">
        <v>7386.8492162430002</v>
      </c>
      <c r="AF203" s="1">
        <v>0</v>
      </c>
      <c r="AG203" s="1">
        <v>10979.398406116001</v>
      </c>
      <c r="AH203" s="1">
        <v>8621.3815369849999</v>
      </c>
      <c r="AI203" s="1">
        <v>3897.9177652100002</v>
      </c>
      <c r="AJ203" s="1">
        <v>101.20476975700001</v>
      </c>
      <c r="AK203" s="1">
        <v>3436.9382812869999</v>
      </c>
      <c r="AL203" s="1">
        <v>6121.1394236860006</v>
      </c>
      <c r="AM203" s="1">
        <v>0</v>
      </c>
      <c r="AN203" s="1">
        <v>0</v>
      </c>
      <c r="AO203" s="1">
        <v>4533.7197602200004</v>
      </c>
      <c r="AP203" s="1">
        <v>26.549485851</v>
      </c>
      <c r="AQ203" s="1">
        <v>0</v>
      </c>
      <c r="AR203" s="1">
        <v>0</v>
      </c>
      <c r="AS203" s="1">
        <v>0</v>
      </c>
      <c r="AT203" s="1">
        <v>7810.1</v>
      </c>
      <c r="AU203" s="1">
        <v>0</v>
      </c>
      <c r="AV203" s="1">
        <v>0</v>
      </c>
      <c r="AW203" s="1">
        <v>0</v>
      </c>
      <c r="AX203" s="1">
        <v>0</v>
      </c>
      <c r="AY203" s="1">
        <v>0</v>
      </c>
      <c r="AZ203" s="1">
        <v>0</v>
      </c>
      <c r="BA203" s="1">
        <v>0</v>
      </c>
      <c r="BB203" s="1">
        <v>0</v>
      </c>
      <c r="BC203" s="1">
        <v>2048.9008538319999</v>
      </c>
      <c r="BD203" s="1">
        <v>0</v>
      </c>
      <c r="BE203" s="1">
        <v>2890.951978481</v>
      </c>
      <c r="BF203" s="1">
        <v>4001.5593948330002</v>
      </c>
      <c r="BG203" s="1">
        <v>1448.7677978409999</v>
      </c>
      <c r="BH203" s="1">
        <v>869.28320429999997</v>
      </c>
      <c r="BI203" s="1">
        <v>469.18426139899998</v>
      </c>
      <c r="BJ203" s="1">
        <v>1901.416224435</v>
      </c>
      <c r="BK203" s="1">
        <v>0</v>
      </c>
      <c r="BL203" s="1">
        <v>0</v>
      </c>
      <c r="BM203" s="1">
        <v>1651.7814328679999</v>
      </c>
      <c r="BN203" s="1">
        <v>3.0307164719999999</v>
      </c>
      <c r="BO203" s="1">
        <v>12846.698592426999</v>
      </c>
      <c r="BP203" s="1">
        <v>0</v>
      </c>
      <c r="BQ203" s="1">
        <v>0</v>
      </c>
      <c r="BR203" s="1">
        <v>0</v>
      </c>
      <c r="BS203" s="1">
        <v>32289.999999999996</v>
      </c>
      <c r="BT203" s="1">
        <v>0</v>
      </c>
      <c r="BU203" s="1">
        <v>0</v>
      </c>
      <c r="BV203" s="1">
        <v>0</v>
      </c>
      <c r="BW203" s="1">
        <v>0</v>
      </c>
      <c r="BX203" s="1">
        <v>0</v>
      </c>
      <c r="BY203" s="1">
        <v>0</v>
      </c>
      <c r="BZ203" s="1">
        <v>0</v>
      </c>
      <c r="CA203" s="1">
        <v>0</v>
      </c>
      <c r="CB203" s="1">
        <v>32289.999999999996</v>
      </c>
    </row>
    <row r="204" spans="2:80">
      <c r="B204">
        <v>202</v>
      </c>
      <c r="C204" s="1" t="s">
        <v>20</v>
      </c>
      <c r="D204" s="1" t="s">
        <v>19</v>
      </c>
      <c r="E204" s="1" t="s">
        <v>187</v>
      </c>
      <c r="F204" s="1" t="s">
        <v>190</v>
      </c>
      <c r="G204" s="1">
        <v>1167990</v>
      </c>
      <c r="H204" s="1">
        <v>14789094</v>
      </c>
      <c r="I204" s="1">
        <v>315037.84000000003</v>
      </c>
      <c r="J204" s="1">
        <v>174922.89</v>
      </c>
      <c r="K204" s="1">
        <v>55527.85</v>
      </c>
      <c r="L204" s="1">
        <v>186240.67</v>
      </c>
      <c r="M204" s="1">
        <v>0</v>
      </c>
      <c r="N204" s="1">
        <v>-1919.807</v>
      </c>
      <c r="O204" s="1">
        <v>-1105.069</v>
      </c>
      <c r="P204" s="1">
        <v>0</v>
      </c>
      <c r="Q204" s="1">
        <v>-1368.5840000000001</v>
      </c>
      <c r="R204" s="1">
        <v>-2635.7860000000001</v>
      </c>
      <c r="S204" s="1">
        <v>-6090.3630000000003</v>
      </c>
      <c r="T204" s="1">
        <v>944.85199999999998</v>
      </c>
      <c r="U204" s="1">
        <v>536.35500000000002</v>
      </c>
      <c r="V204" s="1">
        <v>1614.4349999999999</v>
      </c>
      <c r="W204" s="1">
        <v>2288.1080000000002</v>
      </c>
      <c r="X204" s="1">
        <v>0</v>
      </c>
      <c r="Y204" s="1">
        <v>-7735.8580000000002</v>
      </c>
      <c r="Z204" s="1">
        <v>-14620.1</v>
      </c>
      <c r="AA204" s="1">
        <v>14425</v>
      </c>
      <c r="AB204" s="1">
        <v>0</v>
      </c>
      <c r="AC204" s="1">
        <v>1919802</v>
      </c>
      <c r="AD204" s="1">
        <v>49715</v>
      </c>
      <c r="AE204" s="1">
        <v>7386.8492162430002</v>
      </c>
      <c r="AF204" s="1">
        <v>0</v>
      </c>
      <c r="AG204" s="1">
        <v>10979.398406116001</v>
      </c>
      <c r="AH204" s="1">
        <v>4356.9518568029998</v>
      </c>
      <c r="AI204" s="1">
        <v>3956.3443815210003</v>
      </c>
      <c r="AJ204" s="1">
        <v>69.361768987000005</v>
      </c>
      <c r="AK204" s="1">
        <v>3620.8290510070001</v>
      </c>
      <c r="AL204" s="1">
        <v>7071.446512046</v>
      </c>
      <c r="AM204" s="1">
        <v>0</v>
      </c>
      <c r="AN204" s="1">
        <v>0</v>
      </c>
      <c r="AO204" s="1">
        <v>4533.7197602200004</v>
      </c>
      <c r="AP204" s="1">
        <v>26.549485851</v>
      </c>
      <c r="AQ204" s="1">
        <v>0</v>
      </c>
      <c r="AR204" s="1">
        <v>0</v>
      </c>
      <c r="AS204" s="1">
        <v>0</v>
      </c>
      <c r="AT204" s="1">
        <v>5655.8</v>
      </c>
      <c r="AU204" s="1">
        <v>0</v>
      </c>
      <c r="AV204" s="1">
        <v>0</v>
      </c>
      <c r="AW204" s="1">
        <v>0</v>
      </c>
      <c r="AX204" s="1">
        <v>0</v>
      </c>
      <c r="AY204" s="1">
        <v>0</v>
      </c>
      <c r="AZ204" s="1">
        <v>0</v>
      </c>
      <c r="BA204" s="1">
        <v>0</v>
      </c>
      <c r="BB204" s="1">
        <v>0</v>
      </c>
      <c r="BC204" s="1">
        <v>2048.9008538319999</v>
      </c>
      <c r="BD204" s="1">
        <v>0</v>
      </c>
      <c r="BE204" s="1">
        <v>2890.951978481</v>
      </c>
      <c r="BF204" s="1">
        <v>4001.5798726469998</v>
      </c>
      <c r="BG204" s="1">
        <v>1273.365082024</v>
      </c>
      <c r="BH204" s="1">
        <v>807.06819239899994</v>
      </c>
      <c r="BI204" s="1">
        <v>460.46071263499994</v>
      </c>
      <c r="BJ204" s="1">
        <v>1988.6414731679999</v>
      </c>
      <c r="BK204" s="1">
        <v>0</v>
      </c>
      <c r="BL204" s="1">
        <v>0</v>
      </c>
      <c r="BM204" s="1">
        <v>1651.7814328679999</v>
      </c>
      <c r="BN204" s="1">
        <v>3.0307164719999999</v>
      </c>
      <c r="BO204" s="1">
        <v>12674.087685252</v>
      </c>
      <c r="BP204" s="1">
        <v>0</v>
      </c>
      <c r="BQ204" s="1">
        <v>0</v>
      </c>
      <c r="BR204" s="1">
        <v>0</v>
      </c>
      <c r="BS204" s="1">
        <v>27089.999999999996</v>
      </c>
      <c r="BT204" s="1">
        <v>0</v>
      </c>
      <c r="BU204" s="1">
        <v>0</v>
      </c>
      <c r="BV204" s="1">
        <v>0</v>
      </c>
      <c r="BW204" s="1">
        <v>0</v>
      </c>
      <c r="BX204" s="1">
        <v>0</v>
      </c>
      <c r="BY204" s="1">
        <v>0</v>
      </c>
      <c r="BZ204" s="1">
        <v>0</v>
      </c>
      <c r="CA204" s="1">
        <v>0</v>
      </c>
      <c r="CB204" s="1">
        <v>27089.999999999996</v>
      </c>
    </row>
    <row r="205" spans="2:80">
      <c r="B205">
        <v>203</v>
      </c>
      <c r="C205" s="1" t="s">
        <v>20</v>
      </c>
      <c r="D205" s="1" t="s">
        <v>19</v>
      </c>
      <c r="E205" s="1" t="s">
        <v>189</v>
      </c>
      <c r="F205" s="1" t="s">
        <v>192</v>
      </c>
      <c r="G205" s="1">
        <v>1167990</v>
      </c>
      <c r="H205" s="1">
        <v>14789094</v>
      </c>
      <c r="I205" s="1">
        <v>315037.84000000003</v>
      </c>
      <c r="J205" s="1">
        <v>174922.89</v>
      </c>
      <c r="K205" s="1">
        <v>55527.85</v>
      </c>
      <c r="L205" s="1">
        <v>186240.67</v>
      </c>
      <c r="M205" s="1">
        <v>0</v>
      </c>
      <c r="N205" s="1">
        <v>-1980.672</v>
      </c>
      <c r="O205" s="1">
        <v>-1108.2760000000001</v>
      </c>
      <c r="P205" s="1">
        <v>0</v>
      </c>
      <c r="Q205" s="1">
        <v>-1368.5840000000001</v>
      </c>
      <c r="R205" s="1">
        <v>-2743.4720000000002</v>
      </c>
      <c r="S205" s="1">
        <v>-6354.567</v>
      </c>
      <c r="T205" s="1">
        <v>999.91899999999998</v>
      </c>
      <c r="U205" s="1">
        <v>592.93600000000004</v>
      </c>
      <c r="V205" s="1">
        <v>1407.0509999999999</v>
      </c>
      <c r="W205" s="1">
        <v>2487.569</v>
      </c>
      <c r="X205" s="1">
        <v>0</v>
      </c>
      <c r="Y205" s="1">
        <v>-8068.0969999999998</v>
      </c>
      <c r="Z205" s="1">
        <v>-27090.081999999999</v>
      </c>
      <c r="AA205" s="1">
        <v>14777</v>
      </c>
      <c r="AB205" s="1">
        <v>5</v>
      </c>
      <c r="AC205" s="1">
        <v>1993742</v>
      </c>
      <c r="AD205" s="1">
        <v>69361</v>
      </c>
      <c r="AE205" s="1">
        <v>5731.5626642120005</v>
      </c>
      <c r="AF205" s="1">
        <v>0</v>
      </c>
      <c r="AG205" s="1">
        <v>10979.398406116001</v>
      </c>
      <c r="AH205" s="1">
        <v>8946.9753666159995</v>
      </c>
      <c r="AI205" s="1">
        <v>3819.2351778840002</v>
      </c>
      <c r="AJ205" s="1">
        <v>90.856647749000004</v>
      </c>
      <c r="AK205" s="1">
        <v>3428.6413536479999</v>
      </c>
      <c r="AL205" s="1">
        <v>6062.1189507690005</v>
      </c>
      <c r="AM205" s="1">
        <v>0</v>
      </c>
      <c r="AN205" s="1">
        <v>0</v>
      </c>
      <c r="AO205" s="1">
        <v>4533.7197602200004</v>
      </c>
      <c r="AP205" s="1">
        <v>26.549485851</v>
      </c>
      <c r="AQ205" s="1">
        <v>0</v>
      </c>
      <c r="AR205" s="1">
        <v>0</v>
      </c>
      <c r="AS205" s="1">
        <v>0</v>
      </c>
      <c r="AT205" s="1">
        <v>7890.9</v>
      </c>
      <c r="AU205" s="1">
        <v>0</v>
      </c>
      <c r="AV205" s="1">
        <v>0</v>
      </c>
      <c r="AW205" s="1">
        <v>0</v>
      </c>
      <c r="AX205" s="1">
        <v>0</v>
      </c>
      <c r="AY205" s="1">
        <v>0</v>
      </c>
      <c r="AZ205" s="1">
        <v>0</v>
      </c>
      <c r="BA205" s="1">
        <v>0</v>
      </c>
      <c r="BB205" s="1">
        <v>0</v>
      </c>
      <c r="BC205" s="1">
        <v>1574.115910304</v>
      </c>
      <c r="BD205" s="1">
        <v>0</v>
      </c>
      <c r="BE205" s="1">
        <v>2890.951978481</v>
      </c>
      <c r="BF205" s="1">
        <v>4001.4570057629994</v>
      </c>
      <c r="BG205" s="1">
        <v>1445.375306655</v>
      </c>
      <c r="BH205" s="1">
        <v>870.80538847399998</v>
      </c>
      <c r="BI205" s="1">
        <v>476.98972150200001</v>
      </c>
      <c r="BJ205" s="1">
        <v>1781.3479750149997</v>
      </c>
      <c r="BK205" s="1">
        <v>0</v>
      </c>
      <c r="BL205" s="1">
        <v>0</v>
      </c>
      <c r="BM205" s="1">
        <v>1651.7814328679999</v>
      </c>
      <c r="BN205" s="1">
        <v>3.0307164719999999</v>
      </c>
      <c r="BO205" s="1">
        <v>12342.568941436999</v>
      </c>
      <c r="BP205" s="1">
        <v>0</v>
      </c>
      <c r="BQ205" s="1">
        <v>0</v>
      </c>
      <c r="BR205" s="1">
        <v>0</v>
      </c>
      <c r="BS205" s="1">
        <v>32289.999999999996</v>
      </c>
      <c r="BT205" s="1">
        <v>0</v>
      </c>
      <c r="BU205" s="1">
        <v>0</v>
      </c>
      <c r="BV205" s="1">
        <v>0</v>
      </c>
      <c r="BW205" s="1">
        <v>0</v>
      </c>
      <c r="BX205" s="1">
        <v>0</v>
      </c>
      <c r="BY205" s="1">
        <v>0</v>
      </c>
      <c r="BZ205" s="1">
        <v>0</v>
      </c>
      <c r="CA205" s="1">
        <v>0</v>
      </c>
      <c r="CB205" s="1">
        <v>32289.999999999996</v>
      </c>
    </row>
    <row r="206" spans="2:80">
      <c r="B206">
        <v>204</v>
      </c>
      <c r="C206" s="1" t="s">
        <v>20</v>
      </c>
      <c r="D206" s="1" t="s">
        <v>19</v>
      </c>
      <c r="E206" s="1" t="s">
        <v>191</v>
      </c>
      <c r="F206" s="1" t="s">
        <v>194</v>
      </c>
      <c r="G206" s="1">
        <v>1167990</v>
      </c>
      <c r="H206" s="1">
        <v>14789094</v>
      </c>
      <c r="I206" s="1">
        <v>315037.84000000003</v>
      </c>
      <c r="J206" s="1">
        <v>174922.89</v>
      </c>
      <c r="K206" s="1">
        <v>55527.85</v>
      </c>
      <c r="L206" s="1">
        <v>186240.67</v>
      </c>
      <c r="M206" s="1">
        <v>0</v>
      </c>
      <c r="N206" s="1">
        <v>-1980.672</v>
      </c>
      <c r="O206" s="1">
        <v>-1108.2760000000001</v>
      </c>
      <c r="P206" s="1">
        <v>0</v>
      </c>
      <c r="Q206" s="1">
        <v>-1368.5840000000001</v>
      </c>
      <c r="R206" s="1">
        <v>-2743.4720000000002</v>
      </c>
      <c r="S206" s="1">
        <v>-6354.567</v>
      </c>
      <c r="T206" s="1">
        <v>999.91899999999998</v>
      </c>
      <c r="U206" s="1">
        <v>592.93600000000004</v>
      </c>
      <c r="V206" s="1">
        <v>1407.0509999999999</v>
      </c>
      <c r="W206" s="1">
        <v>2487.569</v>
      </c>
      <c r="X206" s="1">
        <v>0</v>
      </c>
      <c r="Y206" s="1">
        <v>-8068.0969999999998</v>
      </c>
      <c r="Z206" s="1">
        <v>-15532.794</v>
      </c>
      <c r="AA206" s="1">
        <v>14505</v>
      </c>
      <c r="AB206" s="1">
        <v>0</v>
      </c>
      <c r="AC206" s="1">
        <v>1852916</v>
      </c>
      <c r="AD206" s="1">
        <v>50410</v>
      </c>
      <c r="AE206" s="1">
        <v>5731.5626642120005</v>
      </c>
      <c r="AF206" s="1">
        <v>0</v>
      </c>
      <c r="AG206" s="1">
        <v>10979.398406116001</v>
      </c>
      <c r="AH206" s="1">
        <v>4700.3886883659998</v>
      </c>
      <c r="AI206" s="1">
        <v>3880.2829543870002</v>
      </c>
      <c r="AJ206" s="1">
        <v>59.406138414000004</v>
      </c>
      <c r="AK206" s="1">
        <v>3612.2317820960002</v>
      </c>
      <c r="AL206" s="1">
        <v>7014.5284280329997</v>
      </c>
      <c r="AM206" s="1">
        <v>0</v>
      </c>
      <c r="AN206" s="1">
        <v>0</v>
      </c>
      <c r="AO206" s="1">
        <v>4533.7197602200004</v>
      </c>
      <c r="AP206" s="1">
        <v>26.549485851</v>
      </c>
      <c r="AQ206" s="1">
        <v>0</v>
      </c>
      <c r="AR206" s="1">
        <v>0</v>
      </c>
      <c r="AS206" s="1">
        <v>0</v>
      </c>
      <c r="AT206" s="1">
        <v>5734.9</v>
      </c>
      <c r="AU206" s="1">
        <v>0</v>
      </c>
      <c r="AV206" s="1">
        <v>0</v>
      </c>
      <c r="AW206" s="1">
        <v>0</v>
      </c>
      <c r="AX206" s="1">
        <v>0</v>
      </c>
      <c r="AY206" s="1">
        <v>0</v>
      </c>
      <c r="AZ206" s="1">
        <v>0</v>
      </c>
      <c r="BA206" s="1">
        <v>0</v>
      </c>
      <c r="BB206" s="1">
        <v>0</v>
      </c>
      <c r="BC206" s="1">
        <v>1574.115910304</v>
      </c>
      <c r="BD206" s="1">
        <v>0</v>
      </c>
      <c r="BE206" s="1">
        <v>2890.951978481</v>
      </c>
      <c r="BF206" s="1">
        <v>4001.6071763989999</v>
      </c>
      <c r="BG206" s="1">
        <v>1201.129593139</v>
      </c>
      <c r="BH206" s="1">
        <v>761.79174564499999</v>
      </c>
      <c r="BI206" s="1">
        <v>456.04433074900004</v>
      </c>
      <c r="BJ206" s="1">
        <v>1919.2012058939999</v>
      </c>
      <c r="BK206" s="1">
        <v>0</v>
      </c>
      <c r="BL206" s="1">
        <v>0</v>
      </c>
      <c r="BM206" s="1">
        <v>1651.7814328679999</v>
      </c>
      <c r="BN206" s="1">
        <v>3.0307164719999999</v>
      </c>
      <c r="BO206" s="1">
        <v>12357.824912867</v>
      </c>
      <c r="BP206" s="1">
        <v>0</v>
      </c>
      <c r="BQ206" s="1">
        <v>0</v>
      </c>
      <c r="BR206" s="1">
        <v>0</v>
      </c>
      <c r="BS206" s="1">
        <v>27360.000000000004</v>
      </c>
      <c r="BT206" s="1">
        <v>0</v>
      </c>
      <c r="BU206" s="1">
        <v>0</v>
      </c>
      <c r="BV206" s="1">
        <v>0</v>
      </c>
      <c r="BW206" s="1">
        <v>0</v>
      </c>
      <c r="BX206" s="1">
        <v>0</v>
      </c>
      <c r="BY206" s="1">
        <v>0</v>
      </c>
      <c r="BZ206" s="1">
        <v>0</v>
      </c>
      <c r="CA206" s="1">
        <v>0</v>
      </c>
      <c r="CB206" s="1">
        <v>27360.000000000004</v>
      </c>
    </row>
    <row r="207" spans="2:80">
      <c r="B207">
        <v>205</v>
      </c>
      <c r="C207" s="1" t="s">
        <v>20</v>
      </c>
      <c r="D207" s="1" t="s">
        <v>19</v>
      </c>
      <c r="E207" s="1" t="s">
        <v>193</v>
      </c>
      <c r="F207" s="1" t="s">
        <v>256</v>
      </c>
      <c r="G207" s="1">
        <v>1167990</v>
      </c>
      <c r="H207" s="1">
        <v>14789094</v>
      </c>
      <c r="I207" s="1">
        <v>315037.84000000003</v>
      </c>
      <c r="J207" s="1">
        <v>174922.89</v>
      </c>
      <c r="K207" s="1">
        <v>55527.85</v>
      </c>
      <c r="L207" s="1">
        <v>186240.67</v>
      </c>
      <c r="M207" s="1">
        <v>0</v>
      </c>
      <c r="N207" s="1">
        <v>-1890.9670000000001</v>
      </c>
      <c r="O207" s="1">
        <v>-1101.0329999999999</v>
      </c>
      <c r="P207" s="1">
        <v>0</v>
      </c>
      <c r="Q207" s="1">
        <v>-1368.5840000000001</v>
      </c>
      <c r="R207" s="1">
        <v>-2175.5140000000001</v>
      </c>
      <c r="S207" s="1">
        <v>-5960.7030000000004</v>
      </c>
      <c r="T207" s="1">
        <v>915.14400000000001</v>
      </c>
      <c r="U207" s="1">
        <v>509.03399999999999</v>
      </c>
      <c r="V207" s="1">
        <v>1549.085</v>
      </c>
      <c r="W207" s="1">
        <v>2194.663</v>
      </c>
      <c r="X207" s="1">
        <v>0</v>
      </c>
      <c r="Y207" s="1">
        <v>-7328.8739999999998</v>
      </c>
      <c r="Z207" s="1">
        <v>-25532.384999999998</v>
      </c>
      <c r="AA207" s="1">
        <v>14329</v>
      </c>
      <c r="AB207" s="1">
        <v>19</v>
      </c>
      <c r="AC207" s="1">
        <v>2050990</v>
      </c>
      <c r="AD207" s="1">
        <v>67645</v>
      </c>
      <c r="AE207" s="1">
        <v>7386.8492162430002</v>
      </c>
      <c r="AF207" s="1">
        <v>0</v>
      </c>
      <c r="AG207" s="1">
        <v>10979.398406116001</v>
      </c>
      <c r="AH207" s="1">
        <v>8381.091454540001</v>
      </c>
      <c r="AI207" s="1">
        <v>3896.4740793230003</v>
      </c>
      <c r="AJ207" s="1">
        <v>102.440264535</v>
      </c>
      <c r="AK207" s="1">
        <v>3436.0748001299999</v>
      </c>
      <c r="AL207" s="1">
        <v>6128.9687745720003</v>
      </c>
      <c r="AM207" s="1">
        <v>0</v>
      </c>
      <c r="AN207" s="1">
        <v>0</v>
      </c>
      <c r="AO207" s="1">
        <v>4533.7197602200004</v>
      </c>
      <c r="AP207" s="1">
        <v>26.549485851</v>
      </c>
      <c r="AQ207" s="1">
        <v>0</v>
      </c>
      <c r="AR207" s="1">
        <v>0</v>
      </c>
      <c r="AS207" s="1">
        <v>0</v>
      </c>
      <c r="AT207" s="1">
        <v>7695.7</v>
      </c>
      <c r="AU207" s="1">
        <v>0</v>
      </c>
      <c r="AV207" s="1">
        <v>0</v>
      </c>
      <c r="AW207" s="1">
        <v>0</v>
      </c>
      <c r="AX207" s="1">
        <v>0</v>
      </c>
      <c r="AY207" s="1">
        <v>0</v>
      </c>
      <c r="AZ207" s="1">
        <v>0</v>
      </c>
      <c r="BA207" s="1">
        <v>0</v>
      </c>
      <c r="BB207" s="1">
        <v>0</v>
      </c>
      <c r="BC207" s="1">
        <v>2048.9008538319999</v>
      </c>
      <c r="BD207" s="1">
        <v>0</v>
      </c>
      <c r="BE207" s="1">
        <v>2890.951978481</v>
      </c>
      <c r="BF207" s="1">
        <v>4001.6003504610003</v>
      </c>
      <c r="BG207" s="1">
        <v>1444.518651436</v>
      </c>
      <c r="BH207" s="1">
        <v>869.38559336999992</v>
      </c>
      <c r="BI207" s="1">
        <v>465.79177021300001</v>
      </c>
      <c r="BJ207" s="1">
        <v>1903.812128673</v>
      </c>
      <c r="BK207" s="1">
        <v>0</v>
      </c>
      <c r="BL207" s="1">
        <v>0</v>
      </c>
      <c r="BM207" s="1">
        <v>1651.7814328679999</v>
      </c>
      <c r="BN207" s="1">
        <v>3.0307164719999999</v>
      </c>
      <c r="BO207" s="1">
        <v>12845.565486719001</v>
      </c>
      <c r="BP207" s="1">
        <v>0</v>
      </c>
      <c r="BQ207" s="1">
        <v>0</v>
      </c>
      <c r="BR207" s="1">
        <v>0</v>
      </c>
      <c r="BS207" s="1">
        <v>32289.999999999996</v>
      </c>
      <c r="BT207" s="1">
        <v>0</v>
      </c>
      <c r="BU207" s="1">
        <v>0</v>
      </c>
      <c r="BV207" s="1">
        <v>0</v>
      </c>
      <c r="BW207" s="1">
        <v>0</v>
      </c>
      <c r="BX207" s="1">
        <v>0</v>
      </c>
      <c r="BY207" s="1">
        <v>0</v>
      </c>
      <c r="BZ207" s="1">
        <v>0</v>
      </c>
      <c r="CA207" s="1">
        <v>0</v>
      </c>
      <c r="CB207" s="1">
        <v>32289.999999999996</v>
      </c>
    </row>
    <row r="208" spans="2:80">
      <c r="B208">
        <v>206</v>
      </c>
      <c r="C208" s="1" t="s">
        <v>20</v>
      </c>
      <c r="D208" s="1" t="s">
        <v>19</v>
      </c>
      <c r="E208" s="1" t="s">
        <v>195</v>
      </c>
      <c r="F208" s="1" t="s">
        <v>257</v>
      </c>
      <c r="G208" s="1">
        <v>1167990</v>
      </c>
      <c r="H208" s="1">
        <v>14789094</v>
      </c>
      <c r="I208" s="1">
        <v>315037.84000000003</v>
      </c>
      <c r="J208" s="1">
        <v>174922.89</v>
      </c>
      <c r="K208" s="1">
        <v>55527.85</v>
      </c>
      <c r="L208" s="1">
        <v>186240.67</v>
      </c>
      <c r="M208" s="1">
        <v>0</v>
      </c>
      <c r="N208" s="1">
        <v>-1890.9670000000001</v>
      </c>
      <c r="O208" s="1">
        <v>-1101.0329999999999</v>
      </c>
      <c r="P208" s="1">
        <v>0</v>
      </c>
      <c r="Q208" s="1">
        <v>-1368.5840000000001</v>
      </c>
      <c r="R208" s="1">
        <v>-2175.5140000000001</v>
      </c>
      <c r="S208" s="1">
        <v>-5960.7030000000004</v>
      </c>
      <c r="T208" s="1">
        <v>915.14400000000001</v>
      </c>
      <c r="U208" s="1">
        <v>509.03399999999999</v>
      </c>
      <c r="V208" s="1">
        <v>1549.085</v>
      </c>
      <c r="W208" s="1">
        <v>2194.663</v>
      </c>
      <c r="X208" s="1">
        <v>0</v>
      </c>
      <c r="Y208" s="1">
        <v>-7328.8739999999998</v>
      </c>
      <c r="Z208" s="1">
        <v>-13890.587</v>
      </c>
      <c r="AA208" s="1">
        <v>14267</v>
      </c>
      <c r="AB208" s="1">
        <v>0</v>
      </c>
      <c r="AC208" s="1">
        <v>1907891</v>
      </c>
      <c r="AD208" s="1">
        <v>48822</v>
      </c>
      <c r="AE208" s="1">
        <v>7386.8492162430002</v>
      </c>
      <c r="AF208" s="1">
        <v>0</v>
      </c>
      <c r="AG208" s="1">
        <v>10979.398406116001</v>
      </c>
      <c r="AH208" s="1">
        <v>4083.5901047480002</v>
      </c>
      <c r="AI208" s="1">
        <v>3960.0372139790002</v>
      </c>
      <c r="AJ208" s="1">
        <v>70.375420779999999</v>
      </c>
      <c r="AK208" s="1">
        <v>3620.2249554939999</v>
      </c>
      <c r="AL208" s="1">
        <v>7080.1018014299998</v>
      </c>
      <c r="AM208" s="1">
        <v>0</v>
      </c>
      <c r="AN208" s="1">
        <v>0</v>
      </c>
      <c r="AO208" s="1">
        <v>4533.7197602200004</v>
      </c>
      <c r="AP208" s="1">
        <v>26.549485851</v>
      </c>
      <c r="AQ208" s="1">
        <v>0</v>
      </c>
      <c r="AR208" s="1">
        <v>0</v>
      </c>
      <c r="AS208" s="1">
        <v>0</v>
      </c>
      <c r="AT208" s="1">
        <v>5554.2</v>
      </c>
      <c r="AU208" s="1">
        <v>0</v>
      </c>
      <c r="AV208" s="1">
        <v>0</v>
      </c>
      <c r="AW208" s="1">
        <v>0</v>
      </c>
      <c r="AX208" s="1">
        <v>0</v>
      </c>
      <c r="AY208" s="1">
        <v>0</v>
      </c>
      <c r="AZ208" s="1">
        <v>0</v>
      </c>
      <c r="BA208" s="1">
        <v>0</v>
      </c>
      <c r="BB208" s="1">
        <v>0</v>
      </c>
      <c r="BC208" s="1">
        <v>2048.9008538319999</v>
      </c>
      <c r="BD208" s="1">
        <v>0</v>
      </c>
      <c r="BE208" s="1">
        <v>2890.951978481</v>
      </c>
      <c r="BF208" s="1">
        <v>4001.6037634300001</v>
      </c>
      <c r="BG208" s="1">
        <v>1260.928222988</v>
      </c>
      <c r="BH208" s="1">
        <v>771.16717148800001</v>
      </c>
      <c r="BI208" s="1">
        <v>459.38562739999998</v>
      </c>
      <c r="BJ208" s="1">
        <v>1997.6482983590001</v>
      </c>
      <c r="BK208" s="1">
        <v>0</v>
      </c>
      <c r="BL208" s="1">
        <v>0</v>
      </c>
      <c r="BM208" s="1">
        <v>1651.7814328679999</v>
      </c>
      <c r="BN208" s="1">
        <v>3.0307164719999999</v>
      </c>
      <c r="BO208" s="1">
        <v>12836.8590028</v>
      </c>
      <c r="BP208" s="1">
        <v>0</v>
      </c>
      <c r="BQ208" s="1">
        <v>0</v>
      </c>
      <c r="BR208" s="1">
        <v>0</v>
      </c>
      <c r="BS208" s="1">
        <v>26680</v>
      </c>
      <c r="BT208" s="1">
        <v>0</v>
      </c>
      <c r="BU208" s="1">
        <v>0</v>
      </c>
      <c r="BV208" s="1">
        <v>0</v>
      </c>
      <c r="BW208" s="1">
        <v>0</v>
      </c>
      <c r="BX208" s="1">
        <v>0</v>
      </c>
      <c r="BY208" s="1">
        <v>0</v>
      </c>
      <c r="BZ208" s="1">
        <v>0</v>
      </c>
      <c r="CA208" s="1">
        <v>0</v>
      </c>
      <c r="CB208" s="1">
        <v>26680</v>
      </c>
    </row>
    <row r="209" spans="1:80">
      <c r="B209">
        <v>207</v>
      </c>
      <c r="C209" s="1" t="s">
        <v>20</v>
      </c>
      <c r="D209" s="1" t="s">
        <v>19</v>
      </c>
      <c r="E209" s="1" t="s">
        <v>197</v>
      </c>
      <c r="F209" s="1" t="s">
        <v>258</v>
      </c>
      <c r="G209" s="1">
        <v>1167990</v>
      </c>
      <c r="H209" s="1">
        <v>14789094</v>
      </c>
      <c r="I209" s="1">
        <v>315037.84000000003</v>
      </c>
      <c r="J209" s="1">
        <v>174922.89</v>
      </c>
      <c r="K209" s="1">
        <v>55527.85</v>
      </c>
      <c r="L209" s="1">
        <v>186240.67</v>
      </c>
      <c r="M209" s="1">
        <v>0</v>
      </c>
      <c r="N209" s="1">
        <v>-1953.508</v>
      </c>
      <c r="O209" s="1">
        <v>-1104.2629999999999</v>
      </c>
      <c r="P209" s="1">
        <v>0</v>
      </c>
      <c r="Q209" s="1">
        <v>-1368.5840000000001</v>
      </c>
      <c r="R209" s="1">
        <v>-2267.42</v>
      </c>
      <c r="S209" s="1">
        <v>-6226.9889999999996</v>
      </c>
      <c r="T209" s="1">
        <v>968.36199999999997</v>
      </c>
      <c r="U209" s="1">
        <v>564.53899999999999</v>
      </c>
      <c r="V209" s="1">
        <v>1355.3579999999999</v>
      </c>
      <c r="W209" s="1">
        <v>2387.511</v>
      </c>
      <c r="X209" s="1">
        <v>0</v>
      </c>
      <c r="Y209" s="1">
        <v>-7644.9949999999999</v>
      </c>
      <c r="Z209" s="1">
        <v>-26356.328000000001</v>
      </c>
      <c r="AA209" s="1">
        <v>14470</v>
      </c>
      <c r="AB209" s="1">
        <v>5</v>
      </c>
      <c r="AC209" s="1">
        <v>1981592</v>
      </c>
      <c r="AD209" s="1">
        <v>68506</v>
      </c>
      <c r="AE209" s="1">
        <v>5731.5626642120005</v>
      </c>
      <c r="AF209" s="1">
        <v>0</v>
      </c>
      <c r="AG209" s="1">
        <v>10979.398406116001</v>
      </c>
      <c r="AH209" s="1">
        <v>8675.1494506109993</v>
      </c>
      <c r="AI209" s="1">
        <v>3817.13278898</v>
      </c>
      <c r="AJ209" s="1">
        <v>91.996579394999998</v>
      </c>
      <c r="AK209" s="1">
        <v>3427.876848592</v>
      </c>
      <c r="AL209" s="1">
        <v>6069.852738523</v>
      </c>
      <c r="AM209" s="1">
        <v>0</v>
      </c>
      <c r="AN209" s="1">
        <v>0</v>
      </c>
      <c r="AO209" s="1">
        <v>4533.7197602200004</v>
      </c>
      <c r="AP209" s="1">
        <v>26.549485851</v>
      </c>
      <c r="AQ209" s="1">
        <v>0</v>
      </c>
      <c r="AR209" s="1">
        <v>0</v>
      </c>
      <c r="AS209" s="1">
        <v>0</v>
      </c>
      <c r="AT209" s="1">
        <v>7793.6</v>
      </c>
      <c r="AU209" s="1">
        <v>0</v>
      </c>
      <c r="AV209" s="1">
        <v>0</v>
      </c>
      <c r="AW209" s="1">
        <v>0</v>
      </c>
      <c r="AX209" s="1">
        <v>0</v>
      </c>
      <c r="AY209" s="1">
        <v>0</v>
      </c>
      <c r="AZ209" s="1">
        <v>0</v>
      </c>
      <c r="BA209" s="1">
        <v>0</v>
      </c>
      <c r="BB209" s="1">
        <v>0</v>
      </c>
      <c r="BC209" s="1">
        <v>1574.115910304</v>
      </c>
      <c r="BD209" s="1">
        <v>0</v>
      </c>
      <c r="BE209" s="1">
        <v>2890.951978481</v>
      </c>
      <c r="BF209" s="1">
        <v>4001.5320910810001</v>
      </c>
      <c r="BG209" s="1">
        <v>1443.119334146</v>
      </c>
      <c r="BH209" s="1">
        <v>873.15351114600003</v>
      </c>
      <c r="BI209" s="1">
        <v>473.10234981100001</v>
      </c>
      <c r="BJ209" s="1">
        <v>1790.228520353</v>
      </c>
      <c r="BK209" s="1">
        <v>0</v>
      </c>
      <c r="BL209" s="1">
        <v>0</v>
      </c>
      <c r="BM209" s="1">
        <v>1651.7814328679999</v>
      </c>
      <c r="BN209" s="1">
        <v>3.0307164719999999</v>
      </c>
      <c r="BO209" s="1">
        <v>12367.879519541</v>
      </c>
      <c r="BP209" s="1">
        <v>0</v>
      </c>
      <c r="BQ209" s="1">
        <v>0</v>
      </c>
      <c r="BR209" s="1">
        <v>0</v>
      </c>
      <c r="BS209" s="1">
        <v>32289.999999999996</v>
      </c>
      <c r="BT209" s="1">
        <v>0</v>
      </c>
      <c r="BU209" s="1">
        <v>0</v>
      </c>
      <c r="BV209" s="1">
        <v>0</v>
      </c>
      <c r="BW209" s="1">
        <v>0</v>
      </c>
      <c r="BX209" s="1">
        <v>0</v>
      </c>
      <c r="BY209" s="1">
        <v>0</v>
      </c>
      <c r="BZ209" s="1">
        <v>0</v>
      </c>
      <c r="CA209" s="1">
        <v>0</v>
      </c>
      <c r="CB209" s="1">
        <v>32289.999999999996</v>
      </c>
    </row>
    <row r="210" spans="1:80">
      <c r="B210">
        <v>208</v>
      </c>
      <c r="C210" s="1" t="s">
        <v>20</v>
      </c>
      <c r="D210" s="1" t="s">
        <v>19</v>
      </c>
      <c r="E210" s="1" t="s">
        <v>199</v>
      </c>
      <c r="F210" s="1" t="s">
        <v>202</v>
      </c>
      <c r="G210" s="1">
        <v>1167990</v>
      </c>
      <c r="H210" s="1">
        <v>14789094</v>
      </c>
      <c r="I210" s="1">
        <v>315037.84000000003</v>
      </c>
      <c r="J210" s="1">
        <v>174922.89</v>
      </c>
      <c r="K210" s="1">
        <v>55527.85</v>
      </c>
      <c r="L210" s="1">
        <v>186240.67</v>
      </c>
      <c r="M210" s="1">
        <v>0</v>
      </c>
      <c r="N210" s="1">
        <v>-1953.508</v>
      </c>
      <c r="O210" s="1">
        <v>-1104.2629999999999</v>
      </c>
      <c r="P210" s="1">
        <v>0</v>
      </c>
      <c r="Q210" s="1">
        <v>-1368.5840000000001</v>
      </c>
      <c r="R210" s="1">
        <v>-2267.42</v>
      </c>
      <c r="S210" s="1">
        <v>-6226.9889999999996</v>
      </c>
      <c r="T210" s="1">
        <v>968.36199999999997</v>
      </c>
      <c r="U210" s="1">
        <v>564.53899999999999</v>
      </c>
      <c r="V210" s="1">
        <v>1355.3579999999999</v>
      </c>
      <c r="W210" s="1">
        <v>2387.511</v>
      </c>
      <c r="X210" s="1">
        <v>0</v>
      </c>
      <c r="Y210" s="1">
        <v>-7644.9949999999999</v>
      </c>
      <c r="Z210" s="1">
        <v>-14784.144</v>
      </c>
      <c r="AA210" s="1">
        <v>14341</v>
      </c>
      <c r="AB210" s="1">
        <v>0</v>
      </c>
      <c r="AC210" s="1">
        <v>1841026</v>
      </c>
      <c r="AD210" s="1">
        <v>49543</v>
      </c>
      <c r="AE210" s="1">
        <v>5731.5626642120005</v>
      </c>
      <c r="AF210" s="1">
        <v>0</v>
      </c>
      <c r="AG210" s="1">
        <v>10979.398406116001</v>
      </c>
      <c r="AH210" s="1">
        <v>4427.4603833740002</v>
      </c>
      <c r="AI210" s="1">
        <v>3884.0372202870003</v>
      </c>
      <c r="AJ210" s="1">
        <v>60.354943796000001</v>
      </c>
      <c r="AK210" s="1">
        <v>3611.6242736140002</v>
      </c>
      <c r="AL210" s="1">
        <v>7023.2314989830002</v>
      </c>
      <c r="AM210" s="1">
        <v>0</v>
      </c>
      <c r="AN210" s="1">
        <v>0</v>
      </c>
      <c r="AO210" s="1">
        <v>4533.7197602200004</v>
      </c>
      <c r="AP210" s="1">
        <v>26.549485851</v>
      </c>
      <c r="AQ210" s="1">
        <v>0</v>
      </c>
      <c r="AR210" s="1">
        <v>0</v>
      </c>
      <c r="AS210" s="1">
        <v>0</v>
      </c>
      <c r="AT210" s="1">
        <v>5636.3</v>
      </c>
      <c r="AU210" s="1">
        <v>0</v>
      </c>
      <c r="AV210" s="1">
        <v>0</v>
      </c>
      <c r="AW210" s="1">
        <v>0</v>
      </c>
      <c r="AX210" s="1">
        <v>0</v>
      </c>
      <c r="AY210" s="1">
        <v>0</v>
      </c>
      <c r="AZ210" s="1">
        <v>0</v>
      </c>
      <c r="BA210" s="1">
        <v>0</v>
      </c>
      <c r="BB210" s="1">
        <v>0</v>
      </c>
      <c r="BC210" s="1">
        <v>1574.115910304</v>
      </c>
      <c r="BD210" s="1">
        <v>0</v>
      </c>
      <c r="BE210" s="1">
        <v>2890.951978481</v>
      </c>
      <c r="BF210" s="1">
        <v>4001.6003504610003</v>
      </c>
      <c r="BG210" s="1">
        <v>1189.9623585709999</v>
      </c>
      <c r="BH210" s="1">
        <v>771.89072091599996</v>
      </c>
      <c r="BI210" s="1">
        <v>455.020440049</v>
      </c>
      <c r="BJ210" s="1">
        <v>1927.767758084</v>
      </c>
      <c r="BK210" s="1">
        <v>0</v>
      </c>
      <c r="BL210" s="1">
        <v>0</v>
      </c>
      <c r="BM210" s="1">
        <v>1651.7814328679999</v>
      </c>
      <c r="BN210" s="1">
        <v>3.0307164719999999</v>
      </c>
      <c r="BO210" s="1">
        <v>12239.968267359</v>
      </c>
      <c r="BP210" s="1">
        <v>0</v>
      </c>
      <c r="BQ210" s="1">
        <v>0</v>
      </c>
      <c r="BR210" s="1">
        <v>0</v>
      </c>
      <c r="BS210" s="1">
        <v>26910.000000000004</v>
      </c>
      <c r="BT210" s="1">
        <v>0</v>
      </c>
      <c r="BU210" s="1">
        <v>0</v>
      </c>
      <c r="BV210" s="1">
        <v>0</v>
      </c>
      <c r="BW210" s="1">
        <v>0</v>
      </c>
      <c r="BX210" s="1">
        <v>0</v>
      </c>
      <c r="BY210" s="1">
        <v>0</v>
      </c>
      <c r="BZ210" s="1">
        <v>0</v>
      </c>
      <c r="CA210" s="1">
        <v>0</v>
      </c>
      <c r="CB210" s="1">
        <v>26910.000000000004</v>
      </c>
    </row>
    <row r="211" spans="1:80">
      <c r="B211">
        <v>209</v>
      </c>
      <c r="C211" s="1" t="s">
        <v>20</v>
      </c>
      <c r="D211" s="1" t="s">
        <v>19</v>
      </c>
      <c r="E211" s="1" t="s">
        <v>201</v>
      </c>
      <c r="F211" s="1" t="s">
        <v>204</v>
      </c>
      <c r="G211" s="1">
        <v>1167990</v>
      </c>
      <c r="H211" s="1">
        <v>14789094</v>
      </c>
      <c r="I211" s="1">
        <v>315037.84000000003</v>
      </c>
      <c r="J211" s="1">
        <v>174922.89</v>
      </c>
      <c r="K211" s="1">
        <v>55527.85</v>
      </c>
      <c r="L211" s="1">
        <v>186240.67</v>
      </c>
      <c r="M211" s="1">
        <v>0</v>
      </c>
      <c r="N211" s="1">
        <v>-1837.453</v>
      </c>
      <c r="O211" s="1">
        <v>-1102.529</v>
      </c>
      <c r="P211" s="1">
        <v>0</v>
      </c>
      <c r="Q211" s="1">
        <v>-1368.5840000000001</v>
      </c>
      <c r="R211" s="1">
        <v>-2471.0369999999998</v>
      </c>
      <c r="S211" s="1">
        <v>-4668.9030000000002</v>
      </c>
      <c r="T211" s="1">
        <v>834.55600000000004</v>
      </c>
      <c r="U211" s="1">
        <v>468.01400000000001</v>
      </c>
      <c r="V211" s="1">
        <v>1436.3689999999999</v>
      </c>
      <c r="W211" s="1">
        <v>2024.2159999999999</v>
      </c>
      <c r="X211" s="1">
        <v>0</v>
      </c>
      <c r="Y211" s="1">
        <v>-6685.35</v>
      </c>
      <c r="Z211" s="1">
        <v>-24818.328000000001</v>
      </c>
      <c r="AA211" s="1">
        <v>14298</v>
      </c>
      <c r="AB211" s="1">
        <v>24</v>
      </c>
      <c r="AC211" s="1">
        <v>2040044</v>
      </c>
      <c r="AD211" s="1">
        <v>66850</v>
      </c>
      <c r="AE211" s="1">
        <v>7386.8492162430002</v>
      </c>
      <c r="AF211" s="1">
        <v>0</v>
      </c>
      <c r="AG211" s="1">
        <v>10979.398406116001</v>
      </c>
      <c r="AH211" s="1">
        <v>8118.2621248189998</v>
      </c>
      <c r="AI211" s="1">
        <v>3906.2863651980001</v>
      </c>
      <c r="AJ211" s="1">
        <v>105.09214144800001</v>
      </c>
      <c r="AK211" s="1">
        <v>3436.6925475190001</v>
      </c>
      <c r="AL211" s="1">
        <v>6139.2895928280004</v>
      </c>
      <c r="AM211" s="1">
        <v>0</v>
      </c>
      <c r="AN211" s="1">
        <v>0</v>
      </c>
      <c r="AO211" s="1">
        <v>4533.7197602200004</v>
      </c>
      <c r="AP211" s="1">
        <v>26.549485851</v>
      </c>
      <c r="AQ211" s="1">
        <v>0</v>
      </c>
      <c r="AR211" s="1">
        <v>0</v>
      </c>
      <c r="AS211" s="1">
        <v>0</v>
      </c>
      <c r="AT211" s="1">
        <v>7605.2</v>
      </c>
      <c r="AU211" s="1">
        <v>0</v>
      </c>
      <c r="AV211" s="1">
        <v>0</v>
      </c>
      <c r="AW211" s="1">
        <v>0</v>
      </c>
      <c r="AX211" s="1">
        <v>0</v>
      </c>
      <c r="AY211" s="1">
        <v>0</v>
      </c>
      <c r="AZ211" s="1">
        <v>0</v>
      </c>
      <c r="BA211" s="1">
        <v>0</v>
      </c>
      <c r="BB211" s="1">
        <v>0</v>
      </c>
      <c r="BC211" s="1">
        <v>2048.9008538319999</v>
      </c>
      <c r="BD211" s="1">
        <v>0</v>
      </c>
      <c r="BE211" s="1">
        <v>2890.951978481</v>
      </c>
      <c r="BF211" s="1">
        <v>4001.5935245230003</v>
      </c>
      <c r="BG211" s="1">
        <v>1445.6824738649998</v>
      </c>
      <c r="BH211" s="1">
        <v>866.45385299899999</v>
      </c>
      <c r="BI211" s="1">
        <v>469.80200878799997</v>
      </c>
      <c r="BJ211" s="1">
        <v>1926.5117854919997</v>
      </c>
      <c r="BK211" s="1">
        <v>0</v>
      </c>
      <c r="BL211" s="1">
        <v>0</v>
      </c>
      <c r="BM211" s="1">
        <v>1651.7814328679999</v>
      </c>
      <c r="BN211" s="1">
        <v>3.0307164719999999</v>
      </c>
      <c r="BO211" s="1">
        <v>12890.497223603999</v>
      </c>
      <c r="BP211" s="1">
        <v>0</v>
      </c>
      <c r="BQ211" s="1">
        <v>0</v>
      </c>
      <c r="BR211" s="1">
        <v>0</v>
      </c>
      <c r="BS211" s="1">
        <v>33590</v>
      </c>
      <c r="BT211" s="1">
        <v>0</v>
      </c>
      <c r="BU211" s="1">
        <v>0</v>
      </c>
      <c r="BV211" s="1">
        <v>0</v>
      </c>
      <c r="BW211" s="1">
        <v>0</v>
      </c>
      <c r="BX211" s="1">
        <v>0</v>
      </c>
      <c r="BY211" s="1">
        <v>0</v>
      </c>
      <c r="BZ211" s="1">
        <v>0</v>
      </c>
      <c r="CA211" s="1">
        <v>0</v>
      </c>
      <c r="CB211" s="1">
        <v>33590</v>
      </c>
    </row>
    <row r="212" spans="1:80">
      <c r="B212">
        <v>210</v>
      </c>
      <c r="C212" s="1" t="s">
        <v>20</v>
      </c>
      <c r="D212" s="1" t="s">
        <v>19</v>
      </c>
      <c r="E212" s="1" t="s">
        <v>203</v>
      </c>
      <c r="F212" s="1" t="s">
        <v>206</v>
      </c>
      <c r="G212" s="1">
        <v>1167990</v>
      </c>
      <c r="H212" s="1">
        <v>14789094</v>
      </c>
      <c r="I212" s="1">
        <v>315037.84000000003</v>
      </c>
      <c r="J212" s="1">
        <v>174922.89</v>
      </c>
      <c r="K212" s="1">
        <v>55527.85</v>
      </c>
      <c r="L212" s="1">
        <v>186240.67</v>
      </c>
      <c r="M212" s="1">
        <v>0</v>
      </c>
      <c r="N212" s="1">
        <v>-1837.453</v>
      </c>
      <c r="O212" s="1">
        <v>-1102.529</v>
      </c>
      <c r="P212" s="1">
        <v>0</v>
      </c>
      <c r="Q212" s="1">
        <v>-1368.5840000000001</v>
      </c>
      <c r="R212" s="1">
        <v>-2471.0369999999998</v>
      </c>
      <c r="S212" s="1">
        <v>-4668.9030000000002</v>
      </c>
      <c r="T212" s="1">
        <v>834.55600000000004</v>
      </c>
      <c r="U212" s="1">
        <v>468.01400000000001</v>
      </c>
      <c r="V212" s="1">
        <v>1436.3689999999999</v>
      </c>
      <c r="W212" s="1">
        <v>2024.2159999999999</v>
      </c>
      <c r="X212" s="1">
        <v>0</v>
      </c>
      <c r="Y212" s="1">
        <v>-6685.35</v>
      </c>
      <c r="Z212" s="1">
        <v>-13169.726000000001</v>
      </c>
      <c r="AA212" s="1">
        <v>14259</v>
      </c>
      <c r="AB212" s="1">
        <v>0</v>
      </c>
      <c r="AC212" s="1">
        <v>1896776</v>
      </c>
      <c r="AD212" s="1">
        <v>47969</v>
      </c>
      <c r="AE212" s="1">
        <v>7386.8492162430002</v>
      </c>
      <c r="AF212" s="1">
        <v>0</v>
      </c>
      <c r="AG212" s="1">
        <v>10979.398406116001</v>
      </c>
      <c r="AH212" s="1">
        <v>3816.9007070880002</v>
      </c>
      <c r="AI212" s="1">
        <v>3970.5150288089999</v>
      </c>
      <c r="AJ212" s="1">
        <v>72.624567350999996</v>
      </c>
      <c r="AK212" s="1">
        <v>3620.815399131</v>
      </c>
      <c r="AL212" s="1">
        <v>7090.292926864</v>
      </c>
      <c r="AM212" s="1">
        <v>0</v>
      </c>
      <c r="AN212" s="1">
        <v>0</v>
      </c>
      <c r="AO212" s="1">
        <v>4533.7197602200004</v>
      </c>
      <c r="AP212" s="1">
        <v>26.549485851</v>
      </c>
      <c r="AQ212" s="1">
        <v>0</v>
      </c>
      <c r="AR212" s="1">
        <v>0</v>
      </c>
      <c r="AS212" s="1">
        <v>0</v>
      </c>
      <c r="AT212" s="1">
        <v>5457.2</v>
      </c>
      <c r="AU212" s="1">
        <v>0</v>
      </c>
      <c r="AV212" s="1">
        <v>0</v>
      </c>
      <c r="AW212" s="1">
        <v>0</v>
      </c>
      <c r="AX212" s="1">
        <v>0</v>
      </c>
      <c r="AY212" s="1">
        <v>0</v>
      </c>
      <c r="AZ212" s="1">
        <v>0</v>
      </c>
      <c r="BA212" s="1">
        <v>0</v>
      </c>
      <c r="BB212" s="1">
        <v>0</v>
      </c>
      <c r="BC212" s="1">
        <v>2048.9008538319999</v>
      </c>
      <c r="BD212" s="1">
        <v>0</v>
      </c>
      <c r="BE212" s="1">
        <v>2890.951978481</v>
      </c>
      <c r="BF212" s="1">
        <v>4001.497961391</v>
      </c>
      <c r="BG212" s="1">
        <v>1276.3650817750001</v>
      </c>
      <c r="BH212" s="1">
        <v>805.59037682200005</v>
      </c>
      <c r="BI212" s="1">
        <v>460.733750155</v>
      </c>
      <c r="BJ212" s="1">
        <v>2009.576625014</v>
      </c>
      <c r="BK212" s="1">
        <v>0</v>
      </c>
      <c r="BL212" s="1">
        <v>0</v>
      </c>
      <c r="BM212" s="1">
        <v>1651.7814328679999</v>
      </c>
      <c r="BN212" s="1">
        <v>3.0307164719999999</v>
      </c>
      <c r="BO212" s="1">
        <v>12840.78391715</v>
      </c>
      <c r="BP212" s="1">
        <v>0</v>
      </c>
      <c r="BQ212" s="1">
        <v>0</v>
      </c>
      <c r="BR212" s="1">
        <v>0</v>
      </c>
      <c r="BS212" s="1">
        <v>26260.000000000004</v>
      </c>
      <c r="BT212" s="1">
        <v>0</v>
      </c>
      <c r="BU212" s="1">
        <v>0</v>
      </c>
      <c r="BV212" s="1">
        <v>0</v>
      </c>
      <c r="BW212" s="1">
        <v>0</v>
      </c>
      <c r="BX212" s="1">
        <v>0</v>
      </c>
      <c r="BY212" s="1">
        <v>0</v>
      </c>
      <c r="BZ212" s="1">
        <v>0</v>
      </c>
      <c r="CA212" s="1">
        <v>0</v>
      </c>
      <c r="CB212" s="1">
        <v>26260.000000000004</v>
      </c>
    </row>
    <row r="213" spans="1:80">
      <c r="B213">
        <v>211</v>
      </c>
      <c r="C213" s="1" t="s">
        <v>20</v>
      </c>
      <c r="D213" s="1" t="s">
        <v>19</v>
      </c>
      <c r="E213" s="1" t="s">
        <v>205</v>
      </c>
      <c r="F213" s="1" t="s">
        <v>208</v>
      </c>
      <c r="G213" s="1">
        <v>1167990</v>
      </c>
      <c r="H213" s="1">
        <v>14789094</v>
      </c>
      <c r="I213" s="1">
        <v>315037.84000000003</v>
      </c>
      <c r="J213" s="1">
        <v>174922.89</v>
      </c>
      <c r="K213" s="1">
        <v>55527.85</v>
      </c>
      <c r="L213" s="1">
        <v>186240.67</v>
      </c>
      <c r="M213" s="1">
        <v>0</v>
      </c>
      <c r="N213" s="1">
        <v>-1900.69</v>
      </c>
      <c r="O213" s="1">
        <v>-1105.7439999999999</v>
      </c>
      <c r="P213" s="1">
        <v>0</v>
      </c>
      <c r="Q213" s="1">
        <v>-1368.5840000000001</v>
      </c>
      <c r="R213" s="1">
        <v>-2576.319</v>
      </c>
      <c r="S213" s="1">
        <v>-4880.1530000000002</v>
      </c>
      <c r="T213" s="1">
        <v>882.06</v>
      </c>
      <c r="U213" s="1">
        <v>518.72299999999996</v>
      </c>
      <c r="V213" s="1">
        <v>1261.2260000000001</v>
      </c>
      <c r="W213" s="1">
        <v>2198.3220000000001</v>
      </c>
      <c r="X213" s="1">
        <v>0</v>
      </c>
      <c r="Y213" s="1">
        <v>-6971.1589999999997</v>
      </c>
      <c r="Z213" s="1">
        <v>-25694.648000000001</v>
      </c>
      <c r="AA213" s="1">
        <v>14453</v>
      </c>
      <c r="AB213" s="1">
        <v>6</v>
      </c>
      <c r="AC213" s="1">
        <v>1972525</v>
      </c>
      <c r="AD213" s="1">
        <v>67521</v>
      </c>
      <c r="AE213" s="1">
        <v>5731.5626642120005</v>
      </c>
      <c r="AF213" s="1">
        <v>0</v>
      </c>
      <c r="AG213" s="1">
        <v>10979.398406116001</v>
      </c>
      <c r="AH213" s="1">
        <v>8455.6716531279999</v>
      </c>
      <c r="AI213" s="1">
        <v>3826.3239144970003</v>
      </c>
      <c r="AJ213" s="1">
        <v>93.880538283000007</v>
      </c>
      <c r="AK213" s="1">
        <v>3428.2181454920001</v>
      </c>
      <c r="AL213" s="1">
        <v>6079.5523964209997</v>
      </c>
      <c r="AM213" s="1">
        <v>0</v>
      </c>
      <c r="AN213" s="1">
        <v>0</v>
      </c>
      <c r="AO213" s="1">
        <v>4533.7197602200004</v>
      </c>
      <c r="AP213" s="1">
        <v>26.549485851</v>
      </c>
      <c r="AQ213" s="1">
        <v>0</v>
      </c>
      <c r="AR213" s="1">
        <v>0</v>
      </c>
      <c r="AS213" s="1">
        <v>0</v>
      </c>
      <c r="AT213" s="1">
        <v>7681.6</v>
      </c>
      <c r="AU213" s="1">
        <v>0</v>
      </c>
      <c r="AV213" s="1">
        <v>0</v>
      </c>
      <c r="AW213" s="1">
        <v>0</v>
      </c>
      <c r="AX213" s="1">
        <v>0</v>
      </c>
      <c r="AY213" s="1">
        <v>0</v>
      </c>
      <c r="AZ213" s="1">
        <v>0</v>
      </c>
      <c r="BA213" s="1">
        <v>0</v>
      </c>
      <c r="BB213" s="1">
        <v>0</v>
      </c>
      <c r="BC213" s="1">
        <v>1574.115910304</v>
      </c>
      <c r="BD213" s="1">
        <v>0</v>
      </c>
      <c r="BE213" s="1">
        <v>2890.951978481</v>
      </c>
      <c r="BF213" s="1">
        <v>4001.5798726469998</v>
      </c>
      <c r="BG213" s="1">
        <v>1445.4879346320001</v>
      </c>
      <c r="BH213" s="1">
        <v>871.11255568399997</v>
      </c>
      <c r="BI213" s="1">
        <v>474.76787868299999</v>
      </c>
      <c r="BJ213" s="1">
        <v>1801.8053112009998</v>
      </c>
      <c r="BK213" s="1">
        <v>0</v>
      </c>
      <c r="BL213" s="1">
        <v>0</v>
      </c>
      <c r="BM213" s="1">
        <v>1651.7814328679999</v>
      </c>
      <c r="BN213" s="1">
        <v>3.0307164719999999</v>
      </c>
      <c r="BO213" s="1">
        <v>12343.848804812</v>
      </c>
      <c r="BP213" s="1">
        <v>0</v>
      </c>
      <c r="BQ213" s="1">
        <v>0</v>
      </c>
      <c r="BR213" s="1">
        <v>0</v>
      </c>
      <c r="BS213" s="1">
        <v>32289.999999999996</v>
      </c>
      <c r="BT213" s="1">
        <v>0</v>
      </c>
      <c r="BU213" s="1">
        <v>0</v>
      </c>
      <c r="BV213" s="1">
        <v>0</v>
      </c>
      <c r="BW213" s="1">
        <v>0</v>
      </c>
      <c r="BX213" s="1">
        <v>0</v>
      </c>
      <c r="BY213" s="1">
        <v>0</v>
      </c>
      <c r="BZ213" s="1">
        <v>0</v>
      </c>
      <c r="CA213" s="1">
        <v>0</v>
      </c>
      <c r="CB213" s="1">
        <v>32289.999999999996</v>
      </c>
    </row>
    <row r="214" spans="1:80">
      <c r="B214">
        <v>212</v>
      </c>
      <c r="C214" s="1" t="s">
        <v>20</v>
      </c>
      <c r="D214" s="1" t="s">
        <v>19</v>
      </c>
      <c r="E214" s="1" t="s">
        <v>207</v>
      </c>
      <c r="F214" s="1" t="s">
        <v>210</v>
      </c>
      <c r="G214" s="1">
        <v>1167990</v>
      </c>
      <c r="H214" s="1">
        <v>14789094</v>
      </c>
      <c r="I214" s="1">
        <v>315037.84000000003</v>
      </c>
      <c r="J214" s="1">
        <v>174922.89</v>
      </c>
      <c r="K214" s="1">
        <v>55527.85</v>
      </c>
      <c r="L214" s="1">
        <v>186240.67</v>
      </c>
      <c r="M214" s="1">
        <v>0</v>
      </c>
      <c r="N214" s="1">
        <v>-1900.69</v>
      </c>
      <c r="O214" s="1">
        <v>-1105.7439999999999</v>
      </c>
      <c r="P214" s="1">
        <v>0</v>
      </c>
      <c r="Q214" s="1">
        <v>-1368.5840000000001</v>
      </c>
      <c r="R214" s="1">
        <v>-2576.319</v>
      </c>
      <c r="S214" s="1">
        <v>-4880.1530000000002</v>
      </c>
      <c r="T214" s="1">
        <v>882.06</v>
      </c>
      <c r="U214" s="1">
        <v>518.72299999999996</v>
      </c>
      <c r="V214" s="1">
        <v>1261.2260000000001</v>
      </c>
      <c r="W214" s="1">
        <v>2198.3220000000001</v>
      </c>
      <c r="X214" s="1">
        <v>0</v>
      </c>
      <c r="Y214" s="1">
        <v>-6971.1589999999997</v>
      </c>
      <c r="Z214" s="1">
        <v>-14035.692999999999</v>
      </c>
      <c r="AA214" s="1">
        <v>14343</v>
      </c>
      <c r="AB214" s="1">
        <v>0</v>
      </c>
      <c r="AC214" s="1">
        <v>1829238</v>
      </c>
      <c r="AD214" s="1">
        <v>48644</v>
      </c>
      <c r="AE214" s="1">
        <v>5731.5626642120005</v>
      </c>
      <c r="AF214" s="1">
        <v>0</v>
      </c>
      <c r="AG214" s="1">
        <v>10979.398406116001</v>
      </c>
      <c r="AH214" s="1">
        <v>4148.4160379340001</v>
      </c>
      <c r="AI214" s="1">
        <v>3893.8290283480001</v>
      </c>
      <c r="AJ214" s="1">
        <v>62.133100644999999</v>
      </c>
      <c r="AK214" s="1">
        <v>3612.1259800570001</v>
      </c>
      <c r="AL214" s="1">
        <v>7032.3202354300001</v>
      </c>
      <c r="AM214" s="1">
        <v>0</v>
      </c>
      <c r="AN214" s="1">
        <v>0</v>
      </c>
      <c r="AO214" s="1">
        <v>4533.7197602200004</v>
      </c>
      <c r="AP214" s="1">
        <v>26.549485851</v>
      </c>
      <c r="AQ214" s="1">
        <v>0</v>
      </c>
      <c r="AR214" s="1">
        <v>0</v>
      </c>
      <c r="AS214" s="1">
        <v>0</v>
      </c>
      <c r="AT214" s="1">
        <v>5534</v>
      </c>
      <c r="AU214" s="1">
        <v>0</v>
      </c>
      <c r="AV214" s="1">
        <v>0</v>
      </c>
      <c r="AW214" s="1">
        <v>0</v>
      </c>
      <c r="AX214" s="1">
        <v>0</v>
      </c>
      <c r="AY214" s="1">
        <v>0</v>
      </c>
      <c r="AZ214" s="1">
        <v>0</v>
      </c>
      <c r="BA214" s="1">
        <v>0</v>
      </c>
      <c r="BB214" s="1">
        <v>0</v>
      </c>
      <c r="BC214" s="1">
        <v>1574.115910304</v>
      </c>
      <c r="BD214" s="1">
        <v>0</v>
      </c>
      <c r="BE214" s="1">
        <v>2890.951978481</v>
      </c>
      <c r="BF214" s="1">
        <v>4001.4604187320001</v>
      </c>
      <c r="BG214" s="1">
        <v>1203.92481475</v>
      </c>
      <c r="BH214" s="1">
        <v>760.46751367299998</v>
      </c>
      <c r="BI214" s="1">
        <v>456.20815326100001</v>
      </c>
      <c r="BJ214" s="1">
        <v>1939.0851632880001</v>
      </c>
      <c r="BK214" s="1">
        <v>0</v>
      </c>
      <c r="BL214" s="1">
        <v>0</v>
      </c>
      <c r="BM214" s="1">
        <v>1651.7814328679999</v>
      </c>
      <c r="BN214" s="1">
        <v>3.0307164719999999</v>
      </c>
      <c r="BO214" s="1">
        <v>12336.783958982</v>
      </c>
      <c r="BP214" s="1">
        <v>0</v>
      </c>
      <c r="BQ214" s="1">
        <v>0</v>
      </c>
      <c r="BR214" s="1">
        <v>0</v>
      </c>
      <c r="BS214" s="1">
        <v>26500</v>
      </c>
      <c r="BT214" s="1">
        <v>0</v>
      </c>
      <c r="BU214" s="1">
        <v>0</v>
      </c>
      <c r="BV214" s="1">
        <v>0</v>
      </c>
      <c r="BW214" s="1">
        <v>0</v>
      </c>
      <c r="BX214" s="1">
        <v>0</v>
      </c>
      <c r="BY214" s="1">
        <v>0</v>
      </c>
      <c r="BZ214" s="1">
        <v>0</v>
      </c>
      <c r="CA214" s="1">
        <v>0</v>
      </c>
      <c r="CB214" s="1">
        <v>26500</v>
      </c>
    </row>
    <row r="215" spans="1:80">
      <c r="B215">
        <v>213</v>
      </c>
      <c r="C215" s="1" t="s">
        <v>20</v>
      </c>
      <c r="D215" s="1" t="s">
        <v>19</v>
      </c>
      <c r="E215" s="1" t="s">
        <v>209</v>
      </c>
      <c r="F215" s="1" t="s">
        <v>263</v>
      </c>
      <c r="G215" s="1">
        <v>1167990</v>
      </c>
      <c r="H215" s="1">
        <v>14789094</v>
      </c>
      <c r="I215" s="1">
        <v>315037.84000000003</v>
      </c>
      <c r="J215" s="1">
        <v>174922.89</v>
      </c>
      <c r="K215" s="1">
        <v>55527.85</v>
      </c>
      <c r="L215" s="1">
        <v>186240.67</v>
      </c>
      <c r="M215" s="1">
        <v>0</v>
      </c>
      <c r="N215" s="1">
        <v>-1807.4960000000001</v>
      </c>
      <c r="O215" s="1">
        <v>-1098.1210000000001</v>
      </c>
      <c r="P215" s="1">
        <v>0</v>
      </c>
      <c r="Q215" s="1">
        <v>-1368.5840000000001</v>
      </c>
      <c r="R215" s="1">
        <v>-2032.107</v>
      </c>
      <c r="S215" s="1">
        <v>-4558.8500000000004</v>
      </c>
      <c r="T215" s="1">
        <v>806.31600000000003</v>
      </c>
      <c r="U215" s="1">
        <v>444.13099999999997</v>
      </c>
      <c r="V215" s="1">
        <v>1376.5650000000001</v>
      </c>
      <c r="W215" s="1">
        <v>1935.864</v>
      </c>
      <c r="X215" s="1">
        <v>0</v>
      </c>
      <c r="Y215" s="1">
        <v>-6302.2839999999997</v>
      </c>
      <c r="Z215" s="1">
        <v>-24165.42</v>
      </c>
      <c r="AA215" s="1">
        <v>14093</v>
      </c>
      <c r="AB215" s="1">
        <v>26</v>
      </c>
      <c r="AC215" s="1">
        <v>2030165</v>
      </c>
      <c r="AD215" s="1">
        <v>65418</v>
      </c>
      <c r="AE215" s="1">
        <v>7386.8492162430002</v>
      </c>
      <c r="AF215" s="1">
        <v>0</v>
      </c>
      <c r="AG215" s="1">
        <v>10979.398406116001</v>
      </c>
      <c r="AH215" s="1">
        <v>7888.6546353439999</v>
      </c>
      <c r="AI215" s="1">
        <v>3913.805135905</v>
      </c>
      <c r="AJ215" s="1">
        <v>106.532414366</v>
      </c>
      <c r="AK215" s="1">
        <v>3431.3410121269999</v>
      </c>
      <c r="AL215" s="1">
        <v>6149.1087046410003</v>
      </c>
      <c r="AM215" s="1">
        <v>0</v>
      </c>
      <c r="AN215" s="1">
        <v>0</v>
      </c>
      <c r="AO215" s="1">
        <v>4533.7265861579999</v>
      </c>
      <c r="AP215" s="1">
        <v>26.549485851</v>
      </c>
      <c r="AQ215" s="1">
        <v>0</v>
      </c>
      <c r="AR215" s="1">
        <v>0</v>
      </c>
      <c r="AS215" s="1">
        <v>0</v>
      </c>
      <c r="AT215" s="1">
        <v>7442.3</v>
      </c>
      <c r="AU215" s="1">
        <v>0</v>
      </c>
      <c r="AV215" s="1">
        <v>0</v>
      </c>
      <c r="AW215" s="1">
        <v>0</v>
      </c>
      <c r="AX215" s="1">
        <v>0</v>
      </c>
      <c r="AY215" s="1">
        <v>0</v>
      </c>
      <c r="AZ215" s="1">
        <v>0</v>
      </c>
      <c r="BA215" s="1">
        <v>0</v>
      </c>
      <c r="BB215" s="1">
        <v>0</v>
      </c>
      <c r="BC215" s="1">
        <v>2048.9008538319999</v>
      </c>
      <c r="BD215" s="1">
        <v>0</v>
      </c>
      <c r="BE215" s="1">
        <v>2890.951978481</v>
      </c>
      <c r="BF215" s="1">
        <v>4001.5389170190001</v>
      </c>
      <c r="BG215" s="1">
        <v>1444.74390739</v>
      </c>
      <c r="BH215" s="1">
        <v>869.15692444700005</v>
      </c>
      <c r="BI215" s="1">
        <v>468.48118978499997</v>
      </c>
      <c r="BJ215" s="1">
        <v>1928.5971095509997</v>
      </c>
      <c r="BK215" s="1">
        <v>0</v>
      </c>
      <c r="BL215" s="1">
        <v>0</v>
      </c>
      <c r="BM215" s="1">
        <v>1651.7814328679999</v>
      </c>
      <c r="BN215" s="1">
        <v>3.0307164719999999</v>
      </c>
      <c r="BO215" s="1">
        <v>12846.019411596</v>
      </c>
      <c r="BP215" s="1">
        <v>0</v>
      </c>
      <c r="BQ215" s="1">
        <v>0</v>
      </c>
      <c r="BR215" s="1">
        <v>0</v>
      </c>
      <c r="BS215" s="1">
        <v>32570</v>
      </c>
      <c r="BT215" s="1">
        <v>0</v>
      </c>
      <c r="BU215" s="1">
        <v>0</v>
      </c>
      <c r="BV215" s="1">
        <v>0</v>
      </c>
      <c r="BW215" s="1">
        <v>0</v>
      </c>
      <c r="BX215" s="1">
        <v>0</v>
      </c>
      <c r="BY215" s="1">
        <v>0</v>
      </c>
      <c r="BZ215" s="1">
        <v>0</v>
      </c>
      <c r="CA215" s="1">
        <v>0</v>
      </c>
      <c r="CB215" s="1">
        <v>32570</v>
      </c>
    </row>
    <row r="216" spans="1:80">
      <c r="B216">
        <v>214</v>
      </c>
      <c r="C216" s="1" t="s">
        <v>20</v>
      </c>
      <c r="D216" s="1" t="s">
        <v>19</v>
      </c>
      <c r="E216" s="1" t="s">
        <v>211</v>
      </c>
      <c r="F216" s="1" t="s">
        <v>214</v>
      </c>
      <c r="G216" s="1">
        <v>1167990</v>
      </c>
      <c r="H216" s="1">
        <v>14789094</v>
      </c>
      <c r="I216" s="1">
        <v>315037.84000000003</v>
      </c>
      <c r="J216" s="1">
        <v>174922.89</v>
      </c>
      <c r="K216" s="1">
        <v>55527.85</v>
      </c>
      <c r="L216" s="1">
        <v>186240.67</v>
      </c>
      <c r="M216" s="1">
        <v>0</v>
      </c>
      <c r="N216" s="1">
        <v>-1807.4960000000001</v>
      </c>
      <c r="O216" s="1">
        <v>-1098.1210000000001</v>
      </c>
      <c r="P216" s="1">
        <v>0</v>
      </c>
      <c r="Q216" s="1">
        <v>-1368.5840000000001</v>
      </c>
      <c r="R216" s="1">
        <v>-2032.107</v>
      </c>
      <c r="S216" s="1">
        <v>-4558.8500000000004</v>
      </c>
      <c r="T216" s="1">
        <v>806.31600000000003</v>
      </c>
      <c r="U216" s="1">
        <v>444.13099999999997</v>
      </c>
      <c r="V216" s="1">
        <v>1376.5650000000001</v>
      </c>
      <c r="W216" s="1">
        <v>1935.864</v>
      </c>
      <c r="X216" s="1">
        <v>0</v>
      </c>
      <c r="Y216" s="1">
        <v>-6302.2839999999997</v>
      </c>
      <c r="Z216" s="1">
        <v>-12452.449000000001</v>
      </c>
      <c r="AA216" s="1">
        <v>14117</v>
      </c>
      <c r="AB216" s="1">
        <v>0</v>
      </c>
      <c r="AC216" s="1">
        <v>1885025</v>
      </c>
      <c r="AD216" s="1">
        <v>46730</v>
      </c>
      <c r="AE216" s="1">
        <v>7386.8492162430002</v>
      </c>
      <c r="AF216" s="1">
        <v>0</v>
      </c>
      <c r="AG216" s="1">
        <v>10979.398406116001</v>
      </c>
      <c r="AH216" s="1">
        <v>3549.6788862640001</v>
      </c>
      <c r="AI216" s="1">
        <v>3974.4228783140002</v>
      </c>
      <c r="AJ216" s="1">
        <v>73.904430726000001</v>
      </c>
      <c r="AK216" s="1">
        <v>3615.682293755</v>
      </c>
      <c r="AL216" s="1">
        <v>7100.3441205690006</v>
      </c>
      <c r="AM216" s="1">
        <v>0</v>
      </c>
      <c r="AN216" s="1">
        <v>0</v>
      </c>
      <c r="AO216" s="1">
        <v>4533.7265861579999</v>
      </c>
      <c r="AP216" s="1">
        <v>26.549485851</v>
      </c>
      <c r="AQ216" s="1">
        <v>0</v>
      </c>
      <c r="AR216" s="1">
        <v>0</v>
      </c>
      <c r="AS216" s="1">
        <v>0</v>
      </c>
      <c r="AT216" s="1">
        <v>5316.3</v>
      </c>
      <c r="AU216" s="1">
        <v>0</v>
      </c>
      <c r="AV216" s="1">
        <v>0</v>
      </c>
      <c r="AW216" s="1">
        <v>0</v>
      </c>
      <c r="AX216" s="1">
        <v>0</v>
      </c>
      <c r="AY216" s="1">
        <v>0</v>
      </c>
      <c r="AZ216" s="1">
        <v>0</v>
      </c>
      <c r="BA216" s="1">
        <v>0</v>
      </c>
      <c r="BB216" s="1">
        <v>0</v>
      </c>
      <c r="BC216" s="1">
        <v>2048.9008538319999</v>
      </c>
      <c r="BD216" s="1">
        <v>0</v>
      </c>
      <c r="BE216" s="1">
        <v>2890.951978481</v>
      </c>
      <c r="BF216" s="1">
        <v>4001.5593948330002</v>
      </c>
      <c r="BG216" s="1">
        <v>1263.945287584</v>
      </c>
      <c r="BH216" s="1">
        <v>817.83269662499993</v>
      </c>
      <c r="BI216" s="1">
        <v>459.12965472500002</v>
      </c>
      <c r="BJ216" s="1">
        <v>2018.8564877249999</v>
      </c>
      <c r="BK216" s="1">
        <v>0</v>
      </c>
      <c r="BL216" s="1">
        <v>0</v>
      </c>
      <c r="BM216" s="1">
        <v>1651.7814328679999</v>
      </c>
      <c r="BN216" s="1">
        <v>3.0307164719999999</v>
      </c>
      <c r="BO216" s="1">
        <v>12428.05357598</v>
      </c>
      <c r="BP216" s="1">
        <v>0</v>
      </c>
      <c r="BQ216" s="1">
        <v>0</v>
      </c>
      <c r="BR216" s="1">
        <v>0</v>
      </c>
      <c r="BS216" s="1">
        <v>25600</v>
      </c>
      <c r="BT216" s="1">
        <v>0</v>
      </c>
      <c r="BU216" s="1">
        <v>0</v>
      </c>
      <c r="BV216" s="1">
        <v>0</v>
      </c>
      <c r="BW216" s="1">
        <v>0</v>
      </c>
      <c r="BX216" s="1">
        <v>0</v>
      </c>
      <c r="BY216" s="1">
        <v>0</v>
      </c>
      <c r="BZ216" s="1">
        <v>0</v>
      </c>
      <c r="CA216" s="1">
        <v>0</v>
      </c>
      <c r="CB216" s="1">
        <v>25600</v>
      </c>
    </row>
    <row r="217" spans="1:80">
      <c r="B217">
        <v>215</v>
      </c>
      <c r="C217" s="1" t="s">
        <v>20</v>
      </c>
      <c r="D217" s="1" t="s">
        <v>19</v>
      </c>
      <c r="E217" s="1" t="s">
        <v>213</v>
      </c>
      <c r="F217" s="1" t="s">
        <v>269</v>
      </c>
      <c r="G217" s="1">
        <v>1167990</v>
      </c>
      <c r="H217" s="1">
        <v>14789094</v>
      </c>
      <c r="I217" s="1">
        <v>315037.84000000003</v>
      </c>
      <c r="J217" s="1">
        <v>174922.89</v>
      </c>
      <c r="K217" s="1">
        <v>55527.85</v>
      </c>
      <c r="L217" s="1">
        <v>186240.67</v>
      </c>
      <c r="M217" s="1">
        <v>0</v>
      </c>
      <c r="N217" s="1">
        <v>-1870.4390000000001</v>
      </c>
      <c r="O217" s="1">
        <v>-1101.627</v>
      </c>
      <c r="P217" s="1">
        <v>0</v>
      </c>
      <c r="Q217" s="1">
        <v>-1368.5840000000001</v>
      </c>
      <c r="R217" s="1">
        <v>-2119.5070000000001</v>
      </c>
      <c r="S217" s="1">
        <v>-4764.5810000000001</v>
      </c>
      <c r="T217" s="1">
        <v>853.58</v>
      </c>
      <c r="U217" s="1">
        <v>490.14800000000002</v>
      </c>
      <c r="V217" s="1">
        <v>1209.5429999999999</v>
      </c>
      <c r="W217" s="1">
        <v>2099.54</v>
      </c>
      <c r="X217" s="1">
        <v>0</v>
      </c>
      <c r="Y217" s="1">
        <v>-6571.9279999999999</v>
      </c>
      <c r="Z217" s="1">
        <v>-24985.08</v>
      </c>
      <c r="AA217" s="1">
        <v>14235</v>
      </c>
      <c r="AB217" s="1">
        <v>5</v>
      </c>
      <c r="AC217" s="1">
        <v>1961070</v>
      </c>
      <c r="AD217" s="1">
        <v>66583</v>
      </c>
      <c r="AE217" s="1">
        <v>5731.5626642120005</v>
      </c>
      <c r="AF217" s="1">
        <v>0</v>
      </c>
      <c r="AG217" s="1">
        <v>10979.398406116001</v>
      </c>
      <c r="AH217" s="1">
        <v>8194.272357418</v>
      </c>
      <c r="AI217" s="1">
        <v>3827.1293751809999</v>
      </c>
      <c r="AJ217" s="1">
        <v>95.252551820999997</v>
      </c>
      <c r="AK217" s="1">
        <v>3427.484357157</v>
      </c>
      <c r="AL217" s="1">
        <v>6088.920996326</v>
      </c>
      <c r="AM217" s="1">
        <v>0</v>
      </c>
      <c r="AN217" s="1">
        <v>0</v>
      </c>
      <c r="AO217" s="1">
        <v>4533.7197602200004</v>
      </c>
      <c r="AP217" s="1">
        <v>26.549485851</v>
      </c>
      <c r="AQ217" s="1">
        <v>0</v>
      </c>
      <c r="AR217" s="1">
        <v>0</v>
      </c>
      <c r="AS217" s="1">
        <v>0</v>
      </c>
      <c r="AT217" s="1">
        <v>7574.9</v>
      </c>
      <c r="AU217" s="1">
        <v>0</v>
      </c>
      <c r="AV217" s="1">
        <v>0</v>
      </c>
      <c r="AW217" s="1">
        <v>0</v>
      </c>
      <c r="AX217" s="1">
        <v>0</v>
      </c>
      <c r="AY217" s="1">
        <v>0</v>
      </c>
      <c r="AZ217" s="1">
        <v>0</v>
      </c>
      <c r="BA217" s="1">
        <v>0</v>
      </c>
      <c r="BB217" s="1">
        <v>0</v>
      </c>
      <c r="BC217" s="1">
        <v>1574.115910304</v>
      </c>
      <c r="BD217" s="1">
        <v>0</v>
      </c>
      <c r="BE217" s="1">
        <v>2890.951978481</v>
      </c>
      <c r="BF217" s="1">
        <v>4001.6037634300001</v>
      </c>
      <c r="BG217" s="1">
        <v>1441.1705288469998</v>
      </c>
      <c r="BH217" s="1">
        <v>871.93508121299999</v>
      </c>
      <c r="BI217" s="1">
        <v>468.49484166100001</v>
      </c>
      <c r="BJ217" s="1">
        <v>1811.0954128189999</v>
      </c>
      <c r="BK217" s="1">
        <v>0</v>
      </c>
      <c r="BL217" s="1">
        <v>0</v>
      </c>
      <c r="BM217" s="1">
        <v>1651.7814328679999</v>
      </c>
      <c r="BN217" s="1">
        <v>3.0307164719999999</v>
      </c>
      <c r="BO217" s="1">
        <v>12342.589419250999</v>
      </c>
      <c r="BP217" s="1">
        <v>0</v>
      </c>
      <c r="BQ217" s="1">
        <v>0</v>
      </c>
      <c r="BR217" s="1">
        <v>0</v>
      </c>
      <c r="BS217" s="1">
        <v>33590</v>
      </c>
      <c r="BT217" s="1">
        <v>0</v>
      </c>
      <c r="BU217" s="1">
        <v>0</v>
      </c>
      <c r="BV217" s="1">
        <v>0</v>
      </c>
      <c r="BW217" s="1">
        <v>0</v>
      </c>
      <c r="BX217" s="1">
        <v>0</v>
      </c>
      <c r="BY217" s="1">
        <v>0</v>
      </c>
      <c r="BZ217" s="1">
        <v>0</v>
      </c>
      <c r="CA217" s="1">
        <v>0</v>
      </c>
      <c r="CB217" s="1">
        <v>33590</v>
      </c>
    </row>
    <row r="218" spans="1:80">
      <c r="A218" t="s">
        <v>72</v>
      </c>
      <c r="B218">
        <v>216</v>
      </c>
      <c r="C218" s="1" t="s">
        <v>20</v>
      </c>
      <c r="D218" s="1" t="s">
        <v>19</v>
      </c>
      <c r="E218" s="1" t="s">
        <v>215</v>
      </c>
      <c r="F218" s="1" t="s">
        <v>270</v>
      </c>
      <c r="G218" s="1">
        <v>1167990</v>
      </c>
      <c r="H218" s="1">
        <v>14789094</v>
      </c>
      <c r="I218" s="1">
        <v>315037.84000000003</v>
      </c>
      <c r="J218" s="1">
        <v>174922.89</v>
      </c>
      <c r="K218" s="1">
        <v>55527.85</v>
      </c>
      <c r="L218" s="1">
        <v>186240.67</v>
      </c>
      <c r="M218" s="1">
        <v>0</v>
      </c>
      <c r="N218" s="1">
        <v>-1870.4390000000001</v>
      </c>
      <c r="O218" s="1">
        <v>-1101.627</v>
      </c>
      <c r="P218" s="1">
        <v>0</v>
      </c>
      <c r="Q218" s="1">
        <v>-1368.5840000000001</v>
      </c>
      <c r="R218" s="1">
        <v>-2119.5070000000001</v>
      </c>
      <c r="S218" s="1">
        <v>-4764.5810000000001</v>
      </c>
      <c r="T218" s="1">
        <v>853.58</v>
      </c>
      <c r="U218" s="1">
        <v>490.14800000000002</v>
      </c>
      <c r="V218" s="1">
        <v>1209.5429999999999</v>
      </c>
      <c r="W218" s="1">
        <v>2099.54</v>
      </c>
      <c r="X218" s="1">
        <v>0</v>
      </c>
      <c r="Y218" s="1">
        <v>-6571.9279999999999</v>
      </c>
      <c r="Z218" s="1">
        <v>-13293.653</v>
      </c>
      <c r="AA218" s="1">
        <v>14186</v>
      </c>
      <c r="AB218" s="1">
        <v>0</v>
      </c>
      <c r="AC218" s="1">
        <v>1817280</v>
      </c>
      <c r="AD218" s="1">
        <v>47794</v>
      </c>
      <c r="AE218" s="1">
        <v>5731.5626642120005</v>
      </c>
      <c r="AF218" s="1">
        <v>0</v>
      </c>
      <c r="AG218" s="1">
        <v>10979.398406116001</v>
      </c>
      <c r="AH218" s="1">
        <v>3873.5559924879999</v>
      </c>
      <c r="AI218" s="1">
        <v>3897.1225434329999</v>
      </c>
      <c r="AJ218" s="1">
        <v>63.296923073999999</v>
      </c>
      <c r="AK218" s="1">
        <v>3611.549188296</v>
      </c>
      <c r="AL218" s="1">
        <v>7041.6990742420003</v>
      </c>
      <c r="AM218" s="1">
        <v>0</v>
      </c>
      <c r="AN218" s="1">
        <v>0</v>
      </c>
      <c r="AO218" s="1">
        <v>4533.7197602200004</v>
      </c>
      <c r="AP218" s="1">
        <v>26.549485851</v>
      </c>
      <c r="AQ218" s="1">
        <v>0</v>
      </c>
      <c r="AR218" s="1">
        <v>0</v>
      </c>
      <c r="AS218" s="1">
        <v>0</v>
      </c>
      <c r="AT218" s="1">
        <v>5437.3</v>
      </c>
      <c r="AU218" s="1">
        <v>0</v>
      </c>
      <c r="AV218" s="1">
        <v>0</v>
      </c>
      <c r="AW218" s="1">
        <v>0</v>
      </c>
      <c r="AX218" s="1">
        <v>0</v>
      </c>
      <c r="AY218" s="1">
        <v>0</v>
      </c>
      <c r="AZ218" s="1">
        <v>0</v>
      </c>
      <c r="BA218" s="1">
        <v>0</v>
      </c>
      <c r="BB218" s="1">
        <v>0</v>
      </c>
      <c r="BC218" s="1">
        <v>1574.115910304</v>
      </c>
      <c r="BD218" s="1">
        <v>0</v>
      </c>
      <c r="BE218" s="1">
        <v>2890.951978481</v>
      </c>
      <c r="BF218" s="1">
        <v>4001.5218521739998</v>
      </c>
      <c r="BG218" s="1">
        <v>1192.822426593</v>
      </c>
      <c r="BH218" s="1">
        <v>770.47433878099991</v>
      </c>
      <c r="BI218" s="1">
        <v>455.20815334399998</v>
      </c>
      <c r="BJ218" s="1">
        <v>1947.9349919050001</v>
      </c>
      <c r="BK218" s="1">
        <v>0</v>
      </c>
      <c r="BL218" s="1">
        <v>0</v>
      </c>
      <c r="BM218" s="1">
        <v>1651.7814328679999</v>
      </c>
      <c r="BN218" s="1">
        <v>3.0307164719999999</v>
      </c>
      <c r="BO218" s="1">
        <v>12335.575767955999</v>
      </c>
      <c r="BP218" s="1">
        <v>0</v>
      </c>
      <c r="BQ218" s="1">
        <v>0</v>
      </c>
      <c r="BR218" s="1">
        <v>0</v>
      </c>
      <c r="BS218" s="1">
        <v>26020</v>
      </c>
      <c r="BT218" s="1">
        <v>0</v>
      </c>
      <c r="BU218" s="1">
        <v>0</v>
      </c>
      <c r="BV218" s="1">
        <v>0</v>
      </c>
      <c r="BW218" s="1">
        <v>0</v>
      </c>
      <c r="BX218" s="1">
        <v>0</v>
      </c>
      <c r="BY218" s="1">
        <v>0</v>
      </c>
      <c r="BZ218" s="1">
        <v>0</v>
      </c>
      <c r="CA218" s="1">
        <v>0</v>
      </c>
      <c r="CB218" s="1">
        <v>26020</v>
      </c>
    </row>
    <row r="219" spans="1:80">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row>
    <row r="220" spans="1:80">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row>
    <row r="221" spans="1:80">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row>
    <row r="222" spans="1:80">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row>
    <row r="223" spans="1:80">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row>
    <row r="224" spans="1:80">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row>
    <row r="225" spans="5:80">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row>
    <row r="226" spans="5:80">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row>
    <row r="227" spans="5:80">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row>
    <row r="228" spans="5:80">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row>
    <row r="229" spans="5:80">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row>
    <row r="230" spans="5:80">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row>
    <row r="231" spans="5:80">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row>
    <row r="232" spans="5:80">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row>
    <row r="233" spans="5:80">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row>
    <row r="234" spans="5:80">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row>
    <row r="235" spans="5:80">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row>
    <row r="236" spans="5:80">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row>
    <row r="237" spans="5:80">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row>
    <row r="238" spans="5:80">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row>
    <row r="239" spans="5:80">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row>
    <row r="240" spans="5:80">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row>
    <row r="241" spans="5:80">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row>
    <row r="242" spans="5:80">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row>
    <row r="243" spans="5:80">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row>
    <row r="244" spans="5:80">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row>
    <row r="245" spans="5:80">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row>
    <row r="246" spans="5:80">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row>
    <row r="247" spans="5:80">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row>
    <row r="248" spans="5:80">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row>
    <row r="249" spans="5:80">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row>
    <row r="250" spans="5:80">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row>
    <row r="251" spans="5:80">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row>
    <row r="252" spans="5:80">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row>
    <row r="253" spans="5:80">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row>
    <row r="254" spans="5:80">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row>
    <row r="255" spans="5:80">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row>
    <row r="256" spans="5:80">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row>
    <row r="257" spans="5:80">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row>
    <row r="258" spans="5:80">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row>
    <row r="259" spans="5:80">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row>
    <row r="260" spans="5:80">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row>
    <row r="261" spans="5:80">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row>
    <row r="262" spans="5:80">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row>
    <row r="263" spans="5:80">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row>
    <row r="264" spans="5:80">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row>
    <row r="265" spans="5:80">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row>
    <row r="266" spans="5:80">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row>
    <row r="267" spans="5:80">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row>
    <row r="268" spans="5:80">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row>
    <row r="269" spans="5:80">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row>
    <row r="270" spans="5:80">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row>
    <row r="271" spans="5:80">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row>
    <row r="272" spans="5:80">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row>
    <row r="273" spans="5:80">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row>
    <row r="274" spans="5:80">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row>
    <row r="275" spans="5:80">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row>
    <row r="276" spans="5:80">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row>
    <row r="277" spans="5:80">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row>
    <row r="278" spans="5:80">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row>
    <row r="279" spans="5:80">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row>
    <row r="280" spans="5:80">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row>
    <row r="281" spans="5:80">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row>
    <row r="282" spans="5:80">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row>
    <row r="283" spans="5:80">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row>
    <row r="284" spans="5:80">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row>
    <row r="285" spans="5:80">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row>
    <row r="286" spans="5:80">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row>
    <row r="287" spans="5:80">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row>
    <row r="288" spans="5:80">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row>
    <row r="289" spans="5:80">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row>
    <row r="290" spans="5:80">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row>
    <row r="291" spans="5:80">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row>
    <row r="292" spans="5:80">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row>
    <row r="293" spans="5:80">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row>
    <row r="294" spans="5:80">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row>
    <row r="295" spans="5:80">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row>
    <row r="296" spans="5:80">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row>
    <row r="297" spans="5:80">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row>
    <row r="298" spans="5:80">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row>
    <row r="299" spans="5:80">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row>
    <row r="300" spans="5:80">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row>
    <row r="301" spans="5:80">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row>
    <row r="302" spans="5:80">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row>
    <row r="303" spans="5:80">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row>
    <row r="304" spans="5:80">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row>
    <row r="305" spans="5:80">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row>
    <row r="306" spans="5:80">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row>
    <row r="307" spans="5:80">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row>
    <row r="308" spans="5:80">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row>
    <row r="309" spans="5:80">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row>
    <row r="310" spans="5:80">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row>
    <row r="311" spans="5:80">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row>
    <row r="312" spans="5:80">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row>
    <row r="313" spans="5:80">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row>
    <row r="314" spans="5:80">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row>
    <row r="315" spans="5:80">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row>
    <row r="316" spans="5:80">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row>
    <row r="317" spans="5:80">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row>
    <row r="318" spans="5:80">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row>
    <row r="319" spans="5:80">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row>
    <row r="320" spans="5:80">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row>
    <row r="321" spans="5:80">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row>
    <row r="322" spans="5:80">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row>
    <row r="323" spans="5:80">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row>
    <row r="324" spans="5:80">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row>
    <row r="325" spans="5:80">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row>
    <row r="326" spans="5:80">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row>
    <row r="327" spans="5:80">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row>
    <row r="328" spans="5:80">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row>
    <row r="329" spans="5:80">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row>
    <row r="330" spans="5:80">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row>
    <row r="331" spans="5:80">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row>
    <row r="332" spans="5:80">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row>
    <row r="333" spans="5:80">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row>
    <row r="334" spans="5:80">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row>
    <row r="335" spans="5:80">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row>
    <row r="336" spans="5:80">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row>
    <row r="337" spans="5:80">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row>
    <row r="338" spans="5:80">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row>
    <row r="339" spans="5:80">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row>
    <row r="340" spans="5:80">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row>
    <row r="341" spans="5:80">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row>
    <row r="342" spans="5:80">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row>
    <row r="343" spans="5:80">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row>
    <row r="344" spans="5:80">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row>
    <row r="345" spans="5:80">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row>
    <row r="346" spans="5:80">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row>
    <row r="347" spans="5:80">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row>
    <row r="348" spans="5:80">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row>
    <row r="349" spans="5:80">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row>
    <row r="350" spans="5:80">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row>
    <row r="351" spans="5:80">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row>
    <row r="352" spans="5:80">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row>
    <row r="353" spans="5:80">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row>
    <row r="354" spans="5:80">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row>
    <row r="355" spans="5:80">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row>
    <row r="356" spans="5:80">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row>
    <row r="357" spans="5:80">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row>
    <row r="358" spans="5:80">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row>
    <row r="359" spans="5:80">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row>
    <row r="360" spans="5:80">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row>
    <row r="361" spans="5:80">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row>
    <row r="362" spans="5:80">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row>
    <row r="363" spans="5:80">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row>
    <row r="364" spans="5:80">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row>
    <row r="365" spans="5:80">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row>
    <row r="366" spans="5:80">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row>
    <row r="367" spans="5:80">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row>
    <row r="368" spans="5:80">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row>
    <row r="369" spans="5:80">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row>
    <row r="370" spans="5:80">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row>
    <row r="371" spans="5:80">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row>
    <row r="372" spans="5:80">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row>
    <row r="373" spans="5:80">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row>
    <row r="374" spans="5:80">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row>
    <row r="375" spans="5:80">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row>
    <row r="376" spans="5:80">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row>
    <row r="377" spans="5:80">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row>
    <row r="378" spans="5:80">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row>
    <row r="379" spans="5:80">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row>
    <row r="380" spans="5:80">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row>
    <row r="381" spans="5:80">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row>
    <row r="382" spans="5:80">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row>
    <row r="383" spans="5:80">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row>
    <row r="384" spans="5:80">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row>
    <row r="385" spans="5:80">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row>
    <row r="386" spans="5:80">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row>
    <row r="387" spans="5:80">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row>
    <row r="388" spans="5:80">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row>
    <row r="389" spans="5:80">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row>
    <row r="390" spans="5:80">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row>
    <row r="391" spans="5:80">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row>
    <row r="392" spans="5:80">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row>
    <row r="393" spans="5:80">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row>
    <row r="394" spans="5:80">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row>
    <row r="395" spans="5:80">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row>
    <row r="396" spans="5:80">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row>
    <row r="397" spans="5:80">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row>
    <row r="398" spans="5:80">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row>
    <row r="399" spans="5:80">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row>
    <row r="400" spans="5:80">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row>
    <row r="401" spans="5:80">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row>
    <row r="402" spans="5:80">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row>
    <row r="403" spans="5:80">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row>
    <row r="404" spans="5:80">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row>
    <row r="405" spans="5:80">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row>
    <row r="406" spans="5:80">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row>
    <row r="407" spans="5:80">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row>
    <row r="408" spans="5:80">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row>
    <row r="409" spans="5:80">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row>
    <row r="410" spans="5:80">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row>
    <row r="411" spans="5:80">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row>
    <row r="412" spans="5:80">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row>
    <row r="413" spans="5:80">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row>
    <row r="414" spans="5:80">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row>
    <row r="415" spans="5:80">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row>
    <row r="416" spans="5:80">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row>
    <row r="417" spans="5:80">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row>
    <row r="418" spans="5:80">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row>
    <row r="419" spans="5:80">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row>
    <row r="420" spans="5:80">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row>
    <row r="421" spans="5:80">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row>
    <row r="422" spans="5:80">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row>
    <row r="423" spans="5:80">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row>
    <row r="424" spans="5:80">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row>
    <row r="425" spans="5:80">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row>
    <row r="426" spans="5:80">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row>
    <row r="427" spans="5:80">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row>
    <row r="428" spans="5:80">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row>
    <row r="429" spans="5:80">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row>
    <row r="430" spans="5:80">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row>
    <row r="431" spans="5:80">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row>
    <row r="432" spans="5:80">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row>
    <row r="433" spans="5:80">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row>
    <row r="434" spans="5:80">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row>
    <row r="435" spans="5:80">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row>
    <row r="436" spans="5:80">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row>
    <row r="437" spans="5:80">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row>
    <row r="438" spans="5:80">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row>
    <row r="439" spans="5:80">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row>
    <row r="440" spans="5:80">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row>
    <row r="441" spans="5:80">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row>
    <row r="442" spans="5:80">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row>
    <row r="443" spans="5:80">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row>
    <row r="444" spans="5:80">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row>
    <row r="445" spans="5:80">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row>
    <row r="446" spans="5:80">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row>
    <row r="447" spans="5:80">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row>
    <row r="448" spans="5:80">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row>
    <row r="449" spans="5:80">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row>
    <row r="450" spans="5:80">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row>
    <row r="451" spans="5:80">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row>
    <row r="452" spans="5:80">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row>
    <row r="453" spans="5:80">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row>
    <row r="454" spans="5:80">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row>
    <row r="455" spans="5:80">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row>
    <row r="456" spans="5:80">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row>
    <row r="457" spans="5:80">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row>
    <row r="458" spans="5:80">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row>
    <row r="459" spans="5:80">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row>
    <row r="460" spans="5:80">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row>
    <row r="461" spans="5:80">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row>
    <row r="462" spans="5:80">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row>
    <row r="463" spans="5:80">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row>
    <row r="464" spans="5:80">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row>
    <row r="465" spans="5:80">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row>
    <row r="466" spans="5:80">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row>
    <row r="467" spans="5:80">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row>
    <row r="468" spans="5:80">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row>
    <row r="469" spans="5:80">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row>
    <row r="470" spans="5:80">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row>
    <row r="471" spans="5:80">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row>
    <row r="472" spans="5:80">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row>
    <row r="473" spans="5:80">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row>
    <row r="474" spans="5:80">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row>
    <row r="475" spans="5:80">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row>
    <row r="476" spans="5:80">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row>
    <row r="477" spans="5:80">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row>
    <row r="478" spans="5:80">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row>
    <row r="479" spans="5:80">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row>
    <row r="480" spans="5:80">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row>
    <row r="481" spans="5:80">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row>
    <row r="482" spans="5:80">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row>
    <row r="483" spans="5:80">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row>
    <row r="484" spans="5:80">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row>
    <row r="485" spans="5:80">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row>
    <row r="486" spans="5:80">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row>
    <row r="487" spans="5:80">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row>
    <row r="488" spans="5:80">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row>
    <row r="489" spans="5:80">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row>
    <row r="490" spans="5:80">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row>
    <row r="491" spans="5:80">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row>
    <row r="492" spans="5:80">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row>
    <row r="493" spans="5:80">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row>
    <row r="494" spans="5:80">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row>
    <row r="495" spans="5:80">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row>
    <row r="496" spans="5:80">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row>
    <row r="497" spans="5:80">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row>
    <row r="498" spans="5:80">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row>
    <row r="499" spans="5:80">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row>
    <row r="500" spans="5:80">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row>
    <row r="501" spans="5:80">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row>
    <row r="502" spans="5:80">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row>
    <row r="503" spans="5:80">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row>
    <row r="504" spans="5:80">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row>
    <row r="505" spans="5:80">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row>
    <row r="506" spans="5:80">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row>
    <row r="507" spans="5:80">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row>
    <row r="508" spans="5:80">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row>
    <row r="509" spans="5:80">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row>
    <row r="510" spans="5:80">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row>
    <row r="511" spans="5:80">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row>
    <row r="512" spans="5:80">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row>
    <row r="513" spans="5:80">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row>
    <row r="514" spans="5:80">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row>
    <row r="515" spans="5:80">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row>
    <row r="516" spans="5:80">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row>
    <row r="517" spans="5:80">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row>
    <row r="518" spans="5:80">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row>
    <row r="519" spans="5:80">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row>
    <row r="520" spans="5:80">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row>
    <row r="521" spans="5:80">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row>
    <row r="522" spans="5:80">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row>
    <row r="523" spans="5:80">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row>
    <row r="524" spans="5:80">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row>
    <row r="525" spans="5:80">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row>
    <row r="526" spans="5:80">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row>
    <row r="527" spans="5:80">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row>
    <row r="528" spans="5:80">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row>
    <row r="529" spans="5:80">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row>
    <row r="530" spans="5:80">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row>
    <row r="531" spans="5:80">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row>
    <row r="532" spans="5:80">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row>
    <row r="533" spans="5:80">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row>
    <row r="534" spans="5:80">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row>
    <row r="535" spans="5:80">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row>
    <row r="536" spans="5:80">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row>
    <row r="537" spans="5:80">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row>
    <row r="538" spans="5:80">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row>
    <row r="539" spans="5:80">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row>
    <row r="540" spans="5:80">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row>
    <row r="541" spans="5:80">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row>
    <row r="542" spans="5:80">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row>
    <row r="543" spans="5:80">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row>
    <row r="544" spans="5:80">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row>
    <row r="545" spans="5:80">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row>
    <row r="546" spans="5:80">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row>
    <row r="547" spans="5:80">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row>
    <row r="548" spans="5:80">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row>
    <row r="549" spans="5:80">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row>
    <row r="550" spans="5:80">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row>
    <row r="551" spans="5:80">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row>
    <row r="552" spans="5:80">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row>
    <row r="553" spans="5:80">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row>
    <row r="554" spans="5:80">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row>
    <row r="555" spans="5:80">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row>
    <row r="556" spans="5:80">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row>
    <row r="557" spans="5:80">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row>
    <row r="558" spans="5:80">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row>
    <row r="559" spans="5:80">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row>
    <row r="560" spans="5:80">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row>
    <row r="561" spans="5:80">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row>
    <row r="562" spans="5:80">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row>
    <row r="563" spans="5:80">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row>
    <row r="564" spans="5:80">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row>
    <row r="565" spans="5:80">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row>
    <row r="566" spans="5:80">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row>
    <row r="567" spans="5:80">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row>
    <row r="568" spans="5:80">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row>
    <row r="569" spans="5:80">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row>
    <row r="570" spans="5:80">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row>
    <row r="571" spans="5:80">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row>
    <row r="572" spans="5:80">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row>
    <row r="573" spans="5:80">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row>
    <row r="574" spans="5:80">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row>
    <row r="575" spans="5:80">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row>
    <row r="576" spans="5:80">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row>
    <row r="577" spans="5:80">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row>
    <row r="578" spans="5:80">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row>
    <row r="579" spans="5:80">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row>
    <row r="580" spans="5:80">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row>
    <row r="581" spans="5:80">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row>
    <row r="582" spans="5:80">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row>
    <row r="583" spans="5:80">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row>
    <row r="584" spans="5:80">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row>
    <row r="585" spans="5:80">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row>
    <row r="586" spans="5:80">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row>
    <row r="587" spans="5:80">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row>
    <row r="588" spans="5:80">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row>
    <row r="589" spans="5:80">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row>
    <row r="590" spans="5:80">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row>
    <row r="591" spans="5:80">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row>
    <row r="592" spans="5:80">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row>
    <row r="593" spans="5:80">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row>
    <row r="594" spans="5:80">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row>
    <row r="595" spans="5:80">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row>
    <row r="596" spans="5:80">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row>
    <row r="597" spans="5:80">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row>
    <row r="598" spans="5:80">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row>
    <row r="599" spans="5:80">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row>
    <row r="600" spans="5:80">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row>
    <row r="601" spans="5:80">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row>
    <row r="602" spans="5:80">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row>
    <row r="603" spans="5:80">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row>
    <row r="604" spans="5:80">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row>
    <row r="605" spans="5:80">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row>
    <row r="606" spans="5:80">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row>
    <row r="607" spans="5:80">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row>
    <row r="608" spans="5:80">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row>
    <row r="609" spans="5:80">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row>
    <row r="610" spans="5:80">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row>
    <row r="611" spans="5:80">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row>
    <row r="612" spans="5:80">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row>
    <row r="613" spans="5:80">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row>
    <row r="614" spans="5:80">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row>
    <row r="615" spans="5:80">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row>
    <row r="616" spans="5:80">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row>
    <row r="617" spans="5:80">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row>
    <row r="618" spans="5:80">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row>
    <row r="619" spans="5:80">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row>
    <row r="620" spans="5:80">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row>
    <row r="621" spans="5:80">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row>
    <row r="622" spans="5:80">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row>
    <row r="623" spans="5:80">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row>
    <row r="624" spans="5:80">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row>
    <row r="625" spans="5:80">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row>
    <row r="626" spans="5:80">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row>
    <row r="627" spans="5:80">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row>
    <row r="628" spans="5:80">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row>
    <row r="629" spans="5:80">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row>
    <row r="630" spans="5:80">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row>
    <row r="631" spans="5:80">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row>
    <row r="632" spans="5:80">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row>
    <row r="633" spans="5:80">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row>
    <row r="634" spans="5:80">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row>
    <row r="635" spans="5:80">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row>
    <row r="636" spans="5:80">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row>
    <row r="637" spans="5:80">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row>
    <row r="638" spans="5:80">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row>
    <row r="639" spans="5:80">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row>
    <row r="640" spans="5:80">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row>
    <row r="641" spans="1:80">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row>
    <row r="642" spans="1:80">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row>
    <row r="643" spans="1:80">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row>
    <row r="644" spans="1:80">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row>
    <row r="645" spans="1:80">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row>
    <row r="646" spans="1:80">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row>
    <row r="647" spans="1:80">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row>
    <row r="648" spans="1:80">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row>
    <row r="649" spans="1:80">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row>
    <row r="650" spans="1:80">
      <c r="A650" t="s">
        <v>72</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5D34B-3FBB-4D4B-AD21-DDA52840CEFE}">
  <dimension ref="A17:W665"/>
  <sheetViews>
    <sheetView topLeftCell="D8" zoomScaleNormal="100" workbookViewId="0">
      <selection activeCell="M21" sqref="M21"/>
    </sheetView>
  </sheetViews>
  <sheetFormatPr defaultRowHeight="15"/>
  <cols>
    <col min="1" max="1" width="11" customWidth="1"/>
    <col min="2" max="2" width="12.28515625" bestFit="1" customWidth="1"/>
    <col min="3" max="3" width="9" bestFit="1" customWidth="1"/>
    <col min="4" max="4" width="13.5703125" bestFit="1" customWidth="1"/>
    <col min="5" max="5" width="9.5703125" bestFit="1" customWidth="1"/>
    <col min="6" max="6" width="13.42578125" bestFit="1" customWidth="1"/>
    <col min="7" max="7" width="6.5703125" bestFit="1" customWidth="1"/>
    <col min="8" max="8" width="7.7109375" bestFit="1" customWidth="1"/>
    <col min="9" max="9" width="10.7109375" bestFit="1" customWidth="1"/>
    <col min="10" max="10" width="15.140625" bestFit="1" customWidth="1"/>
    <col min="11" max="11" width="15.140625" customWidth="1"/>
    <col min="12" max="12" width="16.7109375" bestFit="1" customWidth="1"/>
    <col min="13" max="13" width="18.28515625" bestFit="1" customWidth="1"/>
    <col min="14" max="14" width="18.85546875" bestFit="1" customWidth="1"/>
    <col min="15" max="15" width="15.140625" bestFit="1" customWidth="1"/>
    <col min="16" max="16" width="15" bestFit="1" customWidth="1"/>
    <col min="17" max="17" width="17.42578125" bestFit="1" customWidth="1"/>
    <col min="18" max="18" width="13.5703125" bestFit="1" customWidth="1"/>
    <col min="19" max="19" width="15.140625" bestFit="1" customWidth="1"/>
    <col min="21" max="21" width="15.140625" bestFit="1" customWidth="1"/>
    <col min="22" max="22" width="11.5703125" bestFit="1" customWidth="1"/>
  </cols>
  <sheetData>
    <row r="17" spans="1:23">
      <c r="A17" t="s">
        <v>271</v>
      </c>
      <c r="B17" s="8" t="s">
        <v>23</v>
      </c>
      <c r="C17" s="8" t="s">
        <v>22</v>
      </c>
      <c r="D17" s="8" t="s">
        <v>272</v>
      </c>
      <c r="E17" s="8" t="s">
        <v>273</v>
      </c>
      <c r="F17" s="8" t="s">
        <v>2</v>
      </c>
      <c r="G17" s="8" t="s">
        <v>3</v>
      </c>
      <c r="H17" s="8" t="s">
        <v>4</v>
      </c>
      <c r="I17" s="8" t="s">
        <v>5</v>
      </c>
      <c r="J17" s="8" t="s">
        <v>6</v>
      </c>
      <c r="K17" s="8" t="s">
        <v>7</v>
      </c>
      <c r="L17" s="8" t="s">
        <v>8</v>
      </c>
      <c r="M17" s="8" t="s">
        <v>9</v>
      </c>
      <c r="N17" s="8" t="s">
        <v>10</v>
      </c>
      <c r="O17" s="8" t="s">
        <v>11</v>
      </c>
      <c r="P17" s="8" t="s">
        <v>12</v>
      </c>
      <c r="Q17" s="13" t="s">
        <v>13</v>
      </c>
      <c r="R17" s="8" t="s">
        <v>14</v>
      </c>
      <c r="S17" s="13" t="s">
        <v>15</v>
      </c>
    </row>
    <row r="18" spans="1:23">
      <c r="A18" t="s">
        <v>72</v>
      </c>
      <c r="B18" s="1" t="s">
        <v>73</v>
      </c>
      <c r="C18">
        <v>1</v>
      </c>
      <c r="D18">
        <f>VLOOKUP(MID($B18,2,1),Table2[],2,FALSE)</f>
        <v>5</v>
      </c>
      <c r="E18">
        <f>VLOOKUP(MID($B18,3,1),Table2[],3,FALSE)</f>
        <v>2.8</v>
      </c>
      <c r="F18" t="str">
        <f>VLOOKUP(MID($B18,4,1),Table2[],4,FALSE)</f>
        <v>Current</v>
      </c>
      <c r="G18" s="7" t="str">
        <f>VLOOKUP(MID($B18,5,1),Table2[],5,FALSE)</f>
        <v>Current</v>
      </c>
      <c r="H18" s="7" t="str">
        <f>VLOOKUP(MID($B18,6,1),Table2[],6,FALSE)</f>
        <v>None</v>
      </c>
      <c r="I18" t="s">
        <v>16</v>
      </c>
      <c r="J18" t="s">
        <v>16</v>
      </c>
      <c r="K18" t="s">
        <v>18</v>
      </c>
      <c r="L18" s="4">
        <f>SUM(Raw!AE3:AP3)*293</f>
        <v>11827263.018337088</v>
      </c>
      <c r="M18" s="4">
        <f>SUM(Raw!AQ3:BB3)*293</f>
        <v>11604177.1</v>
      </c>
      <c r="N18" s="4">
        <f>M18+L18</f>
        <v>23431440.118337087</v>
      </c>
      <c r="O18" s="9">
        <f>N18/Processed!$V$20</f>
        <v>215.93842615799679</v>
      </c>
      <c r="P18" s="9">
        <f>Raw!Z3*-293/Processed!$V$20</f>
        <v>100.94387728636197</v>
      </c>
      <c r="Q18" s="12">
        <f>((L18*Processed!$V$21)+(Table3[[#This Row],[Natural Gas kWh]]*Processed!$V$22))/Processed!$V$20</f>
        <v>38.848357655363536</v>
      </c>
      <c r="R18" s="10">
        <f>1-(O18/Processed!$V$23)</f>
        <v>0</v>
      </c>
      <c r="S18" s="11">
        <f>1-(Processed!Q18/Processed!$V$24)</f>
        <v>0</v>
      </c>
    </row>
    <row r="19" spans="1:23">
      <c r="B19" s="1" t="s">
        <v>75</v>
      </c>
      <c r="C19">
        <v>2</v>
      </c>
      <c r="D19">
        <f>VLOOKUP(MID($B19,2,1),Table2[],2,FALSE)</f>
        <v>5</v>
      </c>
      <c r="E19">
        <f>VLOOKUP(MID($B19,3,1),Table2[],3,FALSE)</f>
        <v>2.8</v>
      </c>
      <c r="F19" t="str">
        <f>VLOOKUP(MID($B19,4,1),Table2[],4,FALSE)</f>
        <v>Current</v>
      </c>
      <c r="G19" s="7" t="str">
        <f>VLOOKUP(MID($B19,5,1),Table2[],5,FALSE)</f>
        <v>Current</v>
      </c>
      <c r="H19" s="7">
        <f>VLOOKUP(MID($B19,6,1),Table2[],6,FALSE)</f>
        <v>0.75</v>
      </c>
      <c r="I19" t="s">
        <v>16</v>
      </c>
      <c r="J19" t="s">
        <v>16</v>
      </c>
      <c r="K19" t="s">
        <v>18</v>
      </c>
      <c r="L19" s="4">
        <f>SUM(Raw!AE4:AP4)*293</f>
        <v>12188437.988359561</v>
      </c>
      <c r="M19" s="4">
        <f>SUM(Raw!AQ4:BB4)*293</f>
        <v>7677596.1999999993</v>
      </c>
      <c r="N19" s="4">
        <f t="shared" ref="N19:N82" si="0">M19+L19</f>
        <v>19866034.188359559</v>
      </c>
      <c r="O19" s="9">
        <f>N19/Processed!$V$20</f>
        <v>183.08051639037572</v>
      </c>
      <c r="P19" s="9">
        <f>Raw!Z4*-293/Processed!$V$20</f>
        <v>65.586922429549105</v>
      </c>
      <c r="Q19" s="12">
        <f>((L19*Processed!$V$21)+(Table3[[#This Row],[Natural Gas kWh]]*Processed!$V$22))/Processed!$V$20</f>
        <v>32.538784794257289</v>
      </c>
      <c r="R19" s="10">
        <f>1-(O19/Processed!$V$23)</f>
        <v>0.1521633289277553</v>
      </c>
      <c r="S19" s="11">
        <f>1-(Processed!Q19/Processed!$V$24)</f>
        <v>0.16241543380238943</v>
      </c>
      <c r="V19" t="s">
        <v>274</v>
      </c>
    </row>
    <row r="20" spans="1:23">
      <c r="B20" s="1" t="s">
        <v>77</v>
      </c>
      <c r="C20">
        <v>3</v>
      </c>
      <c r="D20">
        <f>VLOOKUP(MID($B20,2,1),Table2[],2,FALSE)</f>
        <v>5</v>
      </c>
      <c r="E20">
        <f>VLOOKUP(MID($B20,3,1),Table2[],3,FALSE)</f>
        <v>2.8</v>
      </c>
      <c r="F20" t="str">
        <f>VLOOKUP(MID($B20,4,1),Table2[],4,FALSE)</f>
        <v>Current</v>
      </c>
      <c r="G20" s="7">
        <f>VLOOKUP(MID($B20,5,1),Table2[],5,FALSE)</f>
        <v>0.25</v>
      </c>
      <c r="H20" s="7" t="str">
        <f>VLOOKUP(MID($B20,6,1),Table2[],6,FALSE)</f>
        <v>None</v>
      </c>
      <c r="I20" t="s">
        <v>16</v>
      </c>
      <c r="J20" t="s">
        <v>16</v>
      </c>
      <c r="K20" t="s">
        <v>18</v>
      </c>
      <c r="L20" s="4">
        <f>SUM(Raw!AE5:AP5)*293</f>
        <v>11303698.061792981</v>
      </c>
      <c r="M20" s="4">
        <f>SUM(Raw!AQ5:BB5)*293</f>
        <v>11891141.299999999</v>
      </c>
      <c r="N20" s="4">
        <f t="shared" si="0"/>
        <v>23194839.361792982</v>
      </c>
      <c r="O20" s="9">
        <f>N20/Processed!$V$20</f>
        <v>213.75797140413204</v>
      </c>
      <c r="P20" s="9">
        <f>Raw!Z5*-293/Processed!$V$20</f>
        <v>103.68770758083693</v>
      </c>
      <c r="Q20" s="12">
        <f>((L20*Processed!$V$21)+(Table3[[#This Row],[Natural Gas kWh]]*Processed!$V$22))/Processed!$V$20</f>
        <v>38.530572186033964</v>
      </c>
      <c r="R20" s="10">
        <f>1-(O20/Processed!$V$23)</f>
        <v>1.0097576390916907E-2</v>
      </c>
      <c r="S20" s="11">
        <f>1-(Processed!Q20/Processed!$V$24)</f>
        <v>8.1801519680381185E-3</v>
      </c>
      <c r="U20" t="s">
        <v>275</v>
      </c>
      <c r="V20" s="4">
        <v>108509.82168959999</v>
      </c>
    </row>
    <row r="21" spans="1:23">
      <c r="B21" s="1" t="s">
        <v>79</v>
      </c>
      <c r="C21">
        <v>4</v>
      </c>
      <c r="D21">
        <f>VLOOKUP(MID($B21,2,1),Table2[],2,FALSE)</f>
        <v>5</v>
      </c>
      <c r="E21">
        <f>VLOOKUP(MID($B21,3,1),Table2[],3,FALSE)</f>
        <v>2.8</v>
      </c>
      <c r="F21" t="str">
        <f>VLOOKUP(MID($B21,4,1),Table2[],4,FALSE)</f>
        <v>Current</v>
      </c>
      <c r="G21" s="7">
        <f>VLOOKUP(MID($B21,5,1),Table2[],5,FALSE)</f>
        <v>0.25</v>
      </c>
      <c r="H21" s="7">
        <f>VLOOKUP(MID($B21,6,1),Table2[],6,FALSE)</f>
        <v>0.75</v>
      </c>
      <c r="I21" t="s">
        <v>16</v>
      </c>
      <c r="J21" t="s">
        <v>16</v>
      </c>
      <c r="K21" t="s">
        <v>18</v>
      </c>
      <c r="L21" s="4">
        <f>SUM(Raw!AE6:AP6)*293</f>
        <v>11666316.031695688</v>
      </c>
      <c r="M21" s="4">
        <f>SUM(Raw!AQ6:BB6)*293</f>
        <v>7972383.5</v>
      </c>
      <c r="N21" s="4">
        <f t="shared" si="0"/>
        <v>19638699.531695686</v>
      </c>
      <c r="O21" s="9">
        <f>N21/Processed!$V$20</f>
        <v>180.98545574863789</v>
      </c>
      <c r="P21" s="9">
        <f>Raw!Z6*-293/Processed!$V$20</f>
        <v>68.326645694880881</v>
      </c>
      <c r="Q21" s="12">
        <f>((L21*Processed!$V$21)+(Table3[[#This Row],[Natural Gas kWh]]*Processed!$V$22))/Processed!$V$20</f>
        <v>32.236958239546453</v>
      </c>
      <c r="R21" s="10">
        <f>1-(O21/Processed!$V$23)</f>
        <v>0.16186544947671644</v>
      </c>
      <c r="S21" s="11">
        <f>1-(Processed!Q21/Processed!$V$24)</f>
        <v>0.17018478553119198</v>
      </c>
      <c r="U21" s="14" t="s">
        <v>276</v>
      </c>
      <c r="V21" s="14">
        <v>0.17</v>
      </c>
      <c r="W21" s="5">
        <v>2030</v>
      </c>
    </row>
    <row r="22" spans="1:23">
      <c r="B22" s="1" t="s">
        <v>81</v>
      </c>
      <c r="C22">
        <v>5</v>
      </c>
      <c r="D22">
        <f>VLOOKUP(MID($B22,2,1),Table2[],2,FALSE)</f>
        <v>5</v>
      </c>
      <c r="E22">
        <f>VLOOKUP(MID($B22,3,1),Table2[],3,FALSE)</f>
        <v>2.8</v>
      </c>
      <c r="F22" t="str">
        <f>VLOOKUP(MID($B22,4,1),Table2[],4,FALSE)</f>
        <v>Improved</v>
      </c>
      <c r="G22" s="7" t="str">
        <f>VLOOKUP(MID($B22,5,1),Table2[],5,FALSE)</f>
        <v>Current</v>
      </c>
      <c r="H22" s="7" t="str">
        <f>VLOOKUP(MID($B22,6,1),Table2[],6,FALSE)</f>
        <v>None</v>
      </c>
      <c r="I22" t="s">
        <v>16</v>
      </c>
      <c r="J22" t="s">
        <v>16</v>
      </c>
      <c r="K22" t="s">
        <v>18</v>
      </c>
      <c r="L22" s="4">
        <f>SUM(Raw!AE7:AP7)*293</f>
        <v>11828447.018238815</v>
      </c>
      <c r="M22" s="4">
        <f>SUM(Raw!AQ7:BB7)*293</f>
        <v>11403970.200000001</v>
      </c>
      <c r="N22" s="4">
        <f t="shared" si="0"/>
        <v>23232417.218238816</v>
      </c>
      <c r="O22" s="9">
        <f>N22/Processed!$V$20</f>
        <v>214.10427974618543</v>
      </c>
      <c r="P22" s="9">
        <f>Raw!Z7*-293/Processed!$V$20</f>
        <v>98.976326804058843</v>
      </c>
      <c r="Q22" s="12">
        <f>((L22*Processed!$V$21)+(Table3[[#This Row],[Natural Gas kWh]]*Processed!$V$22))/Processed!$V$20</f>
        <v>38.499651608044211</v>
      </c>
      <c r="R22" s="10">
        <f>1-(O22/Processed!$V$23)</f>
        <v>8.4938398618751298E-3</v>
      </c>
      <c r="S22" s="11">
        <f>1-(Processed!Q22/Processed!$V$24)</f>
        <v>8.9760820885353976E-3</v>
      </c>
      <c r="U22" s="14" t="s">
        <v>277</v>
      </c>
      <c r="V22" s="14">
        <v>0.19</v>
      </c>
      <c r="W22" s="5">
        <v>2030</v>
      </c>
    </row>
    <row r="23" spans="1:23">
      <c r="B23" s="1" t="s">
        <v>83</v>
      </c>
      <c r="C23">
        <v>6</v>
      </c>
      <c r="D23">
        <f>VLOOKUP(MID($B23,2,1),Table2[],2,FALSE)</f>
        <v>5</v>
      </c>
      <c r="E23">
        <f>VLOOKUP(MID($B23,3,1),Table2[],3,FALSE)</f>
        <v>2.8</v>
      </c>
      <c r="F23" t="str">
        <f>VLOOKUP(MID($B23,4,1),Table2[],4,FALSE)</f>
        <v>Improved</v>
      </c>
      <c r="G23" s="7" t="str">
        <f>VLOOKUP(MID($B23,5,1),Table2[],5,FALSE)</f>
        <v>Current</v>
      </c>
      <c r="H23" s="7">
        <f>VLOOKUP(MID($B23,6,1),Table2[],6,FALSE)</f>
        <v>0.75</v>
      </c>
      <c r="I23" t="s">
        <v>16</v>
      </c>
      <c r="J23" t="s">
        <v>16</v>
      </c>
      <c r="K23" t="s">
        <v>18</v>
      </c>
      <c r="L23" s="4">
        <f>SUM(Raw!AE8:AP8)*293</f>
        <v>12189692.988255396</v>
      </c>
      <c r="M23" s="4">
        <f>SUM(Raw!AQ8:BB8)*293</f>
        <v>7470796.7999999998</v>
      </c>
      <c r="N23" s="4">
        <f t="shared" si="0"/>
        <v>19660489.788255397</v>
      </c>
      <c r="O23" s="9">
        <f>N23/Processed!$V$20</f>
        <v>181.18626942817781</v>
      </c>
      <c r="P23" s="9">
        <f>Raw!Z8*-293/Processed!$V$20</f>
        <v>63.620184712382127</v>
      </c>
      <c r="Q23" s="12">
        <f>((L23*Processed!$V$21)+(Table3[[#This Row],[Natural Gas kWh]]*Processed!$V$22))/Processed!$V$20</f>
        <v>32.178646555992593</v>
      </c>
      <c r="R23" s="10">
        <f>1-(O23/Processed!$V$23)</f>
        <v>0.16093549141824204</v>
      </c>
      <c r="S23" s="11">
        <f>1-(Processed!Q23/Processed!$V$24)</f>
        <v>0.17168579322040145</v>
      </c>
      <c r="U23" t="s">
        <v>278</v>
      </c>
      <c r="V23" s="9">
        <v>215.93842615799679</v>
      </c>
      <c r="W23" t="s">
        <v>279</v>
      </c>
    </row>
    <row r="24" spans="1:23">
      <c r="B24" s="1" t="s">
        <v>85</v>
      </c>
      <c r="C24">
        <v>7</v>
      </c>
      <c r="D24">
        <f>VLOOKUP(MID($B24,2,1),Table2[],2,FALSE)</f>
        <v>5</v>
      </c>
      <c r="E24">
        <f>VLOOKUP(MID($B24,3,1),Table2[],3,FALSE)</f>
        <v>2.8</v>
      </c>
      <c r="F24" t="str">
        <f>VLOOKUP(MID($B24,4,1),Table2[],4,FALSE)</f>
        <v>Improved</v>
      </c>
      <c r="G24" s="7">
        <f>VLOOKUP(MID($B24,5,1),Table2[],5,FALSE)</f>
        <v>0.25</v>
      </c>
      <c r="H24" s="7" t="str">
        <f>VLOOKUP(MID($B24,6,1),Table2[],6,FALSE)</f>
        <v>None</v>
      </c>
      <c r="I24" t="s">
        <v>16</v>
      </c>
      <c r="J24" t="s">
        <v>16</v>
      </c>
      <c r="K24" t="s">
        <v>18</v>
      </c>
      <c r="L24" s="4">
        <f>SUM(Raw!AE9:AP9)*293</f>
        <v>11303910.061775386</v>
      </c>
      <c r="M24" s="4">
        <f>SUM(Raw!AQ9:BB9)*293</f>
        <v>11684224.700000001</v>
      </c>
      <c r="N24" s="4">
        <f t="shared" si="0"/>
        <v>22988134.761775389</v>
      </c>
      <c r="O24" s="9">
        <f>N24/Processed!$V$20</f>
        <v>211.85303232305156</v>
      </c>
      <c r="P24" s="9">
        <f>Raw!Z9*-293/Processed!$V$20</f>
        <v>101.69297672025948</v>
      </c>
      <c r="Q24" s="12">
        <f>((L24*Processed!$V$21)+(Table3[[#This Row],[Natural Gas kWh]]*Processed!$V$22))/Processed!$V$20</f>
        <v>38.168594685828054</v>
      </c>
      <c r="R24" s="10">
        <f>1-(O24/Processed!$V$23)</f>
        <v>1.8919253546638481E-2</v>
      </c>
      <c r="S24" s="11">
        <f>1-(Processed!Q24/Processed!$V$24)</f>
        <v>1.7497856037206994E-2</v>
      </c>
      <c r="U24" t="s">
        <v>280</v>
      </c>
      <c r="V24" s="9">
        <v>38.848357655363536</v>
      </c>
      <c r="W24" t="s">
        <v>281</v>
      </c>
    </row>
    <row r="25" spans="1:23">
      <c r="B25" s="1" t="s">
        <v>87</v>
      </c>
      <c r="C25">
        <v>8</v>
      </c>
      <c r="D25">
        <f>VLOOKUP(MID($B25,2,1),Table2[],2,FALSE)</f>
        <v>5</v>
      </c>
      <c r="E25">
        <f>VLOOKUP(MID($B25,3,1),Table2[],3,FALSE)</f>
        <v>2.8</v>
      </c>
      <c r="F25" t="str">
        <f>VLOOKUP(MID($B25,4,1),Table2[],4,FALSE)</f>
        <v>Improved</v>
      </c>
      <c r="G25" s="7">
        <f>VLOOKUP(MID($B25,5,1),Table2[],5,FALSE)</f>
        <v>0.25</v>
      </c>
      <c r="H25" s="7">
        <f>VLOOKUP(MID($B25,6,1),Table2[],6,FALSE)</f>
        <v>0.75</v>
      </c>
      <c r="I25" t="s">
        <v>16</v>
      </c>
      <c r="J25" t="s">
        <v>16</v>
      </c>
      <c r="K25" t="s">
        <v>18</v>
      </c>
      <c r="L25" s="4">
        <f>SUM(Raw!AE10:AP10)*293</f>
        <v>11666718.031662323</v>
      </c>
      <c r="M25" s="4">
        <f>SUM(Raw!AQ10:BB10)*293</f>
        <v>7766375.1999999993</v>
      </c>
      <c r="N25" s="4">
        <f t="shared" si="0"/>
        <v>19433093.231662322</v>
      </c>
      <c r="O25" s="9">
        <f>N25/Processed!$V$20</f>
        <v>179.09063833181901</v>
      </c>
      <c r="P25" s="9">
        <f>Raw!Z10*-293/Processed!$V$20</f>
        <v>66.332676295328014</v>
      </c>
      <c r="Q25" s="12">
        <f>((L25*Processed!$V$21)+(Table3[[#This Row],[Natural Gas kWh]]*Processed!$V$22))/Processed!$V$20</f>
        <v>31.876868835681762</v>
      </c>
      <c r="R25" s="10">
        <f>1-(O25/Processed!$V$23)</f>
        <v>0.17064025371388591</v>
      </c>
      <c r="S25" s="11">
        <f>1-(Processed!Q25/Processed!$V$24)</f>
        <v>0.17945388789735017</v>
      </c>
    </row>
    <row r="26" spans="1:23">
      <c r="B26" s="1" t="s">
        <v>89</v>
      </c>
      <c r="C26">
        <v>9</v>
      </c>
      <c r="D26">
        <f>VLOOKUP(MID($B26,2,1),Table2[],2,FALSE)</f>
        <v>5</v>
      </c>
      <c r="E26">
        <f>VLOOKUP(MID($B26,3,1),Table2[],3,FALSE)</f>
        <v>4</v>
      </c>
      <c r="F26" t="str">
        <f>VLOOKUP(MID($B26,4,1),Table2[],4,FALSE)</f>
        <v>Current</v>
      </c>
      <c r="G26" s="7" t="str">
        <f>VLOOKUP(MID($B26,5,1),Table2[],5,FALSE)</f>
        <v>Current</v>
      </c>
      <c r="H26" s="7" t="str">
        <f>VLOOKUP(MID($B26,6,1),Table2[],6,FALSE)</f>
        <v>None</v>
      </c>
      <c r="I26" t="s">
        <v>16</v>
      </c>
      <c r="J26" t="s">
        <v>16</v>
      </c>
      <c r="K26" t="s">
        <v>18</v>
      </c>
      <c r="L26" s="4">
        <f>SUM(Raw!AE11:AP11)*293</f>
        <v>11840697.017222067</v>
      </c>
      <c r="M26" s="4">
        <f>SUM(Raw!AQ11:BB11)*293</f>
        <v>10787908.4</v>
      </c>
      <c r="N26" s="4">
        <f t="shared" si="0"/>
        <v>22628605.417222068</v>
      </c>
      <c r="O26" s="9">
        <f>N26/Processed!$V$20</f>
        <v>208.53969774231859</v>
      </c>
      <c r="P26" s="9">
        <f>Raw!Z11*-293/Processed!$V$20</f>
        <v>92.911346447878998</v>
      </c>
      <c r="Q26" s="12">
        <f>((L26*Processed!$V$21)+(Table3[[#This Row],[Natural Gas kWh]]*Processed!$V$22))/Processed!$V$20</f>
        <v>37.440123167367886</v>
      </c>
      <c r="R26" s="10">
        <f>1-(O26/Processed!$V$23)</f>
        <v>3.4263139485256389E-2</v>
      </c>
      <c r="S26" s="11">
        <f>1-(Processed!Q26/Processed!$V$24)</f>
        <v>3.6249524381147813E-2</v>
      </c>
    </row>
    <row r="27" spans="1:23">
      <c r="B27" s="1" t="s">
        <v>91</v>
      </c>
      <c r="C27">
        <v>10</v>
      </c>
      <c r="D27">
        <f>VLOOKUP(MID($B27,2,1),Table2[],2,FALSE)</f>
        <v>5</v>
      </c>
      <c r="E27">
        <f>VLOOKUP(MID($B27,3,1),Table2[],3,FALSE)</f>
        <v>4</v>
      </c>
      <c r="F27" t="str">
        <f>VLOOKUP(MID($B27,4,1),Table2[],4,FALSE)</f>
        <v>Current</v>
      </c>
      <c r="G27" s="7" t="str">
        <f>VLOOKUP(MID($B27,5,1),Table2[],5,FALSE)</f>
        <v>Current</v>
      </c>
      <c r="H27" s="7">
        <f>VLOOKUP(MID($B27,6,1),Table2[],6,FALSE)</f>
        <v>0.75</v>
      </c>
      <c r="I27" t="s">
        <v>16</v>
      </c>
      <c r="J27" t="s">
        <v>16</v>
      </c>
      <c r="K27" t="s">
        <v>18</v>
      </c>
      <c r="L27" s="4">
        <f>SUM(Raw!AE12:AP12)*293</f>
        <v>12201176.987302227</v>
      </c>
      <c r="M27" s="4">
        <f>SUM(Raw!AQ12:BB12)*293</f>
        <v>6831881</v>
      </c>
      <c r="N27" s="4">
        <f t="shared" si="0"/>
        <v>19033057.987302229</v>
      </c>
      <c r="O27" s="9">
        <f>N27/Processed!$V$20</f>
        <v>175.40401127694813</v>
      </c>
      <c r="P27" s="9">
        <f>Raw!Z12*-293/Processed!$V$20</f>
        <v>57.560607489217084</v>
      </c>
      <c r="Q27" s="12">
        <f>((L27*Processed!$V$21)+(Table3[[#This Row],[Natural Gas kWh]]*Processed!$V$22))/Processed!$V$20</f>
        <v>31.077900832681852</v>
      </c>
      <c r="R27" s="10">
        <f>1-(O27/Processed!$V$23)</f>
        <v>0.18771283834119745</v>
      </c>
      <c r="S27" s="11">
        <f>1-(Processed!Q27/Processed!$V$24)</f>
        <v>0.20002021428076688</v>
      </c>
    </row>
    <row r="28" spans="1:23">
      <c r="B28" s="1" t="s">
        <v>93</v>
      </c>
      <c r="C28">
        <v>11</v>
      </c>
      <c r="D28">
        <f>VLOOKUP(MID($B28,2,1),Table2[],2,FALSE)</f>
        <v>5</v>
      </c>
      <c r="E28">
        <f>VLOOKUP(MID($B28,3,1),Table2[],3,FALSE)</f>
        <v>4</v>
      </c>
      <c r="F28" t="str">
        <f>VLOOKUP(MID($B28,4,1),Table2[],4,FALSE)</f>
        <v>Current</v>
      </c>
      <c r="G28" s="7">
        <f>VLOOKUP(MID($B28,5,1),Table2[],5,FALSE)</f>
        <v>0.25</v>
      </c>
      <c r="H28" s="7" t="str">
        <f>VLOOKUP(MID($B28,6,1),Table2[],6,FALSE)</f>
        <v>None</v>
      </c>
      <c r="I28" t="s">
        <v>16</v>
      </c>
      <c r="J28" t="s">
        <v>16</v>
      </c>
      <c r="K28" t="s">
        <v>18</v>
      </c>
      <c r="L28" s="4">
        <f>SUM(Raw!AE13:AP13)*293</f>
        <v>11313475.060981493</v>
      </c>
      <c r="M28" s="4">
        <f>SUM(Raw!AQ13:BB13)*293</f>
        <v>11053923.1</v>
      </c>
      <c r="N28" s="4">
        <f t="shared" si="0"/>
        <v>22367398.160981491</v>
      </c>
      <c r="O28" s="9">
        <f>N28/Processed!$V$20</f>
        <v>206.13247550037462</v>
      </c>
      <c r="P28" s="9">
        <f>Raw!Z13*-293/Processed!$V$20</f>
        <v>95.517665522008542</v>
      </c>
      <c r="Q28" s="12">
        <f>((L28*Processed!$V$21)+(Table3[[#This Row],[Natural Gas kWh]]*Processed!$V$22))/Processed!$V$20</f>
        <v>37.079925915614005</v>
      </c>
      <c r="R28" s="10">
        <f>1-(O28/Processed!$V$23)</f>
        <v>4.5410864717738475E-2</v>
      </c>
      <c r="S28" s="11">
        <f>1-(Processed!Q28/Processed!$V$24)</f>
        <v>4.5521402872107597E-2</v>
      </c>
    </row>
    <row r="29" spans="1:23">
      <c r="B29" s="1" t="s">
        <v>95</v>
      </c>
      <c r="C29">
        <v>12</v>
      </c>
      <c r="D29">
        <f>VLOOKUP(MID($B29,2,1),Table2[],2,FALSE)</f>
        <v>5</v>
      </c>
      <c r="E29">
        <f>VLOOKUP(MID($B29,3,1),Table2[],3,FALSE)</f>
        <v>4</v>
      </c>
      <c r="F29" t="str">
        <f>VLOOKUP(MID($B29,4,1),Table2[],4,FALSE)</f>
        <v>Current</v>
      </c>
      <c r="G29" s="7">
        <f>VLOOKUP(MID($B29,5,1),Table2[],5,FALSE)</f>
        <v>0.25</v>
      </c>
      <c r="H29" s="7">
        <f>VLOOKUP(MID($B29,6,1),Table2[],6,FALSE)</f>
        <v>0.75</v>
      </c>
      <c r="I29" t="s">
        <v>16</v>
      </c>
      <c r="J29" t="s">
        <v>16</v>
      </c>
      <c r="K29" t="s">
        <v>18</v>
      </c>
      <c r="L29" s="4">
        <f>SUM(Raw!AE14:AP14)*293</f>
        <v>11676213.030874237</v>
      </c>
      <c r="M29" s="4">
        <f>SUM(Raw!AQ14:BB14)*293</f>
        <v>7115885.8999999994</v>
      </c>
      <c r="N29" s="4">
        <f t="shared" si="0"/>
        <v>18792098.930874236</v>
      </c>
      <c r="O29" s="9">
        <f>N29/Processed!$V$20</f>
        <v>173.18339149639709</v>
      </c>
      <c r="P29" s="9">
        <f>Raw!Z14*-293/Processed!$V$20</f>
        <v>60.161418121892275</v>
      </c>
      <c r="Q29" s="12">
        <f>((L29*Processed!$V$21)+(Table3[[#This Row],[Natural Gas kWh]]*Processed!$V$22))/Processed!$V$20</f>
        <v>30.752741865102976</v>
      </c>
      <c r="R29" s="10">
        <f>1-(O29/Processed!$V$23)</f>
        <v>0.19799641695228853</v>
      </c>
      <c r="S29" s="11">
        <f>1-(Processed!Q29/Processed!$V$24)</f>
        <v>0.20839016830722701</v>
      </c>
    </row>
    <row r="30" spans="1:23">
      <c r="B30" s="1" t="s">
        <v>97</v>
      </c>
      <c r="C30">
        <v>13</v>
      </c>
      <c r="D30">
        <f>VLOOKUP(MID($B30,2,1),Table2[],2,FALSE)</f>
        <v>5</v>
      </c>
      <c r="E30">
        <f>VLOOKUP(MID($B30,3,1),Table2[],3,FALSE)</f>
        <v>4</v>
      </c>
      <c r="F30" t="str">
        <f>VLOOKUP(MID($B30,4,1),Table2[],4,FALSE)</f>
        <v>Improved</v>
      </c>
      <c r="G30" s="7" t="str">
        <f>VLOOKUP(MID($B30,5,1),Table2[],5,FALSE)</f>
        <v>Current</v>
      </c>
      <c r="H30" s="7" t="str">
        <f>VLOOKUP(MID($B30,6,1),Table2[],6,FALSE)</f>
        <v>None</v>
      </c>
      <c r="I30" t="s">
        <v>16</v>
      </c>
      <c r="J30" t="s">
        <v>16</v>
      </c>
      <c r="K30" t="s">
        <v>18</v>
      </c>
      <c r="L30" s="4">
        <f>SUM(Raw!AE15:AP15)*293</f>
        <v>11843899.0169563</v>
      </c>
      <c r="M30" s="4">
        <f>SUM(Raw!AQ15:BB15)*293</f>
        <v>10587906.6</v>
      </c>
      <c r="N30" s="4">
        <f t="shared" si="0"/>
        <v>22431805.616956301</v>
      </c>
      <c r="O30" s="9">
        <f>N30/Processed!$V$20</f>
        <v>206.72603887530167</v>
      </c>
      <c r="P30" s="9">
        <f>Raw!Z15*-293/Processed!$V$20</f>
        <v>90.940715018664378</v>
      </c>
      <c r="Q30" s="12">
        <f>((L30*Processed!$V$21)+(Table3[[#This Row],[Natural Gas kWh]]*Processed!$V$22))/Processed!$V$20</f>
        <v>37.094937805693199</v>
      </c>
      <c r="R30" s="10">
        <f>1-(O30/Processed!$V$23)</f>
        <v>4.2662102556747517E-2</v>
      </c>
      <c r="S30" s="11">
        <f>1-(Processed!Q30/Processed!$V$24)</f>
        <v>4.5134980099429067E-2</v>
      </c>
    </row>
    <row r="31" spans="1:23">
      <c r="B31" s="1" t="s">
        <v>99</v>
      </c>
      <c r="C31">
        <v>14</v>
      </c>
      <c r="D31">
        <f>VLOOKUP(MID($B31,2,1),Table2[],2,FALSE)</f>
        <v>5</v>
      </c>
      <c r="E31">
        <f>VLOOKUP(MID($B31,3,1),Table2[],3,FALSE)</f>
        <v>4</v>
      </c>
      <c r="F31" t="str">
        <f>VLOOKUP(MID($B31,4,1),Table2[],4,FALSE)</f>
        <v>Improved</v>
      </c>
      <c r="G31" s="7" t="str">
        <f>VLOOKUP(MID($B31,5,1),Table2[],5,FALSE)</f>
        <v>Current</v>
      </c>
      <c r="H31" s="7">
        <f>VLOOKUP(MID($B31,6,1),Table2[],6,FALSE)</f>
        <v>0.75</v>
      </c>
      <c r="I31" t="s">
        <v>16</v>
      </c>
      <c r="J31" t="s">
        <v>16</v>
      </c>
      <c r="K31" t="s">
        <v>18</v>
      </c>
      <c r="L31" s="4">
        <f>SUM(Raw!AE16:AP16)*293</f>
        <v>12204442.987031147</v>
      </c>
      <c r="M31" s="4">
        <f>SUM(Raw!AQ16:BB16)*293</f>
        <v>6622093</v>
      </c>
      <c r="N31" s="4">
        <f t="shared" si="0"/>
        <v>18826535.987031147</v>
      </c>
      <c r="O31" s="9">
        <f>N31/Processed!$V$20</f>
        <v>173.50075499050936</v>
      </c>
      <c r="P31" s="9">
        <f>Raw!Z16*-293/Processed!$V$20</f>
        <v>55.592830188736414</v>
      </c>
      <c r="Q31" s="12">
        <f>((L31*Processed!$V$21)+(Table3[[#This Row],[Natural Gas kWh]]*Processed!$V$22))/Processed!$V$20</f>
        <v>30.715680165150786</v>
      </c>
      <c r="R31" s="10">
        <f>1-(O31/Processed!$V$23)</f>
        <v>0.19652672255949866</v>
      </c>
      <c r="S31" s="11">
        <f>1-(Processed!Q31/Processed!$V$24)</f>
        <v>0.20934417774775416</v>
      </c>
    </row>
    <row r="32" spans="1:23">
      <c r="B32" s="1" t="s">
        <v>101</v>
      </c>
      <c r="C32">
        <v>15</v>
      </c>
      <c r="D32">
        <f>VLOOKUP(MID($B32,2,1),Table2[],2,FALSE)</f>
        <v>5</v>
      </c>
      <c r="E32">
        <f>VLOOKUP(MID($B32,3,1),Table2[],3,FALSE)</f>
        <v>4</v>
      </c>
      <c r="F32" t="str">
        <f>VLOOKUP(MID($B32,4,1),Table2[],4,FALSE)</f>
        <v>Improved</v>
      </c>
      <c r="G32" s="7">
        <f>VLOOKUP(MID($B32,5,1),Table2[],5,FALSE)</f>
        <v>0.25</v>
      </c>
      <c r="H32" s="7" t="str">
        <f>VLOOKUP(MID($B32,6,1),Table2[],6,FALSE)</f>
        <v>None</v>
      </c>
      <c r="I32" t="s">
        <v>16</v>
      </c>
      <c r="J32" t="s">
        <v>16</v>
      </c>
      <c r="K32" t="s">
        <v>18</v>
      </c>
      <c r="L32" s="4">
        <f>SUM(Raw!AE17:AP17)*293</f>
        <v>11315829.060786109</v>
      </c>
      <c r="M32" s="4">
        <f>SUM(Raw!AQ17:BB17)*293</f>
        <v>10850551.799999999</v>
      </c>
      <c r="N32" s="4">
        <f t="shared" si="0"/>
        <v>22166380.86078611</v>
      </c>
      <c r="O32" s="9">
        <f>N32/Processed!$V$20</f>
        <v>204.27994918464253</v>
      </c>
      <c r="P32" s="9">
        <f>Raw!Z17*-293/Processed!$V$20</f>
        <v>93.513092372656047</v>
      </c>
      <c r="Q32" s="12">
        <f>((L32*Processed!$V$21)+(Table3[[#This Row],[Natural Gas kWh]]*Processed!$V$22))/Processed!$V$20</f>
        <v>36.727512037885923</v>
      </c>
      <c r="R32" s="10">
        <f>1-(O32/Processed!$V$23)</f>
        <v>5.398982099102656E-2</v>
      </c>
      <c r="S32" s="11">
        <f>1-(Processed!Q32/Processed!$V$24)</f>
        <v>5.4592928645589733E-2</v>
      </c>
    </row>
    <row r="33" spans="2:19">
      <c r="B33" s="1" t="s">
        <v>103</v>
      </c>
      <c r="C33">
        <v>16</v>
      </c>
      <c r="D33">
        <f>VLOOKUP(MID($B33,2,1),Table2[],2,FALSE)</f>
        <v>5</v>
      </c>
      <c r="E33">
        <f>VLOOKUP(MID($B33,3,1),Table2[],3,FALSE)</f>
        <v>4</v>
      </c>
      <c r="F33" t="str">
        <f>VLOOKUP(MID($B33,4,1),Table2[],4,FALSE)</f>
        <v>Improved</v>
      </c>
      <c r="G33" s="7">
        <f>VLOOKUP(MID($B33,5,1),Table2[],5,FALSE)</f>
        <v>0.25</v>
      </c>
      <c r="H33" s="7">
        <f>VLOOKUP(MID($B33,6,1),Table2[],6,FALSE)</f>
        <v>0.75</v>
      </c>
      <c r="I33" t="s">
        <v>16</v>
      </c>
      <c r="J33" t="s">
        <v>16</v>
      </c>
      <c r="K33" t="s">
        <v>18</v>
      </c>
      <c r="L33" s="4">
        <f>SUM(Raw!AE18:AP18)*293</f>
        <v>11678725.03066574</v>
      </c>
      <c r="M33" s="4">
        <f>SUM(Raw!AQ18:BB18)*293</f>
        <v>6907445.6999999993</v>
      </c>
      <c r="N33" s="4">
        <f t="shared" si="0"/>
        <v>18586170.73066574</v>
      </c>
      <c r="O33" s="9">
        <f>N33/Processed!$V$20</f>
        <v>171.28560752622738</v>
      </c>
      <c r="P33" s="9">
        <f>Raw!Z18*-293/Processed!$V$20</f>
        <v>58.158732423802803</v>
      </c>
      <c r="Q33" s="12">
        <f>((L33*Processed!$V$21)+(Table3[[#This Row],[Natural Gas kWh]]*Processed!$V$22))/Processed!$V$20</f>
        <v>30.391699911246373</v>
      </c>
      <c r="R33" s="10">
        <f>1-(O33/Processed!$V$23)</f>
        <v>0.20678495914894757</v>
      </c>
      <c r="S33" s="11">
        <f>1-(Processed!Q33/Processed!$V$24)</f>
        <v>0.2176837903712413</v>
      </c>
    </row>
    <row r="34" spans="2:19">
      <c r="B34" s="1" t="s">
        <v>105</v>
      </c>
      <c r="C34">
        <v>17</v>
      </c>
      <c r="D34">
        <f>VLOOKUP(MID($B34,2,1),Table2[],2,FALSE)</f>
        <v>5</v>
      </c>
      <c r="E34">
        <f>VLOOKUP(MID($B34,3,1),Table2[],3,FALSE)</f>
        <v>5.5</v>
      </c>
      <c r="F34" t="str">
        <f>VLOOKUP(MID($B34,4,1),Table2[],4,FALSE)</f>
        <v>Current</v>
      </c>
      <c r="G34" s="7" t="str">
        <f>VLOOKUP(MID($B34,5,1),Table2[],5,FALSE)</f>
        <v>Current</v>
      </c>
      <c r="H34" s="7" t="str">
        <f>VLOOKUP(MID($B34,6,1),Table2[],6,FALSE)</f>
        <v>None</v>
      </c>
      <c r="I34" t="s">
        <v>16</v>
      </c>
      <c r="J34" t="s">
        <v>16</v>
      </c>
      <c r="K34" t="s">
        <v>18</v>
      </c>
      <c r="L34" s="4">
        <f>SUM(Raw!AE19:AP19)*293</f>
        <v>11850580.016401777</v>
      </c>
      <c r="M34" s="4">
        <f>SUM(Raw!AQ19:BB19)*293</f>
        <v>10383832.1</v>
      </c>
      <c r="N34" s="4">
        <f t="shared" si="0"/>
        <v>22234412.116401777</v>
      </c>
      <c r="O34" s="9">
        <f>N34/Processed!$V$20</f>
        <v>204.90690861150691</v>
      </c>
      <c r="P34" s="9">
        <f>Raw!Z19*-293/Processed!$V$20</f>
        <v>88.925816241801357</v>
      </c>
      <c r="Q34" s="12">
        <f>((L34*Processed!$V$21)+(Table3[[#This Row],[Natural Gas kWh]]*Processed!$V$22))/Processed!$V$20</f>
        <v>36.748071646407311</v>
      </c>
      <c r="R34" s="10">
        <f>1-(O34/Processed!$V$23)</f>
        <v>5.108640339176318E-2</v>
      </c>
      <c r="S34" s="11">
        <f>1-(Processed!Q34/Processed!$V$24)</f>
        <v>5.4063701420496324E-2</v>
      </c>
    </row>
    <row r="35" spans="2:19">
      <c r="B35" s="1" t="s">
        <v>107</v>
      </c>
      <c r="C35">
        <v>18</v>
      </c>
      <c r="D35">
        <f>VLOOKUP(MID($B35,2,1),Table2[],2,FALSE)</f>
        <v>5</v>
      </c>
      <c r="E35">
        <f>VLOOKUP(MID($B35,3,1),Table2[],3,FALSE)</f>
        <v>5.5</v>
      </c>
      <c r="F35" t="str">
        <f>VLOOKUP(MID($B35,4,1),Table2[],4,FALSE)</f>
        <v>Current</v>
      </c>
      <c r="G35" s="7" t="str">
        <f>VLOOKUP(MID($B35,5,1),Table2[],5,FALSE)</f>
        <v>Current</v>
      </c>
      <c r="H35" s="7">
        <f>VLOOKUP(MID($B35,6,1),Table2[],6,FALSE)</f>
        <v>0.75</v>
      </c>
      <c r="I35" t="s">
        <v>16</v>
      </c>
      <c r="J35" t="s">
        <v>16</v>
      </c>
      <c r="K35" t="s">
        <v>18</v>
      </c>
      <c r="L35" s="4">
        <f>SUM(Raw!AE20:AP20)*293</f>
        <v>12210641.986516632</v>
      </c>
      <c r="M35" s="4">
        <f>SUM(Raw!AQ20:BB20)*293</f>
        <v>6406679.3999999994</v>
      </c>
      <c r="N35" s="4">
        <f t="shared" si="0"/>
        <v>18617321.386516631</v>
      </c>
      <c r="O35" s="9">
        <f>N35/Processed!$V$20</f>
        <v>171.57268435822144</v>
      </c>
      <c r="P35" s="9">
        <f>Raw!Z20*-293/Processed!$V$20</f>
        <v>53.580172591484725</v>
      </c>
      <c r="Q35" s="12">
        <f>((L35*Processed!$V$21)+(Table3[[#This Row],[Natural Gas kWh]]*Processed!$V$22))/Processed!$V$20</f>
        <v>30.348204175728078</v>
      </c>
      <c r="R35" s="10">
        <f>1-(O35/Processed!$V$23)</f>
        <v>0.20545552076643381</v>
      </c>
      <c r="S35" s="11">
        <f>1-(Processed!Q35/Processed!$V$24)</f>
        <v>0.21880341905423895</v>
      </c>
    </row>
    <row r="36" spans="2:19">
      <c r="B36" s="1" t="s">
        <v>109</v>
      </c>
      <c r="C36">
        <v>19</v>
      </c>
      <c r="D36">
        <f>VLOOKUP(MID($B36,2,1),Table2[],2,FALSE)</f>
        <v>5</v>
      </c>
      <c r="E36">
        <f>VLOOKUP(MID($B36,3,1),Table2[],3,FALSE)</f>
        <v>5.5</v>
      </c>
      <c r="F36" t="str">
        <f>VLOOKUP(MID($B36,4,1),Table2[],4,FALSE)</f>
        <v>Current</v>
      </c>
      <c r="G36" s="7">
        <f>VLOOKUP(MID($B36,5,1),Table2[],5,FALSE)</f>
        <v>0.25</v>
      </c>
      <c r="H36" s="7" t="str">
        <f>VLOOKUP(MID($B36,6,1),Table2[],6,FALSE)</f>
        <v>None</v>
      </c>
      <c r="I36" t="s">
        <v>16</v>
      </c>
      <c r="J36" t="s">
        <v>16</v>
      </c>
      <c r="K36" t="s">
        <v>18</v>
      </c>
      <c r="L36" s="4">
        <f>SUM(Raw!AE21:AP21)*293</f>
        <v>11321347.060328115</v>
      </c>
      <c r="M36" s="4">
        <f>SUM(Raw!AQ21:BB21)*293</f>
        <v>10642932</v>
      </c>
      <c r="N36" s="4">
        <f t="shared" si="0"/>
        <v>21964279.060328115</v>
      </c>
      <c r="O36" s="9">
        <f>N36/Processed!$V$20</f>
        <v>202.41742837951099</v>
      </c>
      <c r="P36" s="9">
        <f>Raw!Z21*-293/Processed!$V$20</f>
        <v>91.447637444150885</v>
      </c>
      <c r="Q36" s="12">
        <f>((L36*Processed!$V$21)+(Table3[[#This Row],[Natural Gas kWh]]*Processed!$V$22))/Processed!$V$20</f>
        <v>36.372616034204164</v>
      </c>
      <c r="R36" s="10">
        <f>1-(O36/Processed!$V$23)</f>
        <v>6.2615061242471071E-2</v>
      </c>
      <c r="S36" s="11">
        <f>1-(Processed!Q36/Processed!$V$24)</f>
        <v>6.3728347106008609E-2</v>
      </c>
    </row>
    <row r="37" spans="2:19">
      <c r="B37" s="1" t="s">
        <v>111</v>
      </c>
      <c r="C37">
        <v>20</v>
      </c>
      <c r="D37">
        <f>VLOOKUP(MID($B37,2,1),Table2[],2,FALSE)</f>
        <v>5</v>
      </c>
      <c r="E37">
        <f>VLOOKUP(MID($B37,3,1),Table2[],3,FALSE)</f>
        <v>5.5</v>
      </c>
      <c r="F37" t="str">
        <f>VLOOKUP(MID($B37,4,1),Table2[],4,FALSE)</f>
        <v>Current</v>
      </c>
      <c r="G37" s="7">
        <f>VLOOKUP(MID($B37,5,1),Table2[],5,FALSE)</f>
        <v>0.25</v>
      </c>
      <c r="H37" s="7">
        <f>VLOOKUP(MID($B37,6,1),Table2[],6,FALSE)</f>
        <v>0.75</v>
      </c>
      <c r="I37" t="s">
        <v>16</v>
      </c>
      <c r="J37" t="s">
        <v>16</v>
      </c>
      <c r="K37" t="s">
        <v>18</v>
      </c>
      <c r="L37" s="4">
        <f>SUM(Raw!AE22:AP22)*293</f>
        <v>11683878.030238044</v>
      </c>
      <c r="M37" s="4">
        <f>SUM(Raw!AQ22:BB22)*293</f>
        <v>6689688.1000000006</v>
      </c>
      <c r="N37" s="4">
        <f t="shared" si="0"/>
        <v>18373566.130238045</v>
      </c>
      <c r="O37" s="9">
        <f>N37/Processed!$V$20</f>
        <v>169.32629548315845</v>
      </c>
      <c r="P37" s="9">
        <f>Raw!Z22*-293/Processed!$V$20</f>
        <v>56.095567278804168</v>
      </c>
      <c r="Q37" s="12">
        <f>((L37*Processed!$V$21)+(Table3[[#This Row],[Natural Gas kWh]]*Processed!$V$22))/Processed!$V$20</f>
        <v>30.018480847367016</v>
      </c>
      <c r="R37" s="10">
        <f>1-(O37/Processed!$V$23)</f>
        <v>0.21585843475923738</v>
      </c>
      <c r="S37" s="11">
        <f>1-(Processed!Q37/Processed!$V$24)</f>
        <v>0.22729086481156402</v>
      </c>
    </row>
    <row r="38" spans="2:19">
      <c r="B38" s="1" t="s">
        <v>113</v>
      </c>
      <c r="C38">
        <v>21</v>
      </c>
      <c r="D38">
        <f>VLOOKUP(MID($B38,2,1),Table2[],2,FALSE)</f>
        <v>5</v>
      </c>
      <c r="E38">
        <f>VLOOKUP(MID($B38,3,1),Table2[],3,FALSE)</f>
        <v>5.5</v>
      </c>
      <c r="F38" t="str">
        <f>VLOOKUP(MID($B38,4,1),Table2[],4,FALSE)</f>
        <v>Improved</v>
      </c>
      <c r="G38" s="7" t="str">
        <f>VLOOKUP(MID($B38,5,1),Table2[],5,FALSE)</f>
        <v>Current</v>
      </c>
      <c r="H38" s="7" t="str">
        <f>VLOOKUP(MID($B38,6,1),Table2[],6,FALSE)</f>
        <v>None</v>
      </c>
      <c r="I38" t="s">
        <v>16</v>
      </c>
      <c r="J38" t="s">
        <v>16</v>
      </c>
      <c r="K38" t="s">
        <v>18</v>
      </c>
      <c r="L38" s="4">
        <f>SUM(Raw!AE23:AP23)*293</f>
        <v>11855250.016014166</v>
      </c>
      <c r="M38" s="4">
        <f>SUM(Raw!AQ23:BB23)*293</f>
        <v>10181164</v>
      </c>
      <c r="N38" s="4">
        <f t="shared" si="0"/>
        <v>22036414.016014166</v>
      </c>
      <c r="O38" s="9">
        <f>N38/Processed!$V$20</f>
        <v>203.08220650339732</v>
      </c>
      <c r="P38" s="9">
        <f>Raw!Z23*-293/Processed!$V$20</f>
        <v>86.961187393642135</v>
      </c>
      <c r="Q38" s="12">
        <f>((L38*Processed!$V$21)+(Table3[[#This Row],[Natural Gas kWh]]*Processed!$V$22))/Processed!$V$20</f>
        <v>36.400517494362205</v>
      </c>
      <c r="R38" s="10">
        <f>1-(O38/Processed!$V$23)</f>
        <v>5.9536507157799234E-2</v>
      </c>
      <c r="S38" s="11">
        <f>1-(Processed!Q38/Processed!$V$24)</f>
        <v>6.3010132441554401E-2</v>
      </c>
    </row>
    <row r="39" spans="2:19">
      <c r="B39" s="1" t="s">
        <v>115</v>
      </c>
      <c r="C39">
        <v>22</v>
      </c>
      <c r="D39">
        <f>VLOOKUP(MID($B39,2,1),Table2[],2,FALSE)</f>
        <v>5</v>
      </c>
      <c r="E39">
        <f>VLOOKUP(MID($B39,3,1),Table2[],3,FALSE)</f>
        <v>5.5</v>
      </c>
      <c r="F39" t="str">
        <f>VLOOKUP(MID($B39,4,1),Table2[],4,FALSE)</f>
        <v>Improved</v>
      </c>
      <c r="G39" s="7" t="str">
        <f>VLOOKUP(MID($B39,5,1),Table2[],5,FALSE)</f>
        <v>Current</v>
      </c>
      <c r="H39" s="7">
        <f>VLOOKUP(MID($B39,6,1),Table2[],6,FALSE)</f>
        <v>0.75</v>
      </c>
      <c r="I39" t="s">
        <v>16</v>
      </c>
      <c r="J39" t="s">
        <v>16</v>
      </c>
      <c r="K39" t="s">
        <v>18</v>
      </c>
      <c r="L39" s="4">
        <f>SUM(Raw!AE24:AP24)*293</f>
        <v>12215403.986121384</v>
      </c>
      <c r="M39" s="4">
        <f>SUM(Raw!AQ24:BB24)*293</f>
        <v>6196276.1000000006</v>
      </c>
      <c r="N39" s="4">
        <f t="shared" si="0"/>
        <v>18411680.086121384</v>
      </c>
      <c r="O39" s="9">
        <f>N39/Processed!$V$20</f>
        <v>169.67754438662055</v>
      </c>
      <c r="P39" s="9">
        <f>Raw!Z24*-293/Processed!$V$20</f>
        <v>51.618735399109362</v>
      </c>
      <c r="Q39" s="12">
        <f>((L39*Processed!$V$21)+(Table3[[#This Row],[Natural Gas kWh]]*Processed!$V$22))/Processed!$V$20</f>
        <v>29.987249872630681</v>
      </c>
      <c r="R39" s="10">
        <f>1-(O39/Processed!$V$23)</f>
        <v>0.21423181873858932</v>
      </c>
      <c r="S39" s="11">
        <f>1-(Processed!Q39/Processed!$V$24)</f>
        <v>0.22809478489007529</v>
      </c>
    </row>
    <row r="40" spans="2:19">
      <c r="B40" s="1" t="s">
        <v>117</v>
      </c>
      <c r="C40">
        <v>23</v>
      </c>
      <c r="D40">
        <f>VLOOKUP(MID($B40,2,1),Table2[],2,FALSE)</f>
        <v>5</v>
      </c>
      <c r="E40">
        <f>VLOOKUP(MID($B40,3,1),Table2[],3,FALSE)</f>
        <v>5.5</v>
      </c>
      <c r="F40" t="str">
        <f>VLOOKUP(MID($B40,4,1),Table2[],4,FALSE)</f>
        <v>Improved</v>
      </c>
      <c r="G40" s="7">
        <f>VLOOKUP(MID($B40,5,1),Table2[],5,FALSE)</f>
        <v>0.25</v>
      </c>
      <c r="H40" s="7" t="str">
        <f>VLOOKUP(MID($B40,6,1),Table2[],6,FALSE)</f>
        <v>None</v>
      </c>
      <c r="I40" t="s">
        <v>16</v>
      </c>
      <c r="J40" t="s">
        <v>16</v>
      </c>
      <c r="K40" t="s">
        <v>18</v>
      </c>
      <c r="L40" s="4">
        <f>SUM(Raw!AE25:AP25)*293</f>
        <v>11324809.060040768</v>
      </c>
      <c r="M40" s="4">
        <f>SUM(Raw!AQ25:BB25)*293</f>
        <v>10440293.200000001</v>
      </c>
      <c r="N40" s="4">
        <f t="shared" si="0"/>
        <v>21765102.260040767</v>
      </c>
      <c r="O40" s="9">
        <f>N40/Processed!$V$20</f>
        <v>200.5818636611659</v>
      </c>
      <c r="P40" s="9">
        <f>Raw!Z25*-293/Processed!$V$20</f>
        <v>89.443971567508498</v>
      </c>
      <c r="Q40" s="12">
        <f>((L40*Processed!$V$21)+(Table3[[#This Row],[Natural Gas kWh]]*Processed!$V$22))/Processed!$V$20</f>
        <v>36.023220638851839</v>
      </c>
      <c r="R40" s="10">
        <f>1-(O40/Processed!$V$23)</f>
        <v>7.1115469210629834E-2</v>
      </c>
      <c r="S40" s="11">
        <f>1-(Processed!Q40/Processed!$V$24)</f>
        <v>7.272217378079171E-2</v>
      </c>
    </row>
    <row r="41" spans="2:19">
      <c r="B41" s="1" t="s">
        <v>119</v>
      </c>
      <c r="C41">
        <v>24</v>
      </c>
      <c r="D41">
        <f>VLOOKUP(MID($B41,2,1),Table2[],2,FALSE)</f>
        <v>5</v>
      </c>
      <c r="E41">
        <f>VLOOKUP(MID($B41,3,1),Table2[],3,FALSE)</f>
        <v>5.5</v>
      </c>
      <c r="F41" t="str">
        <f>VLOOKUP(MID($B41,4,1),Table2[],4,FALSE)</f>
        <v>Improved</v>
      </c>
      <c r="G41" s="7">
        <f>VLOOKUP(MID($B41,5,1),Table2[],5,FALSE)</f>
        <v>0.25</v>
      </c>
      <c r="H41" s="7">
        <f>VLOOKUP(MID($B41,6,1),Table2[],6,FALSE)</f>
        <v>0.75</v>
      </c>
      <c r="I41" t="s">
        <v>16</v>
      </c>
      <c r="J41" t="s">
        <v>16</v>
      </c>
      <c r="K41" t="s">
        <v>18</v>
      </c>
      <c r="L41" s="4">
        <f>SUM(Raw!AE26:AP26)*293</f>
        <v>11687454.029941235</v>
      </c>
      <c r="M41" s="4">
        <f>SUM(Raw!AQ26:BB26)*293</f>
        <v>6475446.5</v>
      </c>
      <c r="N41" s="4">
        <f t="shared" si="0"/>
        <v>18162900.529941235</v>
      </c>
      <c r="O41" s="9">
        <f>N41/Processed!$V$20</f>
        <v>167.38485279145968</v>
      </c>
      <c r="P41" s="9">
        <f>Raw!Z26*-293/Processed!$V$20</f>
        <v>54.094331596921066</v>
      </c>
      <c r="Q41" s="12">
        <f>((L41*Processed!$V$21)+(Table3[[#This Row],[Natural Gas kWh]]*Processed!$V$22))/Processed!$V$20</f>
        <v>29.648947625156399</v>
      </c>
      <c r="R41" s="10">
        <f>1-(O41/Processed!$V$23)</f>
        <v>0.22484915830131902</v>
      </c>
      <c r="S41" s="11">
        <f>1-(Processed!Q41/Processed!$V$24)</f>
        <v>0.23680306158160158</v>
      </c>
    </row>
    <row r="42" spans="2:19">
      <c r="B42" s="1" t="s">
        <v>121</v>
      </c>
      <c r="C42">
        <v>25</v>
      </c>
      <c r="D42">
        <f>VLOOKUP(MID($B42,2,1),Table2[],2,FALSE)</f>
        <v>10</v>
      </c>
      <c r="E42">
        <f>VLOOKUP(MID($B42,3,1),Table2[],3,FALSE)</f>
        <v>2.8</v>
      </c>
      <c r="F42" t="str">
        <f>VLOOKUP(MID($B42,4,1),Table2[],4,FALSE)</f>
        <v>Current</v>
      </c>
      <c r="G42" s="7" t="str">
        <f>VLOOKUP(MID($B42,5,1),Table2[],5,FALSE)</f>
        <v>Current</v>
      </c>
      <c r="H42" s="7" t="str">
        <f>VLOOKUP(MID($B42,6,1),Table2[],6,FALSE)</f>
        <v>None</v>
      </c>
      <c r="I42" t="s">
        <v>16</v>
      </c>
      <c r="J42" t="s">
        <v>16</v>
      </c>
      <c r="K42" t="s">
        <v>18</v>
      </c>
      <c r="L42" s="4">
        <f>SUM(Raw!AE27:AP27)*293</f>
        <v>11827896.01828455</v>
      </c>
      <c r="M42" s="4">
        <f>SUM(Raw!AQ27:BB27)*293</f>
        <v>11032446.200000001</v>
      </c>
      <c r="N42" s="4">
        <f t="shared" si="0"/>
        <v>22860342.218284551</v>
      </c>
      <c r="O42" s="9">
        <f>N42/Processed!$V$20</f>
        <v>210.67532747107606</v>
      </c>
      <c r="P42" s="9">
        <f>Raw!Z27*-293/Processed!$V$20</f>
        <v>95.304170212189788</v>
      </c>
      <c r="Q42" s="12">
        <f>((L42*Processed!$V$21)+(Table3[[#This Row],[Natural Gas kWh]]*Processed!$V$22))/Processed!$V$20</f>
        <v>37.848252233392031</v>
      </c>
      <c r="R42" s="10">
        <f>1-(O42/Processed!$V$23)</f>
        <v>2.4373145533022722E-2</v>
      </c>
      <c r="S42" s="11">
        <f>1-(Processed!Q42/Processed!$V$24)</f>
        <v>2.5743827598679103E-2</v>
      </c>
    </row>
    <row r="43" spans="2:19">
      <c r="B43" s="1" t="s">
        <v>123</v>
      </c>
      <c r="C43">
        <v>26</v>
      </c>
      <c r="D43">
        <f>VLOOKUP(MID($B43,2,1),Table2[],2,FALSE)</f>
        <v>10</v>
      </c>
      <c r="E43">
        <f>VLOOKUP(MID($B43,3,1),Table2[],3,FALSE)</f>
        <v>2.8</v>
      </c>
      <c r="F43" t="str">
        <f>VLOOKUP(MID($B43,4,1),Table2[],4,FALSE)</f>
        <v>Current</v>
      </c>
      <c r="G43" s="7" t="str">
        <f>VLOOKUP(MID($B43,5,1),Table2[],5,FALSE)</f>
        <v>Current</v>
      </c>
      <c r="H43" s="7">
        <f>VLOOKUP(MID($B43,6,1),Table2[],6,FALSE)</f>
        <v>0.75</v>
      </c>
      <c r="I43" t="s">
        <v>16</v>
      </c>
      <c r="J43" t="s">
        <v>16</v>
      </c>
      <c r="K43" t="s">
        <v>18</v>
      </c>
      <c r="L43" s="4">
        <f>SUM(Raw!AE28:AP28)*293</f>
        <v>12188284.988372263</v>
      </c>
      <c r="M43" s="4">
        <f>SUM(Raw!AQ28:BB28)*293</f>
        <v>7085120.8999999994</v>
      </c>
      <c r="N43" s="4">
        <f t="shared" si="0"/>
        <v>19273405.888372261</v>
      </c>
      <c r="O43" s="9">
        <f>N43/Processed!$V$20</f>
        <v>177.61899879906909</v>
      </c>
      <c r="P43" s="9">
        <f>Raw!Z28*-293/Processed!$V$20</f>
        <v>59.949351226548686</v>
      </c>
      <c r="Q43" s="12">
        <f>((L43*Processed!$V$21)+(Table3[[#This Row],[Natural Gas kWh]]*Processed!$V$22))/Processed!$V$20</f>
        <v>31.501124652118904</v>
      </c>
      <c r="R43" s="10">
        <f>1-(O43/Processed!$V$23)</f>
        <v>0.1774553424358587</v>
      </c>
      <c r="S43" s="11">
        <f>1-(Processed!Q43/Processed!$V$24)</f>
        <v>0.18912596173110674</v>
      </c>
    </row>
    <row r="44" spans="2:19">
      <c r="B44" s="1" t="s">
        <v>125</v>
      </c>
      <c r="C44">
        <v>27</v>
      </c>
      <c r="D44">
        <f>VLOOKUP(MID($B44,2,1),Table2[],2,FALSE)</f>
        <v>10</v>
      </c>
      <c r="E44">
        <f>VLOOKUP(MID($B44,3,1),Table2[],3,FALSE)</f>
        <v>2.8</v>
      </c>
      <c r="F44" t="str">
        <f>VLOOKUP(MID($B44,4,1),Table2[],4,FALSE)</f>
        <v>Current</v>
      </c>
      <c r="G44" s="7">
        <f>VLOOKUP(MID($B44,5,1),Table2[],5,FALSE)</f>
        <v>0.25</v>
      </c>
      <c r="H44" s="7" t="str">
        <f>VLOOKUP(MID($B44,6,1),Table2[],6,FALSE)</f>
        <v>None</v>
      </c>
      <c r="I44" t="s">
        <v>16</v>
      </c>
      <c r="J44" t="s">
        <v>16</v>
      </c>
      <c r="K44" t="s">
        <v>18</v>
      </c>
      <c r="L44" s="4">
        <f>SUM(Raw!AE29:AP29)*293</f>
        <v>11302694.061876312</v>
      </c>
      <c r="M44" s="4">
        <f>SUM(Raw!AQ29:BB29)*293</f>
        <v>11305375.700000001</v>
      </c>
      <c r="N44" s="4">
        <f t="shared" si="0"/>
        <v>22608069.761876315</v>
      </c>
      <c r="O44" s="9">
        <f>N44/Processed!$V$20</f>
        <v>208.3504461609779</v>
      </c>
      <c r="P44" s="9">
        <f>Raw!Z29*-293/Processed!$V$20</f>
        <v>97.984639928857618</v>
      </c>
      <c r="Q44" s="12">
        <f>((L44*Processed!$V$21)+(Table3[[#This Row],[Natural Gas kWh]]*Processed!$V$22))/Processed!$V$20</f>
        <v>37.503327442192344</v>
      </c>
      <c r="R44" s="10">
        <f>1-(O44/Processed!$V$23)</f>
        <v>3.5139554047999511E-2</v>
      </c>
      <c r="S44" s="11">
        <f>1-(Processed!Q44/Processed!$V$24)</f>
        <v>3.4622575942679368E-2</v>
      </c>
    </row>
    <row r="45" spans="2:19">
      <c r="B45" s="1" t="s">
        <v>127</v>
      </c>
      <c r="C45">
        <v>28</v>
      </c>
      <c r="D45">
        <f>VLOOKUP(MID($B45,2,1),Table2[],2,FALSE)</f>
        <v>10</v>
      </c>
      <c r="E45">
        <f>VLOOKUP(MID($B45,3,1),Table2[],3,FALSE)</f>
        <v>2.8</v>
      </c>
      <c r="F45" t="str">
        <f>VLOOKUP(MID($B45,4,1),Table2[],4,FALSE)</f>
        <v>Current</v>
      </c>
      <c r="G45" s="7">
        <f>VLOOKUP(MID($B45,5,1),Table2[],5,FALSE)</f>
        <v>0.25</v>
      </c>
      <c r="H45" s="7">
        <f>VLOOKUP(MID($B45,6,1),Table2[],6,FALSE)</f>
        <v>0.75</v>
      </c>
      <c r="I45" t="s">
        <v>16</v>
      </c>
      <c r="J45" t="s">
        <v>16</v>
      </c>
      <c r="K45" t="s">
        <v>18</v>
      </c>
      <c r="L45" s="4">
        <f>SUM(Raw!AE30:AP30)*293</f>
        <v>11665153.031792218</v>
      </c>
      <c r="M45" s="4">
        <f>SUM(Raw!AQ30:BB30)*293</f>
        <v>7377417.6999999993</v>
      </c>
      <c r="N45" s="4">
        <f t="shared" si="0"/>
        <v>19042570.731792219</v>
      </c>
      <c r="O45" s="9">
        <f>N45/Processed!$V$20</f>
        <v>175.4916784055257</v>
      </c>
      <c r="P45" s="9">
        <f>Raw!Z30*-293/Processed!$V$20</f>
        <v>62.625549200872996</v>
      </c>
      <c r="Q45" s="12">
        <f>((L45*Processed!$V$21)+(Table3[[#This Row],[Natural Gas kWh]]*Processed!$V$22))/Processed!$V$20</f>
        <v>31.193354902813262</v>
      </c>
      <c r="R45" s="10">
        <f>1-(O45/Processed!$V$23)</f>
        <v>0.18730685627428445</v>
      </c>
      <c r="S45" s="11">
        <f>1-(Processed!Q45/Processed!$V$24)</f>
        <v>0.19704829790902112</v>
      </c>
    </row>
    <row r="46" spans="2:19">
      <c r="B46" s="1" t="s">
        <v>129</v>
      </c>
      <c r="C46">
        <v>29</v>
      </c>
      <c r="D46">
        <f>VLOOKUP(MID($B46,2,1),Table2[],2,FALSE)</f>
        <v>10</v>
      </c>
      <c r="E46">
        <f>VLOOKUP(MID($B46,3,1),Table2[],3,FALSE)</f>
        <v>2.8</v>
      </c>
      <c r="F46" t="str">
        <f>VLOOKUP(MID($B46,4,1),Table2[],4,FALSE)</f>
        <v>Improved</v>
      </c>
      <c r="G46" s="7" t="str">
        <f>VLOOKUP(MID($B46,5,1),Table2[],5,FALSE)</f>
        <v>Current</v>
      </c>
      <c r="H46" s="7" t="str">
        <f>VLOOKUP(MID($B46,6,1),Table2[],6,FALSE)</f>
        <v>None</v>
      </c>
      <c r="I46" t="s">
        <v>16</v>
      </c>
      <c r="J46" t="s">
        <v>16</v>
      </c>
      <c r="K46" t="s">
        <v>18</v>
      </c>
      <c r="L46" s="4">
        <f>SUM(Raw!AE31:AP31)*293</f>
        <v>11829221.018174574</v>
      </c>
      <c r="M46" s="4">
        <f>SUM(Raw!AQ31:BB31)*293</f>
        <v>10831125.9</v>
      </c>
      <c r="N46" s="4">
        <f t="shared" si="0"/>
        <v>22660346.918174572</v>
      </c>
      <c r="O46" s="9">
        <f>N46/Processed!$V$20</f>
        <v>208.83221965838351</v>
      </c>
      <c r="P46" s="9">
        <f>Raw!Z31*-293/Processed!$V$20</f>
        <v>93.322686613266796</v>
      </c>
      <c r="Q46" s="12">
        <f>((L46*Processed!$V$21)+(Table3[[#This Row],[Natural Gas kWh]]*Processed!$V$22))/Processed!$V$20</f>
        <v>37.497817531476556</v>
      </c>
      <c r="R46" s="10">
        <f>1-(O46/Processed!$V$23)</f>
        <v>3.2908485192041925E-2</v>
      </c>
      <c r="S46" s="11">
        <f>1-(Processed!Q46/Processed!$V$24)</f>
        <v>3.4764407182101831E-2</v>
      </c>
    </row>
    <row r="47" spans="2:19">
      <c r="B47" s="1" t="s">
        <v>131</v>
      </c>
      <c r="C47">
        <v>30</v>
      </c>
      <c r="D47">
        <f>VLOOKUP(MID($B47,2,1),Table2[],2,FALSE)</f>
        <v>10</v>
      </c>
      <c r="E47">
        <f>VLOOKUP(MID($B47,3,1),Table2[],3,FALSE)</f>
        <v>2.8</v>
      </c>
      <c r="F47" t="str">
        <f>VLOOKUP(MID($B47,4,1),Table2[],4,FALSE)</f>
        <v>Improved</v>
      </c>
      <c r="G47" s="7" t="str">
        <f>VLOOKUP(MID($B47,5,1),Table2[],5,FALSE)</f>
        <v>Current</v>
      </c>
      <c r="H47" s="7">
        <f>VLOOKUP(MID($B47,6,1),Table2[],6,FALSE)</f>
        <v>0.75</v>
      </c>
      <c r="I47" t="s">
        <v>16</v>
      </c>
      <c r="J47" t="s">
        <v>16</v>
      </c>
      <c r="K47" t="s">
        <v>18</v>
      </c>
      <c r="L47" s="4">
        <f>SUM(Raw!AE32:AP32)*293</f>
        <v>12189950.988233984</v>
      </c>
      <c r="M47" s="4">
        <f>SUM(Raw!AQ32:BB32)*293</f>
        <v>6877618.2999999998</v>
      </c>
      <c r="N47" s="4">
        <f t="shared" si="0"/>
        <v>19067569.288233984</v>
      </c>
      <c r="O47" s="9">
        <f>N47/Processed!$V$20</f>
        <v>175.72205899276207</v>
      </c>
      <c r="P47" s="9">
        <f>Raw!Z32*-293/Processed!$V$20</f>
        <v>57.969933293171081</v>
      </c>
      <c r="Q47" s="12">
        <f>((L47*Processed!$V$21)+(Table3[[#This Row],[Natural Gas kWh]]*Processed!$V$22))/Processed!$V$20</f>
        <v>31.140399019968505</v>
      </c>
      <c r="R47" s="10">
        <f>1-(O47/Processed!$V$23)</f>
        <v>0.18623997535209136</v>
      </c>
      <c r="S47" s="11">
        <f>1-(Processed!Q47/Processed!$V$24)</f>
        <v>0.19841144132204636</v>
      </c>
    </row>
    <row r="48" spans="2:19">
      <c r="B48" s="1" t="s">
        <v>133</v>
      </c>
      <c r="C48">
        <v>31</v>
      </c>
      <c r="D48">
        <f>VLOOKUP(MID($B48,2,1),Table2[],2,FALSE)</f>
        <v>10</v>
      </c>
      <c r="E48">
        <f>VLOOKUP(MID($B48,3,1),Table2[],3,FALSE)</f>
        <v>2.8</v>
      </c>
      <c r="F48" t="str">
        <f>VLOOKUP(MID($B48,4,1),Table2[],4,FALSE)</f>
        <v>Improved</v>
      </c>
      <c r="G48" s="7">
        <f>VLOOKUP(MID($B48,5,1),Table2[],5,FALSE)</f>
        <v>0.25</v>
      </c>
      <c r="H48" s="7" t="str">
        <f>VLOOKUP(MID($B48,6,1),Table2[],6,FALSE)</f>
        <v>None</v>
      </c>
      <c r="I48" t="s">
        <v>16</v>
      </c>
      <c r="J48" t="s">
        <v>16</v>
      </c>
      <c r="K48" t="s">
        <v>18</v>
      </c>
      <c r="L48" s="4">
        <f>SUM(Raw!AE33:AP33)*293</f>
        <v>11303518.061807923</v>
      </c>
      <c r="M48" s="4">
        <f>SUM(Raw!AQ33:BB33)*293</f>
        <v>11102033.700000001</v>
      </c>
      <c r="N48" s="4">
        <f t="shared" si="0"/>
        <v>22405551.761807926</v>
      </c>
      <c r="O48" s="9">
        <f>N48/Processed!$V$20</f>
        <v>206.4840897619442</v>
      </c>
      <c r="P48" s="9">
        <f>Raw!Z33*-293/Processed!$V$20</f>
        <v>95.971976931173131</v>
      </c>
      <c r="Q48" s="12">
        <f>((L48*Processed!$V$21)+(Table3[[#This Row],[Natural Gas kWh]]*Processed!$V$22))/Processed!$V$20</f>
        <v>37.148567850735787</v>
      </c>
      <c r="R48" s="10">
        <f>1-(O48/Processed!$V$23)</f>
        <v>4.3782556742055112E-2</v>
      </c>
      <c r="S48" s="11">
        <f>1-(Processed!Q48/Processed!$V$24)</f>
        <v>4.3754483000469135E-2</v>
      </c>
    </row>
    <row r="49" spans="2:19">
      <c r="B49" s="1" t="s">
        <v>135</v>
      </c>
      <c r="C49">
        <v>32</v>
      </c>
      <c r="D49">
        <f>VLOOKUP(MID($B49,2,1),Table2[],2,FALSE)</f>
        <v>10</v>
      </c>
      <c r="E49">
        <f>VLOOKUP(MID($B49,3,1),Table2[],3,FALSE)</f>
        <v>2.8</v>
      </c>
      <c r="F49" t="str">
        <f>VLOOKUP(MID($B49,4,1),Table2[],4,FALSE)</f>
        <v>Improved</v>
      </c>
      <c r="G49" s="7">
        <f>VLOOKUP(MID($B49,5,1),Table2[],5,FALSE)</f>
        <v>0.25</v>
      </c>
      <c r="H49" s="7">
        <f>VLOOKUP(MID($B49,6,1),Table2[],6,FALSE)</f>
        <v>0.75</v>
      </c>
      <c r="I49" t="s">
        <v>16</v>
      </c>
      <c r="J49" t="s">
        <v>16</v>
      </c>
      <c r="K49" t="s">
        <v>18</v>
      </c>
      <c r="L49" s="4">
        <f>SUM(Raw!AE34:AP34)*293</f>
        <v>11666149.031709548</v>
      </c>
      <c r="M49" s="4">
        <f>SUM(Raw!AQ34:BB34)*293</f>
        <v>7165871.6999999993</v>
      </c>
      <c r="N49" s="4">
        <f t="shared" si="0"/>
        <v>18832020.731709547</v>
      </c>
      <c r="O49" s="9">
        <f>N49/Processed!$V$20</f>
        <v>173.55130105715105</v>
      </c>
      <c r="P49" s="9">
        <f>Raw!Z34*-293/Processed!$V$20</f>
        <v>60.613860981308605</v>
      </c>
      <c r="Q49" s="12">
        <f>((L49*Processed!$V$21)+(Table3[[#This Row],[Natural Gas kWh]]*Processed!$V$22))/Processed!$V$20</f>
        <v>30.824499628785201</v>
      </c>
      <c r="R49" s="10">
        <f>1-(O49/Processed!$V$23)</f>
        <v>0.19629264626496878</v>
      </c>
      <c r="S49" s="11">
        <f>1-(Processed!Q49/Processed!$V$24)</f>
        <v>0.20654304353765995</v>
      </c>
    </row>
    <row r="50" spans="2:19">
      <c r="B50" s="1" t="s">
        <v>137</v>
      </c>
      <c r="C50">
        <v>33</v>
      </c>
      <c r="D50">
        <f>VLOOKUP(MID($B50,2,1),Table2[],2,FALSE)</f>
        <v>10</v>
      </c>
      <c r="E50">
        <f>VLOOKUP(MID($B50,3,1),Table2[],3,FALSE)</f>
        <v>4</v>
      </c>
      <c r="F50" t="str">
        <f>VLOOKUP(MID($B50,4,1),Table2[],4,FALSE)</f>
        <v>Current</v>
      </c>
      <c r="G50" s="7" t="str">
        <f>VLOOKUP(MID($B50,5,1),Table2[],5,FALSE)</f>
        <v>Current</v>
      </c>
      <c r="H50" s="7" t="str">
        <f>VLOOKUP(MID($B50,6,1),Table2[],6,FALSE)</f>
        <v>None</v>
      </c>
      <c r="I50" t="s">
        <v>16</v>
      </c>
      <c r="J50" t="s">
        <v>16</v>
      </c>
      <c r="K50" t="s">
        <v>18</v>
      </c>
      <c r="L50" s="4">
        <f>SUM(Raw!AE35:AP35)*293</f>
        <v>11843882.016957711</v>
      </c>
      <c r="M50" s="4">
        <f>SUM(Raw!AQ35:BB35)*293</f>
        <v>10219195.4</v>
      </c>
      <c r="N50" s="4">
        <f t="shared" si="0"/>
        <v>22063077.416957714</v>
      </c>
      <c r="O50" s="9">
        <f>N50/Processed!$V$20</f>
        <v>203.32792989072183</v>
      </c>
      <c r="P50" s="9">
        <f>Raw!Z35*-293/Processed!$V$20</f>
        <v>87.295401278019739</v>
      </c>
      <c r="Q50" s="12">
        <f>((L50*Processed!$V$21)+(Table3[[#This Row],[Natural Gas kWh]]*Processed!$V$22))/Processed!$V$20</f>
        <v>36.449300231979684</v>
      </c>
      <c r="R50" s="10">
        <f>1-(O50/Processed!$V$23)</f>
        <v>5.8398574499418543E-2</v>
      </c>
      <c r="S50" s="11">
        <f>1-(Processed!Q50/Processed!$V$24)</f>
        <v>6.1754410435228002E-2</v>
      </c>
    </row>
    <row r="51" spans="2:19">
      <c r="B51" s="1" t="s">
        <v>139</v>
      </c>
      <c r="C51">
        <v>34</v>
      </c>
      <c r="D51">
        <f>VLOOKUP(MID($B51,2,1),Table2[],2,FALSE)</f>
        <v>10</v>
      </c>
      <c r="E51">
        <f>VLOOKUP(MID($B51,3,1),Table2[],3,FALSE)</f>
        <v>4</v>
      </c>
      <c r="F51" t="str">
        <f>VLOOKUP(MID($B51,4,1),Table2[],4,FALSE)</f>
        <v>Current</v>
      </c>
      <c r="G51" s="7" t="str">
        <f>VLOOKUP(MID($B51,5,1),Table2[],5,FALSE)</f>
        <v>Current</v>
      </c>
      <c r="H51" s="7">
        <f>VLOOKUP(MID($B51,6,1),Table2[],6,FALSE)</f>
        <v>0.75</v>
      </c>
      <c r="I51" t="s">
        <v>16</v>
      </c>
      <c r="J51" t="s">
        <v>16</v>
      </c>
      <c r="K51" t="s">
        <v>18</v>
      </c>
      <c r="L51" s="4">
        <f>SUM(Raw!AE36:AP36)*293</f>
        <v>12203733.987089993</v>
      </c>
      <c r="M51" s="4">
        <f>SUM(Raw!AQ36:BB36)*293</f>
        <v>6233692.1999999993</v>
      </c>
      <c r="N51" s="4">
        <f t="shared" si="0"/>
        <v>18437426.187089995</v>
      </c>
      <c r="O51" s="9">
        <f>N51/Processed!$V$20</f>
        <v>169.91481416153786</v>
      </c>
      <c r="P51" s="9">
        <f>Raw!Z36*-293/Processed!$V$20</f>
        <v>51.95064599889843</v>
      </c>
      <c r="Q51" s="12">
        <f>((L51*Processed!$V$21)+(Table3[[#This Row],[Natural Gas kWh]]*Processed!$V$22))/Processed!$V$20</f>
        <v>30.034482087050169</v>
      </c>
      <c r="R51" s="10">
        <f>1-(O51/Processed!$V$23)</f>
        <v>0.21313303433444764</v>
      </c>
      <c r="S51" s="11">
        <f>1-(Processed!Q51/Processed!$V$24)</f>
        <v>0.22687897507802346</v>
      </c>
    </row>
    <row r="52" spans="2:19">
      <c r="B52" s="1" t="s">
        <v>141</v>
      </c>
      <c r="C52">
        <v>35</v>
      </c>
      <c r="D52">
        <f>VLOOKUP(MID($B52,2,1),Table2[],2,FALSE)</f>
        <v>10</v>
      </c>
      <c r="E52">
        <f>VLOOKUP(MID($B52,3,1),Table2[],3,FALSE)</f>
        <v>4</v>
      </c>
      <c r="F52" t="str">
        <f>VLOOKUP(MID($B52,4,1),Table2[],4,FALSE)</f>
        <v>Current</v>
      </c>
      <c r="G52" s="7">
        <f>VLOOKUP(MID($B52,5,1),Table2[],5,FALSE)</f>
        <v>0.25</v>
      </c>
      <c r="H52" s="7" t="str">
        <f>VLOOKUP(MID($B52,6,1),Table2[],6,FALSE)</f>
        <v>None</v>
      </c>
      <c r="I52" t="s">
        <v>16</v>
      </c>
      <c r="J52" t="s">
        <v>16</v>
      </c>
      <c r="K52" t="s">
        <v>18</v>
      </c>
      <c r="L52" s="4">
        <f>SUM(Raw!AE37:AP37)*293</f>
        <v>11315082.060848113</v>
      </c>
      <c r="M52" s="4">
        <f>SUM(Raw!AQ37:BB37)*293</f>
        <v>10480434.200000001</v>
      </c>
      <c r="N52" s="4">
        <f t="shared" si="0"/>
        <v>21795516.260848112</v>
      </c>
      <c r="O52" s="9">
        <f>N52/Processed!$V$20</f>
        <v>200.86215166029601</v>
      </c>
      <c r="P52" s="9">
        <f>Raw!Z37*-293/Processed!$V$20</f>
        <v>89.808849109315346</v>
      </c>
      <c r="Q52" s="12">
        <f>((L52*Processed!$V$21)+(Table3[[#This Row],[Natural Gas kWh]]*Processed!$V$22))/Processed!$V$20</f>
        <v>36.078268191637747</v>
      </c>
      <c r="R52" s="10">
        <f>1-(O52/Processed!$V$23)</f>
        <v>6.9817469571950341E-2</v>
      </c>
      <c r="S52" s="11">
        <f>1-(Processed!Q52/Processed!$V$24)</f>
        <v>7.1305188453528845E-2</v>
      </c>
    </row>
    <row r="53" spans="2:19">
      <c r="B53" s="1" t="s">
        <v>143</v>
      </c>
      <c r="C53">
        <v>36</v>
      </c>
      <c r="D53">
        <f>VLOOKUP(MID($B53,2,1),Table2[],2,FALSE)</f>
        <v>10</v>
      </c>
      <c r="E53">
        <f>VLOOKUP(MID($B53,3,1),Table2[],3,FALSE)</f>
        <v>4</v>
      </c>
      <c r="F53" t="str">
        <f>VLOOKUP(MID($B53,4,1),Table2[],4,FALSE)</f>
        <v>Current</v>
      </c>
      <c r="G53" s="7">
        <f>VLOOKUP(MID($B53,5,1),Table2[],5,FALSE)</f>
        <v>0.25</v>
      </c>
      <c r="H53" s="7">
        <f>VLOOKUP(MID($B53,6,1),Table2[],6,FALSE)</f>
        <v>0.75</v>
      </c>
      <c r="I53" t="s">
        <v>16</v>
      </c>
      <c r="J53" t="s">
        <v>16</v>
      </c>
      <c r="K53" t="s">
        <v>18</v>
      </c>
      <c r="L53" s="4">
        <f>SUM(Raw!AE38:AP38)*293</f>
        <v>11677331.030781444</v>
      </c>
      <c r="M53" s="4">
        <f>SUM(Raw!AQ38:BB38)*293</f>
        <v>6514386.1999999993</v>
      </c>
      <c r="N53" s="4">
        <f t="shared" si="0"/>
        <v>18191717.230781443</v>
      </c>
      <c r="O53" s="9">
        <f>N53/Processed!$V$20</f>
        <v>167.65042046442704</v>
      </c>
      <c r="P53" s="9">
        <f>Raw!Z38*-293/Processed!$V$20</f>
        <v>54.456530524059914</v>
      </c>
      <c r="Q53" s="12">
        <f>((L53*Processed!$V$21)+(Table3[[#This Row],[Natural Gas kWh]]*Processed!$V$22))/Processed!$V$20</f>
        <v>29.701271304749909</v>
      </c>
      <c r="R53" s="10">
        <f>1-(O53/Processed!$V$23)</f>
        <v>0.22361932775335969</v>
      </c>
      <c r="S53" s="11">
        <f>1-(Processed!Q53/Processed!$V$24)</f>
        <v>0.23545619178448718</v>
      </c>
    </row>
    <row r="54" spans="2:19">
      <c r="B54" s="1" t="s">
        <v>145</v>
      </c>
      <c r="C54">
        <v>37</v>
      </c>
      <c r="D54">
        <f>VLOOKUP(MID($B54,2,1),Table2[],2,FALSE)</f>
        <v>10</v>
      </c>
      <c r="E54">
        <f>VLOOKUP(MID($B54,3,1),Table2[],3,FALSE)</f>
        <v>4</v>
      </c>
      <c r="F54" t="str">
        <f>VLOOKUP(MID($B54,4,1),Table2[],4,FALSE)</f>
        <v>Improved</v>
      </c>
      <c r="G54" s="7" t="str">
        <f>VLOOKUP(MID($B54,5,1),Table2[],5,FALSE)</f>
        <v>Current</v>
      </c>
      <c r="H54" s="7" t="str">
        <f>VLOOKUP(MID($B54,6,1),Table2[],6,FALSE)</f>
        <v>None</v>
      </c>
      <c r="I54" t="s">
        <v>16</v>
      </c>
      <c r="J54" t="s">
        <v>16</v>
      </c>
      <c r="K54" t="s">
        <v>18</v>
      </c>
      <c r="L54" s="4">
        <f>SUM(Raw!AE39:AP39)*293</f>
        <v>11847414.016664553</v>
      </c>
      <c r="M54" s="4">
        <f>SUM(Raw!AQ39:BB39)*293</f>
        <v>10014945.1</v>
      </c>
      <c r="N54" s="4">
        <f t="shared" si="0"/>
        <v>21862359.116664551</v>
      </c>
      <c r="O54" s="9">
        <f>N54/Processed!$V$20</f>
        <v>201.47815908502156</v>
      </c>
      <c r="P54" s="9">
        <f>Raw!Z39*-293/Processed!$V$20</f>
        <v>85.323400839090709</v>
      </c>
      <c r="Q54" s="12">
        <f>((L54*Processed!$V$21)+(Table3[[#This Row],[Natural Gas kWh]]*Processed!$V$22))/Processed!$V$20</f>
        <v>36.097192777973071</v>
      </c>
      <c r="R54" s="10">
        <f>1-(O54/Processed!$V$23)</f>
        <v>6.6964770144221641E-2</v>
      </c>
      <c r="S54" s="11">
        <f>1-(Processed!Q54/Processed!$V$24)</f>
        <v>7.0818048520788102E-2</v>
      </c>
    </row>
    <row r="55" spans="2:19">
      <c r="B55" s="1" t="s">
        <v>147</v>
      </c>
      <c r="C55">
        <v>38</v>
      </c>
      <c r="D55">
        <f>VLOOKUP(MID($B55,2,1),Table2[],2,FALSE)</f>
        <v>10</v>
      </c>
      <c r="E55">
        <f>VLOOKUP(MID($B55,3,1),Table2[],3,FALSE)</f>
        <v>4</v>
      </c>
      <c r="F55" t="str">
        <f>VLOOKUP(MID($B55,4,1),Table2[],4,FALSE)</f>
        <v>Improved</v>
      </c>
      <c r="G55" s="7" t="str">
        <f>VLOOKUP(MID($B55,5,1),Table2[],5,FALSE)</f>
        <v>Current</v>
      </c>
      <c r="H55" s="7">
        <f>VLOOKUP(MID($B55,6,1),Table2[],6,FALSE)</f>
        <v>0.75</v>
      </c>
      <c r="I55" t="s">
        <v>16</v>
      </c>
      <c r="J55" t="s">
        <v>16</v>
      </c>
      <c r="K55" t="s">
        <v>18</v>
      </c>
      <c r="L55" s="4">
        <f>SUM(Raw!AE40:AP40)*293</f>
        <v>12207715.986759489</v>
      </c>
      <c r="M55" s="4">
        <f>SUM(Raw!AQ40:BB40)*293</f>
        <v>6019479.8999999994</v>
      </c>
      <c r="N55" s="4">
        <f t="shared" si="0"/>
        <v>18227195.88675949</v>
      </c>
      <c r="O55" s="9">
        <f>N55/Processed!$V$20</f>
        <v>167.97738308795374</v>
      </c>
      <c r="P55" s="9">
        <f>Raw!Z40*-293/Processed!$V$20</f>
        <v>49.9820559332816</v>
      </c>
      <c r="Q55" s="12">
        <f>((L55*Processed!$V$21)+(Table3[[#This Row],[Natural Gas kWh]]*Processed!$V$22))/Processed!$V$20</f>
        <v>29.665636240351834</v>
      </c>
      <c r="R55" s="10">
        <f>1-(O55/Processed!$V$23)</f>
        <v>0.22210518027463599</v>
      </c>
      <c r="S55" s="11">
        <f>1-(Processed!Q55/Processed!$V$24)</f>
        <v>0.23637347803669395</v>
      </c>
    </row>
    <row r="56" spans="2:19">
      <c r="B56" s="1" t="s">
        <v>149</v>
      </c>
      <c r="C56">
        <v>39</v>
      </c>
      <c r="D56">
        <f>VLOOKUP(MID($B56,2,1),Table2[],2,FALSE)</f>
        <v>10</v>
      </c>
      <c r="E56">
        <f>VLOOKUP(MID($B56,3,1),Table2[],3,FALSE)</f>
        <v>4</v>
      </c>
      <c r="F56" t="str">
        <f>VLOOKUP(MID($B56,4,1),Table2[],4,FALSE)</f>
        <v>Improved</v>
      </c>
      <c r="G56" s="7">
        <f>VLOOKUP(MID($B56,5,1),Table2[],5,FALSE)</f>
        <v>0.25</v>
      </c>
      <c r="H56" s="7" t="str">
        <f>VLOOKUP(MID($B56,6,1),Table2[],6,FALSE)</f>
        <v>None</v>
      </c>
      <c r="I56" t="s">
        <v>16</v>
      </c>
      <c r="J56" t="s">
        <v>16</v>
      </c>
      <c r="K56" t="s">
        <v>18</v>
      </c>
      <c r="L56" s="4">
        <f>SUM(Raw!AE41:AP41)*293</f>
        <v>11318717.060546404</v>
      </c>
      <c r="M56" s="4">
        <f>SUM(Raw!AQ41:BB41)*293</f>
        <v>10273957.1</v>
      </c>
      <c r="N56" s="4">
        <f t="shared" si="0"/>
        <v>21592674.160546403</v>
      </c>
      <c r="O56" s="9">
        <f>N56/Processed!$V$20</f>
        <v>198.99280843271288</v>
      </c>
      <c r="P56" s="9">
        <f>Raw!Z41*-293/Processed!$V$20</f>
        <v>87.791101604151166</v>
      </c>
      <c r="Q56" s="12">
        <f>((L56*Processed!$V$21)+(Table3[[#This Row],[Natural Gas kWh]]*Processed!$V$22))/Processed!$V$20</f>
        <v>35.722422993018355</v>
      </c>
      <c r="R56" s="10">
        <f>1-(O56/Processed!$V$23)</f>
        <v>7.8474304118921534E-2</v>
      </c>
      <c r="S56" s="11">
        <f>1-(Processed!Q56/Processed!$V$24)</f>
        <v>8.0465040248969277E-2</v>
      </c>
    </row>
    <row r="57" spans="2:19">
      <c r="B57" s="1" t="s">
        <v>151</v>
      </c>
      <c r="C57">
        <v>40</v>
      </c>
      <c r="D57">
        <f>VLOOKUP(MID($B57,2,1),Table2[],2,FALSE)</f>
        <v>10</v>
      </c>
      <c r="E57">
        <f>VLOOKUP(MID($B57,3,1),Table2[],3,FALSE)</f>
        <v>4</v>
      </c>
      <c r="F57" t="str">
        <f>VLOOKUP(MID($B57,4,1),Table2[],4,FALSE)</f>
        <v>Improved</v>
      </c>
      <c r="G57" s="7">
        <f>VLOOKUP(MID($B57,5,1),Table2[],5,FALSE)</f>
        <v>0.25</v>
      </c>
      <c r="H57" s="7">
        <f>VLOOKUP(MID($B57,6,1),Table2[],6,FALSE)</f>
        <v>0.75</v>
      </c>
      <c r="I57" t="s">
        <v>16</v>
      </c>
      <c r="J57" t="s">
        <v>16</v>
      </c>
      <c r="K57" t="s">
        <v>18</v>
      </c>
      <c r="L57" s="4">
        <f>SUM(Raw!AE42:AP42)*293</f>
        <v>11680923.030483307</v>
      </c>
      <c r="M57" s="4">
        <f>SUM(Raw!AQ42:BB42)*293</f>
        <v>6299207</v>
      </c>
      <c r="N57" s="4">
        <f t="shared" si="0"/>
        <v>17980130.030483305</v>
      </c>
      <c r="O57" s="9">
        <f>N57/Processed!$V$20</f>
        <v>165.70048453232866</v>
      </c>
      <c r="P57" s="9">
        <f>Raw!Z42*-293/Processed!$V$20</f>
        <v>52.441672250442871</v>
      </c>
      <c r="Q57" s="12">
        <f>((L57*Processed!$V$21)+(Table3[[#This Row],[Natural Gas kWh]]*Processed!$V$22))/Processed!$V$20</f>
        <v>29.330121417821807</v>
      </c>
      <c r="R57" s="10">
        <f>1-(O57/Processed!$V$23)</f>
        <v>0.23264938306492178</v>
      </c>
      <c r="S57" s="11">
        <f>1-(Processed!Q57/Processed!$V$24)</f>
        <v>0.24501000330518752</v>
      </c>
    </row>
    <row r="58" spans="2:19">
      <c r="B58" s="1" t="s">
        <v>153</v>
      </c>
      <c r="C58">
        <v>41</v>
      </c>
      <c r="D58">
        <f>VLOOKUP(MID($B58,2,1),Table2[],2,FALSE)</f>
        <v>10</v>
      </c>
      <c r="E58">
        <f>VLOOKUP(MID($B58,3,1),Table2[],3,FALSE)</f>
        <v>5.5</v>
      </c>
      <c r="F58" t="str">
        <f>VLOOKUP(MID($B58,4,1),Table2[],4,FALSE)</f>
        <v>Current</v>
      </c>
      <c r="G58" s="7" t="str">
        <f>VLOOKUP(MID($B58,5,1),Table2[],5,FALSE)</f>
        <v>Current</v>
      </c>
      <c r="H58" s="7" t="str">
        <f>VLOOKUP(MID($B58,6,1),Table2[],6,FALSE)</f>
        <v>None</v>
      </c>
      <c r="I58" t="s">
        <v>16</v>
      </c>
      <c r="J58" t="s">
        <v>16</v>
      </c>
      <c r="K58" t="s">
        <v>18</v>
      </c>
      <c r="L58" s="4">
        <f>SUM(Raw!AE43:AP43)*293</f>
        <v>11854763.016054589</v>
      </c>
      <c r="M58" s="4">
        <f>SUM(Raw!AQ43:BB43)*293</f>
        <v>9816437.5999999996</v>
      </c>
      <c r="N58" s="4">
        <f t="shared" si="0"/>
        <v>21671200.616054587</v>
      </c>
      <c r="O58" s="9">
        <f>N58/Processed!$V$20</f>
        <v>199.71648905706053</v>
      </c>
      <c r="P58" s="9">
        <f>Raw!Z43*-293/Processed!$V$20</f>
        <v>83.350179902349268</v>
      </c>
      <c r="Q58" s="12">
        <f>((L58*Processed!$V$21)+(Table3[[#This Row],[Natural Gas kWh]]*Processed!$V$22))/Processed!$V$20</f>
        <v>35.761120941010596</v>
      </c>
      <c r="R58" s="10">
        <f>1-(O58/Processed!$V$23)</f>
        <v>7.5122975514636203E-2</v>
      </c>
      <c r="S58" s="11">
        <f>1-(Processed!Q58/Processed!$V$24)</f>
        <v>7.9468911961242394E-2</v>
      </c>
    </row>
    <row r="59" spans="2:19">
      <c r="B59" s="1" t="s">
        <v>155</v>
      </c>
      <c r="C59">
        <v>42</v>
      </c>
      <c r="D59">
        <f>VLOOKUP(MID($B59,2,1),Table2[],2,FALSE)</f>
        <v>10</v>
      </c>
      <c r="E59">
        <f>VLOOKUP(MID($B59,3,1),Table2[],3,FALSE)</f>
        <v>5.5</v>
      </c>
      <c r="F59" t="str">
        <f>VLOOKUP(MID($B59,4,1),Table2[],4,FALSE)</f>
        <v>Current</v>
      </c>
      <c r="G59" s="7" t="str">
        <f>VLOOKUP(MID($B59,5,1),Table2[],5,FALSE)</f>
        <v>Current</v>
      </c>
      <c r="H59" s="7">
        <f>VLOOKUP(MID($B59,6,1),Table2[],6,FALSE)</f>
        <v>0.75</v>
      </c>
      <c r="I59" t="s">
        <v>16</v>
      </c>
      <c r="J59" t="s">
        <v>16</v>
      </c>
      <c r="K59" t="s">
        <v>18</v>
      </c>
      <c r="L59" s="4">
        <f>SUM(Raw!AE44:AP44)*293</f>
        <v>12214169.986223808</v>
      </c>
      <c r="M59" s="4">
        <f>SUM(Raw!AQ44:BB44)*293</f>
        <v>5805121.1000000006</v>
      </c>
      <c r="N59" s="4">
        <f t="shared" si="0"/>
        <v>18019291.086223807</v>
      </c>
      <c r="O59" s="9">
        <f>N59/Processed!$V$20</f>
        <v>166.06138325219317</v>
      </c>
      <c r="P59" s="9">
        <f>Raw!Z44*-293/Processed!$V$20</f>
        <v>48.013328156628418</v>
      </c>
      <c r="Q59" s="12">
        <f>((L59*Processed!$V$21)+(Table3[[#This Row],[Natural Gas kWh]]*Processed!$V$22))/Processed!$V$20</f>
        <v>29.30040670191952</v>
      </c>
      <c r="R59" s="10">
        <f>1-(O59/Processed!$V$23)</f>
        <v>0.2309780792294458</v>
      </c>
      <c r="S59" s="11">
        <f>1-(Processed!Q59/Processed!$V$24)</f>
        <v>0.24577489319231993</v>
      </c>
    </row>
    <row r="60" spans="2:19">
      <c r="B60" s="1" t="s">
        <v>157</v>
      </c>
      <c r="C60">
        <v>43</v>
      </c>
      <c r="D60">
        <f>VLOOKUP(MID($B60,2,1),Table2[],2,FALSE)</f>
        <v>10</v>
      </c>
      <c r="E60">
        <f>VLOOKUP(MID($B60,3,1),Table2[],3,FALSE)</f>
        <v>5.5</v>
      </c>
      <c r="F60" t="str">
        <f>VLOOKUP(MID($B60,4,1),Table2[],4,FALSE)</f>
        <v>Current</v>
      </c>
      <c r="G60" s="7">
        <f>VLOOKUP(MID($B60,5,1),Table2[],5,FALSE)</f>
        <v>0.25</v>
      </c>
      <c r="H60" s="7" t="str">
        <f>VLOOKUP(MID($B60,6,1),Table2[],6,FALSE)</f>
        <v>None</v>
      </c>
      <c r="I60" t="s">
        <v>16</v>
      </c>
      <c r="J60" t="s">
        <v>16</v>
      </c>
      <c r="K60" t="s">
        <v>18</v>
      </c>
      <c r="L60" s="4">
        <f>SUM(Raw!AE45:AP45)*293</f>
        <v>11325075.060018692</v>
      </c>
      <c r="M60" s="4">
        <f>SUM(Raw!AQ45:BB45)*293</f>
        <v>10065604.799999999</v>
      </c>
      <c r="N60" s="4">
        <f t="shared" si="0"/>
        <v>21390679.860018693</v>
      </c>
      <c r="O60" s="9">
        <f>N60/Processed!$V$20</f>
        <v>197.13127832066891</v>
      </c>
      <c r="P60" s="9">
        <f>Raw!Z45*-293/Processed!$V$20</f>
        <v>85.7532185852982</v>
      </c>
      <c r="Q60" s="12">
        <f>((L60*Processed!$V$21)+(Table3[[#This Row],[Natural Gas kWh]]*Processed!$V$22))/Processed!$V$20</f>
        <v>35.367560396341524</v>
      </c>
      <c r="R60" s="10">
        <f>1-(O60/Processed!$V$23)</f>
        <v>8.709495652046273E-2</v>
      </c>
      <c r="S60" s="11">
        <f>1-(Processed!Q60/Processed!$V$24)</f>
        <v>8.9599598775868539E-2</v>
      </c>
    </row>
    <row r="61" spans="2:19">
      <c r="B61" s="1" t="s">
        <v>159</v>
      </c>
      <c r="C61">
        <v>44</v>
      </c>
      <c r="D61">
        <f>VLOOKUP(MID($B61,2,1),Table2[],2,FALSE)</f>
        <v>10</v>
      </c>
      <c r="E61">
        <f>VLOOKUP(MID($B61,3,1),Table2[],3,FALSE)</f>
        <v>5.5</v>
      </c>
      <c r="F61" t="str">
        <f>VLOOKUP(MID($B61,4,1),Table2[],4,FALSE)</f>
        <v>Current</v>
      </c>
      <c r="G61" s="7">
        <f>VLOOKUP(MID($B61,5,1),Table2[],5,FALSE)</f>
        <v>0.25</v>
      </c>
      <c r="H61" s="7">
        <f>VLOOKUP(MID($B61,6,1),Table2[],6,FALSE)</f>
        <v>0.75</v>
      </c>
      <c r="I61" t="s">
        <v>16</v>
      </c>
      <c r="J61" t="s">
        <v>16</v>
      </c>
      <c r="K61" t="s">
        <v>18</v>
      </c>
      <c r="L61" s="4">
        <f>SUM(Raw!AE46:AP46)*293</f>
        <v>11686581.030013693</v>
      </c>
      <c r="M61" s="4">
        <f>SUM(Raw!AQ46:BB46)*293</f>
        <v>6076292.6000000006</v>
      </c>
      <c r="N61" s="4">
        <f t="shared" si="0"/>
        <v>17762873.630013693</v>
      </c>
      <c r="O61" s="9">
        <f>N61/Processed!$V$20</f>
        <v>163.69830263684008</v>
      </c>
      <c r="P61" s="9">
        <f>Raw!Z46*-293/Processed!$V$20</f>
        <v>50.40728061139405</v>
      </c>
      <c r="Q61" s="12">
        <f>((L61*Processed!$V$21)+(Table3[[#This Row],[Natural Gas kWh]]*Processed!$V$22))/Processed!$V$20</f>
        <v>28.948664002858596</v>
      </c>
      <c r="R61" s="10">
        <f>1-(O61/Processed!$V$23)</f>
        <v>0.24192138680743136</v>
      </c>
      <c r="S61" s="11">
        <f>1-(Processed!Q61/Processed!$V$24)</f>
        <v>0.25482914207927021</v>
      </c>
    </row>
    <row r="62" spans="2:19">
      <c r="B62" s="1" t="s">
        <v>161</v>
      </c>
      <c r="C62">
        <v>45</v>
      </c>
      <c r="D62">
        <f>VLOOKUP(MID($B62,2,1),Table2[],2,FALSE)</f>
        <v>10</v>
      </c>
      <c r="E62">
        <f>VLOOKUP(MID($B62,3,1),Table2[],3,FALSE)</f>
        <v>5.5</v>
      </c>
      <c r="F62" t="str">
        <f>VLOOKUP(MID($B62,4,1),Table2[],4,FALSE)</f>
        <v>Improved</v>
      </c>
      <c r="G62" s="7" t="str">
        <f>VLOOKUP(MID($B62,5,1),Table2[],5,FALSE)</f>
        <v>Current</v>
      </c>
      <c r="H62" s="7" t="str">
        <f>VLOOKUP(MID($B62,6,1),Table2[],6,FALSE)</f>
        <v>None</v>
      </c>
      <c r="I62" t="s">
        <v>16</v>
      </c>
      <c r="J62" t="s">
        <v>16</v>
      </c>
      <c r="K62" t="s">
        <v>18</v>
      </c>
      <c r="L62" s="4">
        <f>SUM(Raw!AE47:AP47)*293</f>
        <v>11859379.01567146</v>
      </c>
      <c r="M62" s="4">
        <f>SUM(Raw!AQ47:BB47)*293</f>
        <v>9619951.7999999989</v>
      </c>
      <c r="N62" s="4">
        <f t="shared" si="0"/>
        <v>21479330.815671459</v>
      </c>
      <c r="O62" s="9">
        <f>N62/Processed!$V$20</f>
        <v>197.9482638642113</v>
      </c>
      <c r="P62" s="9">
        <f>Raw!Z47*-293/Processed!$V$20</f>
        <v>81.400170025775282</v>
      </c>
      <c r="Q62" s="12">
        <f>((L62*Processed!$V$21)+(Table3[[#This Row],[Natural Gas kWh]]*Processed!$V$22))/Processed!$V$20</f>
        <v>35.424307355880217</v>
      </c>
      <c r="R62" s="10">
        <f>1-(O62/Processed!$V$23)</f>
        <v>8.3311537524231705E-2</v>
      </c>
      <c r="S62" s="11">
        <f>1-(Processed!Q62/Processed!$V$24)</f>
        <v>8.8138868825786365E-2</v>
      </c>
    </row>
    <row r="63" spans="2:19">
      <c r="B63" s="1" t="s">
        <v>163</v>
      </c>
      <c r="C63">
        <v>46</v>
      </c>
      <c r="D63">
        <f>VLOOKUP(MID($B63,2,1),Table2[],2,FALSE)</f>
        <v>10</v>
      </c>
      <c r="E63">
        <f>VLOOKUP(MID($B63,3,1),Table2[],3,FALSE)</f>
        <v>5.5</v>
      </c>
      <c r="F63" t="str">
        <f>VLOOKUP(MID($B63,4,1),Table2[],4,FALSE)</f>
        <v>Improved</v>
      </c>
      <c r="G63" s="7" t="str">
        <f>VLOOKUP(MID($B63,5,1),Table2[],5,FALSE)</f>
        <v>Current</v>
      </c>
      <c r="H63" s="7">
        <f>VLOOKUP(MID($B63,6,1),Table2[],6,FALSE)</f>
        <v>0.75</v>
      </c>
      <c r="I63" t="s">
        <v>16</v>
      </c>
      <c r="J63" t="s">
        <v>16</v>
      </c>
      <c r="K63" t="s">
        <v>18</v>
      </c>
      <c r="L63" s="4">
        <f>SUM(Raw!AE48:AP48)*293</f>
        <v>12218871.985833541</v>
      </c>
      <c r="M63" s="4">
        <f>SUM(Raw!AQ48:BB48)*293</f>
        <v>5593868.1000000006</v>
      </c>
      <c r="N63" s="4">
        <f t="shared" si="0"/>
        <v>17812740.085833542</v>
      </c>
      <c r="O63" s="9">
        <f>N63/Processed!$V$20</f>
        <v>164.1578597077428</v>
      </c>
      <c r="P63" s="9">
        <f>Raw!Z48*-293/Processed!$V$20</f>
        <v>46.067905947716682</v>
      </c>
      <c r="Q63" s="12">
        <f>((L63*Processed!$V$21)+(Table3[[#This Row],[Natural Gas kWh]]*Processed!$V$22))/Processed!$V$20</f>
        <v>28.937870578886553</v>
      </c>
      <c r="R63" s="10">
        <f>1-(O63/Processed!$V$23)</f>
        <v>0.2397932011061682</v>
      </c>
      <c r="S63" s="11">
        <f>1-(Processed!Q63/Processed!$V$24)</f>
        <v>0.25510697683531824</v>
      </c>
    </row>
    <row r="64" spans="2:19">
      <c r="B64" s="1" t="s">
        <v>165</v>
      </c>
      <c r="C64">
        <v>47</v>
      </c>
      <c r="D64">
        <f>VLOOKUP(MID($B64,2,1),Table2[],2,FALSE)</f>
        <v>10</v>
      </c>
      <c r="E64">
        <f>VLOOKUP(MID($B64,3,1),Table2[],3,FALSE)</f>
        <v>5.5</v>
      </c>
      <c r="F64" t="str">
        <f>VLOOKUP(MID($B64,4,1),Table2[],4,FALSE)</f>
        <v>Improved</v>
      </c>
      <c r="G64" s="7">
        <f>VLOOKUP(MID($B64,5,1),Table2[],5,FALSE)</f>
        <v>0.25</v>
      </c>
      <c r="H64" s="7" t="str">
        <f>VLOOKUP(MID($B64,6,1),Table2[],6,FALSE)</f>
        <v>None</v>
      </c>
      <c r="I64" t="s">
        <v>16</v>
      </c>
      <c r="J64" t="s">
        <v>16</v>
      </c>
      <c r="K64" t="s">
        <v>18</v>
      </c>
      <c r="L64" s="4">
        <f>SUM(Raw!AE49:AP49)*293</f>
        <v>11329175.059678391</v>
      </c>
      <c r="M64" s="4">
        <f>SUM(Raw!AQ49:BB49)*293</f>
        <v>9861032.2000000011</v>
      </c>
      <c r="N64" s="4">
        <f t="shared" si="0"/>
        <v>21190207.259678394</v>
      </c>
      <c r="O64" s="9">
        <f>N64/Processed!$V$20</f>
        <v>195.28377182569221</v>
      </c>
      <c r="P64" s="9">
        <f>Raw!Z49*-293/Processed!$V$20</f>
        <v>83.743488022623239</v>
      </c>
      <c r="Q64" s="12">
        <f>((L64*Processed!$V$21)+(Table3[[#This Row],[Natural Gas kWh]]*Processed!$V$22))/Processed!$V$20</f>
        <v>35.01577847039713</v>
      </c>
      <c r="R64" s="10">
        <f>1-(O64/Processed!$V$23)</f>
        <v>9.5650666256093198E-2</v>
      </c>
      <c r="S64" s="11">
        <f>1-(Processed!Q64/Processed!$V$24)</f>
        <v>9.8654857406494934E-2</v>
      </c>
    </row>
    <row r="65" spans="2:19">
      <c r="B65" s="1" t="s">
        <v>167</v>
      </c>
      <c r="C65">
        <v>48</v>
      </c>
      <c r="D65">
        <f>VLOOKUP(MID($B65,2,1),Table2[],2,FALSE)</f>
        <v>10</v>
      </c>
      <c r="E65">
        <f>VLOOKUP(MID($B65,3,1),Table2[],3,FALSE)</f>
        <v>5.5</v>
      </c>
      <c r="F65" t="str">
        <f>VLOOKUP(MID($B65,4,1),Table2[],4,FALSE)</f>
        <v>Improved</v>
      </c>
      <c r="G65" s="7">
        <f>VLOOKUP(MID($B65,5,1),Table2[],5,FALSE)</f>
        <v>0.25</v>
      </c>
      <c r="H65" s="7">
        <f>VLOOKUP(MID($B65,6,1),Table2[],6,FALSE)</f>
        <v>0.75</v>
      </c>
      <c r="I65" t="s">
        <v>16</v>
      </c>
      <c r="J65" t="s">
        <v>16</v>
      </c>
      <c r="K65" t="s">
        <v>18</v>
      </c>
      <c r="L65" s="4">
        <f>SUM(Raw!AE50:AP50)*293</f>
        <v>11690789.029664429</v>
      </c>
      <c r="M65" s="4">
        <f>SUM(Raw!AQ50:BB50)*293</f>
        <v>5857275.1000000006</v>
      </c>
      <c r="N65" s="4">
        <f t="shared" si="0"/>
        <v>17548064.129664429</v>
      </c>
      <c r="O65" s="9">
        <f>N65/Processed!$V$20</f>
        <v>161.71867077490833</v>
      </c>
      <c r="P65" s="9">
        <f>Raw!Z50*-293/Processed!$V$20</f>
        <v>48.400725503204548</v>
      </c>
      <c r="Q65" s="12">
        <f>((L65*Processed!$V$21)+(Table3[[#This Row],[Natural Gas kWh]]*Processed!$V$22))/Processed!$V$20</f>
        <v>28.571758351162231</v>
      </c>
      <c r="R65" s="10">
        <f>1-(O65/Processed!$V$23)</f>
        <v>0.25108896247774448</v>
      </c>
      <c r="S65" s="11">
        <f>1-(Processed!Q65/Processed!$V$24)</f>
        <v>0.26453111339656554</v>
      </c>
    </row>
    <row r="66" spans="2:19">
      <c r="B66" s="1" t="s">
        <v>169</v>
      </c>
      <c r="C66">
        <v>49</v>
      </c>
      <c r="D66">
        <f>VLOOKUP(MID($B66,2,1),Table2[],2,FALSE)</f>
        <v>15</v>
      </c>
      <c r="E66">
        <f>VLOOKUP(MID($B66,3,1),Table2[],3,FALSE)</f>
        <v>2.8</v>
      </c>
      <c r="F66" t="str">
        <f>VLOOKUP(MID($B66,4,1),Table2[],4,FALSE)</f>
        <v>Current</v>
      </c>
      <c r="G66" s="7" t="str">
        <f>VLOOKUP(MID($B66,5,1),Table2[],5,FALSE)</f>
        <v>Current</v>
      </c>
      <c r="H66" s="7" t="str">
        <f>VLOOKUP(MID($B66,6,1),Table2[],6,FALSE)</f>
        <v>None</v>
      </c>
      <c r="I66" t="s">
        <v>16</v>
      </c>
      <c r="J66" t="s">
        <v>16</v>
      </c>
      <c r="K66" t="s">
        <v>18</v>
      </c>
      <c r="L66" s="4">
        <f>SUM(Raw!AE51:AP51)*293</f>
        <v>11827622.018307291</v>
      </c>
      <c r="M66" s="4">
        <f>SUM(Raw!AQ51:BB51)*293</f>
        <v>10836487.799999999</v>
      </c>
      <c r="N66" s="4">
        <f t="shared" si="0"/>
        <v>22664109.818307288</v>
      </c>
      <c r="O66" s="9">
        <f>N66/Processed!$V$20</f>
        <v>208.86689762646162</v>
      </c>
      <c r="P66" s="9">
        <f>Raw!Z51*-293/Processed!$V$20</f>
        <v>93.362533706669709</v>
      </c>
      <c r="Q66" s="12">
        <f>((L66*Processed!$V$21)+(Table3[[#This Row],[Natural Gas kWh]]*Processed!$V$22))/Processed!$V$20</f>
        <v>37.504701065251943</v>
      </c>
      <c r="R66" s="10">
        <f>1-(O66/Processed!$V$23)</f>
        <v>3.2747893264541528E-2</v>
      </c>
      <c r="S66" s="11">
        <f>1-(Processed!Q66/Processed!$V$24)</f>
        <v>3.4587217355019462E-2</v>
      </c>
    </row>
    <row r="67" spans="2:19">
      <c r="B67" s="1" t="s">
        <v>171</v>
      </c>
      <c r="C67">
        <v>50</v>
      </c>
      <c r="D67">
        <f>VLOOKUP(MID($B67,2,1),Table2[],2,FALSE)</f>
        <v>15</v>
      </c>
      <c r="E67">
        <f>VLOOKUP(MID($B67,3,1),Table2[],3,FALSE)</f>
        <v>2.8</v>
      </c>
      <c r="F67" t="str">
        <f>VLOOKUP(MID($B67,4,1),Table2[],4,FALSE)</f>
        <v>Current</v>
      </c>
      <c r="G67" s="7" t="str">
        <f>VLOOKUP(MID($B67,5,1),Table2[],5,FALSE)</f>
        <v>Current</v>
      </c>
      <c r="H67" s="7">
        <f>VLOOKUP(MID($B67,6,1),Table2[],6,FALSE)</f>
        <v>0.75</v>
      </c>
      <c r="I67" t="s">
        <v>16</v>
      </c>
      <c r="J67" t="s">
        <v>16</v>
      </c>
      <c r="K67" t="s">
        <v>18</v>
      </c>
      <c r="L67" s="4">
        <f>SUM(Raw!AE52:AP52)*293</f>
        <v>12187754.988416253</v>
      </c>
      <c r="M67" s="4">
        <f>SUM(Raw!AQ52:BB52)*293</f>
        <v>6880929.1999999993</v>
      </c>
      <c r="N67" s="4">
        <f t="shared" si="0"/>
        <v>19068684.18841625</v>
      </c>
      <c r="O67" s="9">
        <f>N67/Processed!$V$20</f>
        <v>175.73233364039217</v>
      </c>
      <c r="P67" s="9">
        <f>Raw!Z52*-293/Processed!$V$20</f>
        <v>58.009197139831777</v>
      </c>
      <c r="Q67" s="12">
        <f>((L67*Processed!$V$21)+(Table3[[#This Row],[Natural Gas kWh]]*Processed!$V$22))/Processed!$V$20</f>
        <v>31.142755958971851</v>
      </c>
      <c r="R67" s="10">
        <f>1-(O67/Processed!$V$23)</f>
        <v>0.18619239397524745</v>
      </c>
      <c r="S67" s="11">
        <f>1-(Processed!Q67/Processed!$V$24)</f>
        <v>0.19835077108665944</v>
      </c>
    </row>
    <row r="68" spans="2:19">
      <c r="B68" s="1" t="s">
        <v>173</v>
      </c>
      <c r="C68">
        <v>51</v>
      </c>
      <c r="D68">
        <f>VLOOKUP(MID($B68,2,1),Table2[],2,FALSE)</f>
        <v>15</v>
      </c>
      <c r="E68">
        <f>VLOOKUP(MID($B68,3,1),Table2[],3,FALSE)</f>
        <v>2.8</v>
      </c>
      <c r="F68" t="str">
        <f>VLOOKUP(MID($B68,4,1),Table2[],4,FALSE)</f>
        <v>Current</v>
      </c>
      <c r="G68" s="7">
        <f>VLOOKUP(MID($B68,5,1),Table2[],5,FALSE)</f>
        <v>0.25</v>
      </c>
      <c r="H68" s="7" t="str">
        <f>VLOOKUP(MID($B68,6,1),Table2[],6,FALSE)</f>
        <v>None</v>
      </c>
      <c r="I68" t="s">
        <v>16</v>
      </c>
      <c r="J68" t="s">
        <v>16</v>
      </c>
      <c r="K68" t="s">
        <v>18</v>
      </c>
      <c r="L68" s="4">
        <f>SUM(Raw!AE53:AP53)*293</f>
        <v>11302525.061890341</v>
      </c>
      <c r="M68" s="4">
        <f>SUM(Raw!AQ53:BB53)*293</f>
        <v>11108567.6</v>
      </c>
      <c r="N68" s="4">
        <f t="shared" si="0"/>
        <v>22411092.661890343</v>
      </c>
      <c r="O68" s="9">
        <f>N68/Processed!$V$20</f>
        <v>206.53515334306655</v>
      </c>
      <c r="P68" s="9">
        <f>Raw!Z53*-293/Processed!$V$20</f>
        <v>96.017510680312753</v>
      </c>
      <c r="Q68" s="12">
        <f>((L68*Processed!$V$21)+(Table3[[#This Row],[Natural Gas kWh]]*Processed!$V$22))/Processed!$V$20</f>
        <v>37.158452956040627</v>
      </c>
      <c r="R68" s="10">
        <f>1-(O68/Processed!$V$23)</f>
        <v>4.3546083863971852E-2</v>
      </c>
      <c r="S68" s="11">
        <f>1-(Processed!Q68/Processed!$V$24)</f>
        <v>4.3500029378709004E-2</v>
      </c>
    </row>
    <row r="69" spans="2:19">
      <c r="B69" s="1" t="s">
        <v>175</v>
      </c>
      <c r="C69">
        <v>52</v>
      </c>
      <c r="D69">
        <f>VLOOKUP(MID($B69,2,1),Table2[],2,FALSE)</f>
        <v>15</v>
      </c>
      <c r="E69">
        <f>VLOOKUP(MID($B69,3,1),Table2[],3,FALSE)</f>
        <v>2.8</v>
      </c>
      <c r="F69" t="str">
        <f>VLOOKUP(MID($B69,4,1),Table2[],4,FALSE)</f>
        <v>Current</v>
      </c>
      <c r="G69" s="7">
        <f>VLOOKUP(MID($B69,5,1),Table2[],5,FALSE)</f>
        <v>0.25</v>
      </c>
      <c r="H69" s="7">
        <f>VLOOKUP(MID($B69,6,1),Table2[],6,FALSE)</f>
        <v>0.75</v>
      </c>
      <c r="I69" t="s">
        <v>16</v>
      </c>
      <c r="J69" t="s">
        <v>16</v>
      </c>
      <c r="K69" t="s">
        <v>18</v>
      </c>
      <c r="L69" s="4">
        <f>SUM(Raw!AE54:AP54)*293</f>
        <v>11664716.031828489</v>
      </c>
      <c r="M69" s="4">
        <f>SUM(Raw!AQ54:BB54)*293</f>
        <v>7172317.6999999993</v>
      </c>
      <c r="N69" s="4">
        <f t="shared" si="0"/>
        <v>18837033.731828488</v>
      </c>
      <c r="O69" s="9">
        <f>N69/Processed!$V$20</f>
        <v>173.5974996412136</v>
      </c>
      <c r="P69" s="9">
        <f>Raw!Z54*-293/Processed!$V$20</f>
        <v>60.659205715300295</v>
      </c>
      <c r="Q69" s="12">
        <f>((L69*Processed!$V$21)+(Table3[[#This Row],[Natural Gas kWh]]*Processed!$V$22))/Processed!$V$20</f>
        <v>30.83354148329148</v>
      </c>
      <c r="R69" s="10">
        <f>1-(O69/Processed!$V$23)</f>
        <v>0.19607870294378904</v>
      </c>
      <c r="S69" s="11">
        <f>1-(Processed!Q69/Processed!$V$24)</f>
        <v>0.20631029613076846</v>
      </c>
    </row>
    <row r="70" spans="2:19">
      <c r="B70" s="1" t="s">
        <v>177</v>
      </c>
      <c r="C70">
        <v>53</v>
      </c>
      <c r="D70">
        <f>VLOOKUP(MID($B70,2,1),Table2[],2,FALSE)</f>
        <v>15</v>
      </c>
      <c r="E70">
        <f>VLOOKUP(MID($B70,3,1),Table2[],3,FALSE)</f>
        <v>2.8</v>
      </c>
      <c r="F70" t="str">
        <f>VLOOKUP(MID($B70,4,1),Table2[],4,FALSE)</f>
        <v>Improved</v>
      </c>
      <c r="G70" s="7" t="str">
        <f>VLOOKUP(MID($B70,5,1),Table2[],5,FALSE)</f>
        <v>Current</v>
      </c>
      <c r="H70" s="7" t="str">
        <f>VLOOKUP(MID($B70,6,1),Table2[],6,FALSE)</f>
        <v>None</v>
      </c>
      <c r="I70" t="s">
        <v>16</v>
      </c>
      <c r="J70" t="s">
        <v>16</v>
      </c>
      <c r="K70" t="s">
        <v>18</v>
      </c>
      <c r="L70" s="4">
        <f>SUM(Raw!AE55:AP55)*293</f>
        <v>11829752.0181305</v>
      </c>
      <c r="M70" s="4">
        <f>SUM(Raw!AQ55:BB55)*293</f>
        <v>10637130.6</v>
      </c>
      <c r="N70" s="4">
        <f t="shared" si="0"/>
        <v>22466882.618130498</v>
      </c>
      <c r="O70" s="9">
        <f>N70/Processed!$V$20</f>
        <v>207.04929994630902</v>
      </c>
      <c r="P70" s="9">
        <f>Raw!Z55*-293/Processed!$V$20</f>
        <v>91.376716260426036</v>
      </c>
      <c r="Q70" s="12">
        <f>((L70*Processed!$V$21)+(Table3[[#This Row],[Natural Gas kWh]]*Processed!$V$22))/Processed!$V$20</f>
        <v>37.158964914865756</v>
      </c>
      <c r="R70" s="10">
        <f>1-(O70/Processed!$V$23)</f>
        <v>4.1165096781727084E-2</v>
      </c>
      <c r="S70" s="11">
        <f>1-(Processed!Q70/Processed!$V$24)</f>
        <v>4.348685098826921E-2</v>
      </c>
    </row>
    <row r="71" spans="2:19">
      <c r="B71" s="1" t="s">
        <v>179</v>
      </c>
      <c r="C71">
        <v>54</v>
      </c>
      <c r="D71">
        <f>VLOOKUP(MID($B71,2,1),Table2[],2,FALSE)</f>
        <v>15</v>
      </c>
      <c r="E71">
        <f>VLOOKUP(MID($B71,3,1),Table2[],3,FALSE)</f>
        <v>2.8</v>
      </c>
      <c r="F71" t="str">
        <f>VLOOKUP(MID($B71,4,1),Table2[],4,FALSE)</f>
        <v>Improved</v>
      </c>
      <c r="G71" s="7" t="str">
        <f>VLOOKUP(MID($B71,5,1),Table2[],5,FALSE)</f>
        <v>Current</v>
      </c>
      <c r="H71" s="7">
        <f>VLOOKUP(MID($B71,6,1),Table2[],6,FALSE)</f>
        <v>0.75</v>
      </c>
      <c r="I71" t="s">
        <v>16</v>
      </c>
      <c r="J71" t="s">
        <v>16</v>
      </c>
      <c r="K71" t="s">
        <v>18</v>
      </c>
      <c r="L71" s="4">
        <f>SUM(Raw!AE56:AP56)*293</f>
        <v>12190153.988217138</v>
      </c>
      <c r="M71" s="4">
        <f>SUM(Raw!AQ56:BB56)*293</f>
        <v>6669266</v>
      </c>
      <c r="N71" s="4">
        <f t="shared" si="0"/>
        <v>18859419.988217138</v>
      </c>
      <c r="O71" s="9">
        <f>N71/Processed!$V$20</f>
        <v>173.80380590953177</v>
      </c>
      <c r="P71" s="9">
        <f>Raw!Z56*-293/Processed!$V$20</f>
        <v>56.025628973848612</v>
      </c>
      <c r="Q71" s="12">
        <f>((L71*Processed!$V$21)+(Table3[[#This Row],[Natural Gas kWh]]*Processed!$V$22))/Processed!$V$20</f>
        <v>30.775893518190006</v>
      </c>
      <c r="R71" s="10">
        <f>1-(O71/Processed!$V$23)</f>
        <v>0.19512330898270114</v>
      </c>
      <c r="S71" s="11">
        <f>1-(Processed!Q71/Processed!$V$24)</f>
        <v>0.20779421896768446</v>
      </c>
    </row>
    <row r="72" spans="2:19">
      <c r="B72" s="1" t="s">
        <v>181</v>
      </c>
      <c r="C72">
        <v>55</v>
      </c>
      <c r="D72">
        <f>VLOOKUP(MID($B72,2,1),Table2[],2,FALSE)</f>
        <v>15</v>
      </c>
      <c r="E72">
        <f>VLOOKUP(MID($B72,3,1),Table2[],3,FALSE)</f>
        <v>2.8</v>
      </c>
      <c r="F72" t="str">
        <f>VLOOKUP(MID($B72,4,1),Table2[],4,FALSE)</f>
        <v>Improved</v>
      </c>
      <c r="G72" s="7">
        <f>VLOOKUP(MID($B72,5,1),Table2[],5,FALSE)</f>
        <v>0.25</v>
      </c>
      <c r="H72" s="7" t="str">
        <f>VLOOKUP(MID($B72,6,1),Table2[],6,FALSE)</f>
        <v>None</v>
      </c>
      <c r="I72" t="s">
        <v>16</v>
      </c>
      <c r="J72" t="s">
        <v>16</v>
      </c>
      <c r="K72" t="s">
        <v>18</v>
      </c>
      <c r="L72" s="4">
        <f>SUM(Raw!AE57:AP57)*293</f>
        <v>11303836.061781529</v>
      </c>
      <c r="M72" s="4">
        <f>SUM(Raw!AQ57:BB57)*293</f>
        <v>10905723.700000001</v>
      </c>
      <c r="N72" s="4">
        <f t="shared" si="0"/>
        <v>22209559.761781529</v>
      </c>
      <c r="O72" s="9">
        <f>N72/Processed!$V$20</f>
        <v>204.6778753845301</v>
      </c>
      <c r="P72" s="9">
        <f>Raw!Z57*-293/Processed!$V$20</f>
        <v>93.997316779090909</v>
      </c>
      <c r="Q72" s="12">
        <f>((L72*Processed!$V$21)+(Table3[[#This Row],[Natural Gas kWh]]*Processed!$V$22))/Processed!$V$20</f>
        <v>36.805328506826179</v>
      </c>
      <c r="R72" s="10">
        <f>1-(O72/Processed!$V$23)</f>
        <v>5.2147044756303051E-2</v>
      </c>
      <c r="S72" s="11">
        <f>1-(Processed!Q72/Processed!$V$24)</f>
        <v>5.2589846053769818E-2</v>
      </c>
    </row>
    <row r="73" spans="2:19">
      <c r="B73" s="1" t="s">
        <v>183</v>
      </c>
      <c r="C73">
        <v>56</v>
      </c>
      <c r="D73">
        <f>VLOOKUP(MID($B73,2,1),Table2[],2,FALSE)</f>
        <v>15</v>
      </c>
      <c r="E73">
        <f>VLOOKUP(MID($B73,3,1),Table2[],3,FALSE)</f>
        <v>2.8</v>
      </c>
      <c r="F73" t="str">
        <f>VLOOKUP(MID($B73,4,1),Table2[],4,FALSE)</f>
        <v>Improved</v>
      </c>
      <c r="G73" s="7">
        <f>VLOOKUP(MID($B73,5,1),Table2[],5,FALSE)</f>
        <v>0.25</v>
      </c>
      <c r="H73" s="7">
        <f>VLOOKUP(MID($B73,6,1),Table2[],6,FALSE)</f>
        <v>0.75</v>
      </c>
      <c r="I73" t="s">
        <v>16</v>
      </c>
      <c r="J73" t="s">
        <v>16</v>
      </c>
      <c r="K73" t="s">
        <v>18</v>
      </c>
      <c r="L73" s="4">
        <f>SUM(Raw!AE58:AP58)*293</f>
        <v>11666154.031709133</v>
      </c>
      <c r="M73" s="4">
        <f>SUM(Raw!AQ58:BB58)*293</f>
        <v>6960068.5</v>
      </c>
      <c r="N73" s="4">
        <f t="shared" si="0"/>
        <v>18626222.531709135</v>
      </c>
      <c r="O73" s="9">
        <f>N73/Processed!$V$20</f>
        <v>171.65471513713072</v>
      </c>
      <c r="P73" s="9">
        <f>Raw!Z58*-293/Processed!$V$20</f>
        <v>58.640432127904425</v>
      </c>
      <c r="Q73" s="12">
        <f>((L73*Processed!$V$21)+(Table3[[#This Row],[Natural Gas kWh]]*Processed!$V$22))/Processed!$V$20</f>
        <v>30.464147382405848</v>
      </c>
      <c r="R73" s="10">
        <f>1-(O73/Processed!$V$23)</f>
        <v>0.20507564035159154</v>
      </c>
      <c r="S73" s="11">
        <f>1-(Processed!Q73/Processed!$V$24)</f>
        <v>0.215818911762931</v>
      </c>
    </row>
    <row r="74" spans="2:19">
      <c r="B74" s="1" t="s">
        <v>185</v>
      </c>
      <c r="C74">
        <v>57</v>
      </c>
      <c r="D74">
        <f>VLOOKUP(MID($B74,2,1),Table2[],2,FALSE)</f>
        <v>15</v>
      </c>
      <c r="E74">
        <f>VLOOKUP(MID($B74,3,1),Table2[],3,FALSE)</f>
        <v>4</v>
      </c>
      <c r="F74" t="str">
        <f>VLOOKUP(MID($B74,4,1),Table2[],4,FALSE)</f>
        <v>Current</v>
      </c>
      <c r="G74" s="7" t="str">
        <f>VLOOKUP(MID($B74,5,1),Table2[],5,FALSE)</f>
        <v>Current</v>
      </c>
      <c r="H74" s="7" t="str">
        <f>VLOOKUP(MID($B74,6,1),Table2[],6,FALSE)</f>
        <v>None</v>
      </c>
      <c r="I74" t="s">
        <v>16</v>
      </c>
      <c r="J74" t="s">
        <v>16</v>
      </c>
      <c r="K74" t="s">
        <v>18</v>
      </c>
      <c r="L74" s="4">
        <f>SUM(Raw!AE59:AP59)*293</f>
        <v>11844499.016906502</v>
      </c>
      <c r="M74" s="4">
        <f>SUM(Raw!AQ59:BB59)*293</f>
        <v>10020453.5</v>
      </c>
      <c r="N74" s="4">
        <f t="shared" si="0"/>
        <v>21864952.5169065</v>
      </c>
      <c r="O74" s="9">
        <f>N74/Processed!$V$20</f>
        <v>201.50205922789866</v>
      </c>
      <c r="P74" s="9">
        <f>Raw!Z59*-293/Processed!$V$20</f>
        <v>85.371110962648103</v>
      </c>
      <c r="Q74" s="12">
        <f>((L74*Processed!$V$21)+(Table3[[#This Row],[Natural Gas kWh]]*Processed!$V$22))/Processed!$V$20</f>
        <v>36.102271083628267</v>
      </c>
      <c r="R74" s="10">
        <f>1-(O74/Processed!$V$23)</f>
        <v>6.6854089783609849E-2</v>
      </c>
      <c r="S74" s="11">
        <f>1-(Processed!Q74/Processed!$V$24)</f>
        <v>7.0687327276398593E-2</v>
      </c>
    </row>
    <row r="75" spans="2:19">
      <c r="B75" s="1" t="s">
        <v>187</v>
      </c>
      <c r="C75">
        <v>58</v>
      </c>
      <c r="D75">
        <f>VLOOKUP(MID($B75,2,1),Table2[],2,FALSE)</f>
        <v>15</v>
      </c>
      <c r="E75">
        <f>VLOOKUP(MID($B75,3,1),Table2[],3,FALSE)</f>
        <v>4</v>
      </c>
      <c r="F75" t="str">
        <f>VLOOKUP(MID($B75,4,1),Table2[],4,FALSE)</f>
        <v>Current</v>
      </c>
      <c r="G75" s="7" t="str">
        <f>VLOOKUP(MID($B75,5,1),Table2[],5,FALSE)</f>
        <v>Current</v>
      </c>
      <c r="H75" s="7">
        <f>VLOOKUP(MID($B75,6,1),Table2[],6,FALSE)</f>
        <v>0.75</v>
      </c>
      <c r="I75" t="s">
        <v>16</v>
      </c>
      <c r="J75" t="s">
        <v>16</v>
      </c>
      <c r="K75" t="s">
        <v>18</v>
      </c>
      <c r="L75" s="4">
        <f>SUM(Raw!AE60:AP60)*293</f>
        <v>12204400.987034634</v>
      </c>
      <c r="M75" s="4">
        <f>SUM(Raw!AQ60:BB60)*293</f>
        <v>6024285.1000000006</v>
      </c>
      <c r="N75" s="4">
        <f t="shared" si="0"/>
        <v>18228686.087034635</v>
      </c>
      <c r="O75" s="9">
        <f>N75/Processed!$V$20</f>
        <v>167.99111640952722</v>
      </c>
      <c r="P75" s="9">
        <f>Raw!Z60*-293/Processed!$V$20</f>
        <v>50.029182810096756</v>
      </c>
      <c r="Q75" s="12">
        <f>((L75*Processed!$V$21)+(Table3[[#This Row],[Natural Gas kWh]]*Processed!$V$22))/Processed!$V$20</f>
        <v>29.668856575998266</v>
      </c>
      <c r="R75" s="10">
        <f>1-(O75/Processed!$V$23)</f>
        <v>0.22204158195256873</v>
      </c>
      <c r="S75" s="11">
        <f>1-(Processed!Q75/Processed!$V$24)</f>
        <v>0.23629058300995942</v>
      </c>
    </row>
    <row r="76" spans="2:19">
      <c r="B76" s="1" t="s">
        <v>189</v>
      </c>
      <c r="C76">
        <v>59</v>
      </c>
      <c r="D76">
        <f>VLOOKUP(MID($B76,2,1),Table2[],2,FALSE)</f>
        <v>15</v>
      </c>
      <c r="E76">
        <f>VLOOKUP(MID($B76,3,1),Table2[],3,FALSE)</f>
        <v>4</v>
      </c>
      <c r="F76" t="str">
        <f>VLOOKUP(MID($B76,4,1),Table2[],4,FALSE)</f>
        <v>Current</v>
      </c>
      <c r="G76" s="7">
        <f>VLOOKUP(MID($B76,5,1),Table2[],5,FALSE)</f>
        <v>0.25</v>
      </c>
      <c r="H76" s="7" t="str">
        <f>VLOOKUP(MID($B76,6,1),Table2[],6,FALSE)</f>
        <v>None</v>
      </c>
      <c r="I76" t="s">
        <v>16</v>
      </c>
      <c r="J76" t="s">
        <v>16</v>
      </c>
      <c r="K76" t="s">
        <v>18</v>
      </c>
      <c r="L76" s="4">
        <f>SUM(Raw!AE61:AP61)*293</f>
        <v>11316126.060761459</v>
      </c>
      <c r="M76" s="4">
        <f>SUM(Raw!AQ61:BB61)*293</f>
        <v>10280608.200000001</v>
      </c>
      <c r="N76" s="4">
        <f t="shared" si="0"/>
        <v>21596734.260761462</v>
      </c>
      <c r="O76" s="9">
        <f>N76/Processed!$V$20</f>
        <v>199.03022532412268</v>
      </c>
      <c r="P76" s="9">
        <f>Raw!Z61*-293/Processed!$V$20</f>
        <v>87.843372393206778</v>
      </c>
      <c r="Q76" s="12">
        <f>((L76*Processed!$V$21)+(Table3[[#This Row],[Natural Gas kWh]]*Processed!$V$22))/Processed!$V$20</f>
        <v>35.730009762803263</v>
      </c>
      <c r="R76" s="10">
        <f>1-(O76/Processed!$V$23)</f>
        <v>7.8301028375110993E-2</v>
      </c>
      <c r="S76" s="11">
        <f>1-(Processed!Q76/Processed!$V$24)</f>
        <v>8.0269748343653413E-2</v>
      </c>
    </row>
    <row r="77" spans="2:19">
      <c r="B77" s="1" t="s">
        <v>191</v>
      </c>
      <c r="C77">
        <v>60</v>
      </c>
      <c r="D77">
        <f>VLOOKUP(MID($B77,2,1),Table2[],2,FALSE)</f>
        <v>15</v>
      </c>
      <c r="E77">
        <f>VLOOKUP(MID($B77,3,1),Table2[],3,FALSE)</f>
        <v>4</v>
      </c>
      <c r="F77" t="str">
        <f>VLOOKUP(MID($B77,4,1),Table2[],4,FALSE)</f>
        <v>Current</v>
      </c>
      <c r="G77" s="7">
        <f>VLOOKUP(MID($B77,5,1),Table2[],5,FALSE)</f>
        <v>0.25</v>
      </c>
      <c r="H77" s="7">
        <f>VLOOKUP(MID($B77,6,1),Table2[],6,FALSE)</f>
        <v>0.75</v>
      </c>
      <c r="I77" t="s">
        <v>16</v>
      </c>
      <c r="J77" t="s">
        <v>16</v>
      </c>
      <c r="K77" t="s">
        <v>18</v>
      </c>
      <c r="L77" s="4">
        <f>SUM(Raw!AE62:AP62)*293</f>
        <v>11677995.030726332</v>
      </c>
      <c r="M77" s="4">
        <f>SUM(Raw!AQ62:BB62)*293</f>
        <v>6304100.1000000006</v>
      </c>
      <c r="N77" s="4">
        <f t="shared" si="0"/>
        <v>17982095.130726334</v>
      </c>
      <c r="O77" s="9">
        <f>N77/Processed!$V$20</f>
        <v>165.71859441595421</v>
      </c>
      <c r="P77" s="9">
        <f>Raw!Z62*-293/Processed!$V$20</f>
        <v>52.492919657483199</v>
      </c>
      <c r="Q77" s="12">
        <f>((L77*Processed!$V$21)+(Table3[[#This Row],[Natural Gas kWh]]*Processed!$V$22))/Processed!$V$20</f>
        <v>29.334101970315483</v>
      </c>
      <c r="R77" s="10">
        <f>1-(O77/Processed!$V$23)</f>
        <v>0.23256551710392648</v>
      </c>
      <c r="S77" s="11">
        <f>1-(Processed!Q77/Processed!$V$24)</f>
        <v>0.24490753944998445</v>
      </c>
    </row>
    <row r="78" spans="2:19">
      <c r="B78" s="1" t="s">
        <v>193</v>
      </c>
      <c r="C78">
        <v>61</v>
      </c>
      <c r="D78">
        <f>VLOOKUP(MID($B78,2,1),Table2[],2,FALSE)</f>
        <v>15</v>
      </c>
      <c r="E78">
        <f>VLOOKUP(MID($B78,3,1),Table2[],3,FALSE)</f>
        <v>4</v>
      </c>
      <c r="F78" t="str">
        <f>VLOOKUP(MID($B78,4,1),Table2[],4,FALSE)</f>
        <v>Improved</v>
      </c>
      <c r="G78" s="7" t="str">
        <f>VLOOKUP(MID($B78,5,1),Table2[],5,FALSE)</f>
        <v>Current</v>
      </c>
      <c r="H78" s="7" t="str">
        <f>VLOOKUP(MID($B78,6,1),Table2[],6,FALSE)</f>
        <v>None</v>
      </c>
      <c r="I78" t="s">
        <v>16</v>
      </c>
      <c r="J78" t="s">
        <v>16</v>
      </c>
      <c r="K78" t="s">
        <v>18</v>
      </c>
      <c r="L78" s="4">
        <f>SUM(Raw!AE63:AP63)*293</f>
        <v>11848761.016552754</v>
      </c>
      <c r="M78" s="4">
        <f>SUM(Raw!AQ63:BB63)*293</f>
        <v>9821067</v>
      </c>
      <c r="N78" s="4">
        <f t="shared" si="0"/>
        <v>21669828.016552754</v>
      </c>
      <c r="O78" s="9">
        <f>N78/Processed!$V$20</f>
        <v>199.70383951547564</v>
      </c>
      <c r="P78" s="9">
        <f>Raw!Z63*-293/Processed!$V$20</f>
        <v>83.401251795323631</v>
      </c>
      <c r="Q78" s="12">
        <f>((L78*Processed!$V$21)+(Table3[[#This Row],[Natural Gas kWh]]*Processed!$V$22))/Processed!$V$20</f>
        <v>35.759823787323306</v>
      </c>
      <c r="R78" s="10">
        <f>1-(O78/Processed!$V$23)</f>
        <v>7.5181554906039283E-2</v>
      </c>
      <c r="S78" s="11">
        <f>1-(Processed!Q78/Processed!$V$24)</f>
        <v>7.9502302142078207E-2</v>
      </c>
    </row>
    <row r="79" spans="2:19">
      <c r="B79" s="1" t="s">
        <v>195</v>
      </c>
      <c r="C79">
        <v>62</v>
      </c>
      <c r="D79">
        <f>VLOOKUP(MID($B79,2,1),Table2[],2,FALSE)</f>
        <v>15</v>
      </c>
      <c r="E79">
        <f>VLOOKUP(MID($B79,3,1),Table2[],3,FALSE)</f>
        <v>4</v>
      </c>
      <c r="F79" t="str">
        <f>VLOOKUP(MID($B79,4,1),Table2[],4,FALSE)</f>
        <v>Improved</v>
      </c>
      <c r="G79" s="7" t="str">
        <f>VLOOKUP(MID($B79,5,1),Table2[],5,FALSE)</f>
        <v>Current</v>
      </c>
      <c r="H79" s="7">
        <f>VLOOKUP(MID($B79,6,1),Table2[],6,FALSE)</f>
        <v>0.75</v>
      </c>
      <c r="I79" t="s">
        <v>16</v>
      </c>
      <c r="J79" t="s">
        <v>16</v>
      </c>
      <c r="K79" t="s">
        <v>18</v>
      </c>
      <c r="L79" s="4">
        <f>SUM(Raw!AE64:AP64)*293</f>
        <v>12208485.986695578</v>
      </c>
      <c r="M79" s="4">
        <f>SUM(Raw!AQ64:BB64)*293</f>
        <v>5810893.1999999993</v>
      </c>
      <c r="N79" s="4">
        <f t="shared" si="0"/>
        <v>18019379.186695576</v>
      </c>
      <c r="O79" s="9">
        <f>N79/Processed!$V$20</f>
        <v>166.06219516461175</v>
      </c>
      <c r="P79" s="9">
        <f>Raw!Z64*-293/Processed!$V$20</f>
        <v>48.063441472781079</v>
      </c>
      <c r="Q79" s="12">
        <f>((L79*Processed!$V$21)+(Table3[[#This Row],[Natural Gas kWh]]*Processed!$V$22))/Processed!$V$20</f>
        <v>29.301608612291965</v>
      </c>
      <c r="R79" s="10">
        <f>1-(O79/Processed!$V$23)</f>
        <v>0.23097431930383638</v>
      </c>
      <c r="S79" s="11">
        <f>1-(Processed!Q79/Processed!$V$24)</f>
        <v>0.24574395468050148</v>
      </c>
    </row>
    <row r="80" spans="2:19">
      <c r="B80" s="1" t="s">
        <v>197</v>
      </c>
      <c r="C80">
        <v>63</v>
      </c>
      <c r="D80">
        <f>VLOOKUP(MID($B80,2,1),Table2[],2,FALSE)</f>
        <v>15</v>
      </c>
      <c r="E80">
        <f>VLOOKUP(MID($B80,3,1),Table2[],3,FALSE)</f>
        <v>4</v>
      </c>
      <c r="F80" t="str">
        <f>VLOOKUP(MID($B80,4,1),Table2[],4,FALSE)</f>
        <v>Improved</v>
      </c>
      <c r="G80" s="7">
        <f>VLOOKUP(MID($B80,5,1),Table2[],5,FALSE)</f>
        <v>0.25</v>
      </c>
      <c r="H80" s="7" t="str">
        <f>VLOOKUP(MID($B80,6,1),Table2[],6,FALSE)</f>
        <v>None</v>
      </c>
      <c r="I80" t="s">
        <v>16</v>
      </c>
      <c r="J80" t="s">
        <v>16</v>
      </c>
      <c r="K80" t="s">
        <v>18</v>
      </c>
      <c r="L80" s="4">
        <f>SUM(Raw!AE65:AP65)*293</f>
        <v>11319665.060467724</v>
      </c>
      <c r="M80" s="4">
        <f>SUM(Raw!AQ65:BB65)*293</f>
        <v>10072812.6</v>
      </c>
      <c r="N80" s="4">
        <f t="shared" si="0"/>
        <v>21392477.660467722</v>
      </c>
      <c r="O80" s="9">
        <f>N80/Processed!$V$20</f>
        <v>197.14784641027623</v>
      </c>
      <c r="P80" s="9">
        <f>Raw!Z65*-293/Processed!$V$20</f>
        <v>85.823561922713623</v>
      </c>
      <c r="Q80" s="12">
        <f>((L80*Processed!$V$21)+(Table3[[#This Row],[Natural Gas kWh]]*Processed!$V$22))/Processed!$V$20</f>
        <v>35.371705478043182</v>
      </c>
      <c r="R80" s="10">
        <f>1-(O80/Processed!$V$23)</f>
        <v>8.7018230530086171E-2</v>
      </c>
      <c r="S80" s="11">
        <f>1-(Processed!Q80/Processed!$V$24)</f>
        <v>8.9492899755579614E-2</v>
      </c>
    </row>
    <row r="81" spans="1:19">
      <c r="B81" s="1" t="s">
        <v>199</v>
      </c>
      <c r="C81">
        <v>64</v>
      </c>
      <c r="D81">
        <f>VLOOKUP(MID($B81,2,1),Table2[],2,FALSE)</f>
        <v>15</v>
      </c>
      <c r="E81">
        <f>VLOOKUP(MID($B81,3,1),Table2[],3,FALSE)</f>
        <v>4</v>
      </c>
      <c r="F81" t="str">
        <f>VLOOKUP(MID($B81,4,1),Table2[],4,FALSE)</f>
        <v>Improved</v>
      </c>
      <c r="G81" s="7">
        <f>VLOOKUP(MID($B81,5,1),Table2[],5,FALSE)</f>
        <v>0.25</v>
      </c>
      <c r="H81" s="7">
        <f>VLOOKUP(MID($B81,6,1),Table2[],6,FALSE)</f>
        <v>0.75</v>
      </c>
      <c r="I81" t="s">
        <v>16</v>
      </c>
      <c r="J81" t="s">
        <v>16</v>
      </c>
      <c r="K81" t="s">
        <v>18</v>
      </c>
      <c r="L81" s="4">
        <f>SUM(Raw!AE66:AP66)*293</f>
        <v>11681627.030424874</v>
      </c>
      <c r="M81" s="4">
        <f>SUM(Raw!AQ66:BB66)*293</f>
        <v>6084438</v>
      </c>
      <c r="N81" s="4">
        <f t="shared" si="0"/>
        <v>17766065.030424874</v>
      </c>
      <c r="O81" s="9">
        <f>N81/Processed!$V$20</f>
        <v>163.72771380314271</v>
      </c>
      <c r="P81" s="9">
        <f>Raw!Z66*-293/Processed!$V$20</f>
        <v>50.476522260518614</v>
      </c>
      <c r="Q81" s="12">
        <f>((L81*Processed!$V$21)+(Table3[[#This Row],[Natural Gas kWh]]*Processed!$V$22))/Processed!$V$20</f>
        <v>28.955165221447995</v>
      </c>
      <c r="R81" s="10">
        <f>1-(O81/Processed!$V$23)</f>
        <v>0.24178518517428116</v>
      </c>
      <c r="S81" s="11">
        <f>1-(Processed!Q81/Processed!$V$24)</f>
        <v>0.25466179347094364</v>
      </c>
    </row>
    <row r="82" spans="1:19">
      <c r="B82" s="1" t="s">
        <v>201</v>
      </c>
      <c r="C82">
        <v>65</v>
      </c>
      <c r="D82">
        <f>VLOOKUP(MID($B82,2,1),Table2[],2,FALSE)</f>
        <v>15</v>
      </c>
      <c r="E82">
        <f>VLOOKUP(MID($B82,3,1),Table2[],3,FALSE)</f>
        <v>5.5</v>
      </c>
      <c r="F82" t="str">
        <f>VLOOKUP(MID($B82,4,1),Table2[],4,FALSE)</f>
        <v>Current</v>
      </c>
      <c r="G82" s="7" t="str">
        <f>VLOOKUP(MID($B82,5,1),Table2[],5,FALSE)</f>
        <v>Current</v>
      </c>
      <c r="H82" s="7" t="str">
        <f>VLOOKUP(MID($B82,6,1),Table2[],6,FALSE)</f>
        <v>None</v>
      </c>
      <c r="I82" t="s">
        <v>16</v>
      </c>
      <c r="J82" t="s">
        <v>16</v>
      </c>
      <c r="K82" t="s">
        <v>18</v>
      </c>
      <c r="L82" s="4">
        <f>SUM(Raw!AE67:AP67)*293</f>
        <v>11855584.015986444</v>
      </c>
      <c r="M82" s="4">
        <f>SUM(Raw!AQ67:BB67)*293</f>
        <v>9625284.4000000004</v>
      </c>
      <c r="N82" s="4">
        <f t="shared" si="0"/>
        <v>21480868.415986445</v>
      </c>
      <c r="O82" s="9">
        <f>N82/Processed!$V$20</f>
        <v>197.96243401296877</v>
      </c>
      <c r="P82" s="9">
        <f>Raw!Z67*-293/Processed!$V$20</f>
        <v>81.450561464217074</v>
      </c>
      <c r="Q82" s="12">
        <f>((L82*Processed!$V$21)+(Table3[[#This Row],[Natural Gas kWh]]*Processed!$V$22))/Processed!$V$20</f>
        <v>35.427699159938292</v>
      </c>
      <c r="R82" s="10">
        <f>1-(O82/Processed!$V$23)</f>
        <v>8.3245916277427279E-2</v>
      </c>
      <c r="S82" s="11">
        <f>1-(Processed!Q82/Processed!$V$24)</f>
        <v>8.8051560011134122E-2</v>
      </c>
    </row>
    <row r="83" spans="1:19">
      <c r="B83" s="1" t="s">
        <v>203</v>
      </c>
      <c r="C83">
        <v>66</v>
      </c>
      <c r="D83">
        <f>VLOOKUP(MID($B83,2,1),Table2[],2,FALSE)</f>
        <v>15</v>
      </c>
      <c r="E83">
        <f>VLOOKUP(MID($B83,3,1),Table2[],3,FALSE)</f>
        <v>5.5</v>
      </c>
      <c r="F83" t="str">
        <f>VLOOKUP(MID($B83,4,1),Table2[],4,FALSE)</f>
        <v>Current</v>
      </c>
      <c r="G83" s="7" t="str">
        <f>VLOOKUP(MID($B83,5,1),Table2[],5,FALSE)</f>
        <v>Current</v>
      </c>
      <c r="H83" s="7">
        <f>VLOOKUP(MID($B83,6,1),Table2[],6,FALSE)</f>
        <v>0.75</v>
      </c>
      <c r="I83" t="s">
        <v>16</v>
      </c>
      <c r="J83" t="s">
        <v>16</v>
      </c>
      <c r="K83" t="s">
        <v>18</v>
      </c>
      <c r="L83" s="4">
        <f>SUM(Raw!AE68:AP68)*293</f>
        <v>12214936.986160148</v>
      </c>
      <c r="M83" s="4">
        <f>SUM(Raw!AQ68:BB68)*293</f>
        <v>5598087.2999999998</v>
      </c>
      <c r="N83" s="4">
        <f t="shared" ref="N83:N146" si="1">M83+L83</f>
        <v>17813024.286160149</v>
      </c>
      <c r="O83" s="9">
        <f>N83/Processed!$V$20</f>
        <v>164.16047882850239</v>
      </c>
      <c r="P83" s="9">
        <f>Raw!Z68*-293/Processed!$V$20</f>
        <v>46.117057986831227</v>
      </c>
      <c r="Q83" s="12">
        <f>((L83*Processed!$V$21)+(Table3[[#This Row],[Natural Gas kWh]]*Processed!$V$22))/Processed!$V$20</f>
        <v>28.939093491738657</v>
      </c>
      <c r="R83" s="10">
        <f>1-(O83/Processed!$V$23)</f>
        <v>0.23978107208954902</v>
      </c>
      <c r="S83" s="11">
        <f>1-(Processed!Q83/Processed!$V$24)</f>
        <v>0.25507549769627835</v>
      </c>
    </row>
    <row r="84" spans="1:19">
      <c r="B84" s="1" t="s">
        <v>205</v>
      </c>
      <c r="C84">
        <v>67</v>
      </c>
      <c r="D84">
        <f>VLOOKUP(MID($B84,2,1),Table2[],2,FALSE)</f>
        <v>15</v>
      </c>
      <c r="E84">
        <f>VLOOKUP(MID($B84,3,1),Table2[],3,FALSE)</f>
        <v>5.5</v>
      </c>
      <c r="F84" t="str">
        <f>VLOOKUP(MID($B84,4,1),Table2[],4,FALSE)</f>
        <v>Current</v>
      </c>
      <c r="G84" s="7">
        <f>VLOOKUP(MID($B84,5,1),Table2[],5,FALSE)</f>
        <v>0.25</v>
      </c>
      <c r="H84" s="7" t="str">
        <f>VLOOKUP(MID($B84,6,1),Table2[],6,FALSE)</f>
        <v>None</v>
      </c>
      <c r="I84" t="s">
        <v>16</v>
      </c>
      <c r="J84" t="s">
        <v>16</v>
      </c>
      <c r="K84" t="s">
        <v>18</v>
      </c>
      <c r="L84" s="4">
        <f>SUM(Raw!AE69:AP69)*293</f>
        <v>11326194.059925815</v>
      </c>
      <c r="M84" s="4">
        <f>SUM(Raw!AQ69:BB69)*293</f>
        <v>9867361</v>
      </c>
      <c r="N84" s="4">
        <f t="shared" si="1"/>
        <v>21193555.059925817</v>
      </c>
      <c r="O84" s="9">
        <f>N84/Processed!$V$20</f>
        <v>195.31462433466601</v>
      </c>
      <c r="P84" s="9">
        <f>Raw!Z69*-293/Processed!$V$20</f>
        <v>83.798078297565766</v>
      </c>
      <c r="Q84" s="12">
        <f>((L84*Processed!$V$21)+(Table3[[#This Row],[Natural Gas kWh]]*Processed!$V$22))/Processed!$V$20</f>
        <v>35.022189890407127</v>
      </c>
      <c r="R84" s="10">
        <f>1-(O84/Processed!$V$23)</f>
        <v>9.5507789837464441E-2</v>
      </c>
      <c r="S84" s="11">
        <f>1-(Processed!Q84/Processed!$V$24)</f>
        <v>9.8489820313630516E-2</v>
      </c>
    </row>
    <row r="85" spans="1:19">
      <c r="B85" s="1" t="s">
        <v>207</v>
      </c>
      <c r="C85">
        <v>68</v>
      </c>
      <c r="D85">
        <f>VLOOKUP(MID($B85,2,1),Table2[],2,FALSE)</f>
        <v>15</v>
      </c>
      <c r="E85">
        <f>VLOOKUP(MID($B85,3,1),Table2[],3,FALSE)</f>
        <v>5.5</v>
      </c>
      <c r="F85" t="str">
        <f>VLOOKUP(MID($B85,4,1),Table2[],4,FALSE)</f>
        <v>Current</v>
      </c>
      <c r="G85" s="7">
        <f>VLOOKUP(MID($B85,5,1),Table2[],5,FALSE)</f>
        <v>0.25</v>
      </c>
      <c r="H85" s="7">
        <f>VLOOKUP(MID($B85,6,1),Table2[],6,FALSE)</f>
        <v>0.75</v>
      </c>
      <c r="I85" t="s">
        <v>16</v>
      </c>
      <c r="J85" t="s">
        <v>16</v>
      </c>
      <c r="K85" t="s">
        <v>18</v>
      </c>
      <c r="L85" s="4">
        <f>SUM(Raw!AE70:AP70)*293</f>
        <v>11687454.029941235</v>
      </c>
      <c r="M85" s="4">
        <f>SUM(Raw!AQ70:BB70)*293</f>
        <v>5863047.1999999993</v>
      </c>
      <c r="N85" s="4">
        <f t="shared" si="1"/>
        <v>17550501.229941234</v>
      </c>
      <c r="O85" s="9">
        <f>N85/Processed!$V$20</f>
        <v>161.74113049550189</v>
      </c>
      <c r="P85" s="9">
        <f>Raw!Z70*-293/Processed!$V$20</f>
        <v>48.454232991370993</v>
      </c>
      <c r="Q85" s="12">
        <f>((L85*Processed!$V$21)+(Table3[[#This Row],[Natural Gas kWh]]*Processed!$V$22))/Processed!$V$20</f>
        <v>28.576640388924417</v>
      </c>
      <c r="R85" s="10">
        <f>1-(O85/Processed!$V$23)</f>
        <v>0.25098495264034237</v>
      </c>
      <c r="S85" s="11">
        <f>1-(Processed!Q85/Processed!$V$24)</f>
        <v>0.26440544430636881</v>
      </c>
    </row>
    <row r="86" spans="1:19">
      <c r="B86" s="1" t="s">
        <v>209</v>
      </c>
      <c r="C86">
        <v>69</v>
      </c>
      <c r="D86">
        <f>VLOOKUP(MID($B86,2,1),Table2[],2,FALSE)</f>
        <v>15</v>
      </c>
      <c r="E86">
        <f>VLOOKUP(MID($B86,3,1),Table2[],3,FALSE)</f>
        <v>5.5</v>
      </c>
      <c r="F86" t="str">
        <f>VLOOKUP(MID($B86,4,1),Table2[],4,FALSE)</f>
        <v>Improved</v>
      </c>
      <c r="G86" s="7" t="str">
        <f>VLOOKUP(MID($B86,5,1),Table2[],5,FALSE)</f>
        <v>Current</v>
      </c>
      <c r="H86" s="7" t="str">
        <f>VLOOKUP(MID($B86,6,1),Table2[],6,FALSE)</f>
        <v>None</v>
      </c>
      <c r="I86" t="s">
        <v>16</v>
      </c>
      <c r="J86" t="s">
        <v>16</v>
      </c>
      <c r="K86" t="s">
        <v>18</v>
      </c>
      <c r="L86" s="4">
        <f>SUM(Raw!AE71:AP71)*293</f>
        <v>11856234.015932495</v>
      </c>
      <c r="M86" s="4">
        <f>SUM(Raw!AQ71:BB71)*293</f>
        <v>9400524.0999999996</v>
      </c>
      <c r="N86" s="4">
        <f t="shared" si="1"/>
        <v>21256758.115932494</v>
      </c>
      <c r="O86" s="9">
        <f>N86/Processed!$V$20</f>
        <v>195.8970882538076</v>
      </c>
      <c r="P86" s="9">
        <f>Raw!Z71*-293/Processed!$V$20</f>
        <v>79.507391235782279</v>
      </c>
      <c r="Q86" s="12">
        <f>((L86*Processed!$V$21)+(Table3[[#This Row],[Natural Gas kWh]]*Processed!$V$22))/Processed!$V$20</f>
        <v>35.035163660884443</v>
      </c>
      <c r="R86" s="10">
        <f>1-(O86/Processed!$V$23)</f>
        <v>9.2810428698435699E-2</v>
      </c>
      <c r="S86" s="11">
        <f>1-(Processed!Q86/Processed!$V$24)</f>
        <v>9.8155861009805889E-2</v>
      </c>
    </row>
    <row r="87" spans="1:19">
      <c r="B87" s="1" t="s">
        <v>211</v>
      </c>
      <c r="C87">
        <v>70</v>
      </c>
      <c r="D87">
        <f>VLOOKUP(MID($B87,2,1),Table2[],2,FALSE)</f>
        <v>15</v>
      </c>
      <c r="E87">
        <f>VLOOKUP(MID($B87,3,1),Table2[],3,FALSE)</f>
        <v>5.5</v>
      </c>
      <c r="F87" t="str">
        <f>VLOOKUP(MID($B87,4,1),Table2[],4,FALSE)</f>
        <v>Improved</v>
      </c>
      <c r="G87" s="7" t="str">
        <f>VLOOKUP(MID($B87,5,1),Table2[],5,FALSE)</f>
        <v>Current</v>
      </c>
      <c r="H87" s="7">
        <f>VLOOKUP(MID($B87,6,1),Table2[],6,FALSE)</f>
        <v>0.75</v>
      </c>
      <c r="I87" t="s">
        <v>16</v>
      </c>
      <c r="J87" t="s">
        <v>16</v>
      </c>
      <c r="K87" t="s">
        <v>18</v>
      </c>
      <c r="L87" s="4">
        <f>SUM(Raw!AE72:AP72)*293</f>
        <v>12215402.986121468</v>
      </c>
      <c r="M87" s="4">
        <f>SUM(Raw!AQ72:BB72)*293</f>
        <v>5359995.5</v>
      </c>
      <c r="N87" s="4">
        <f t="shared" si="1"/>
        <v>17575398.486121468</v>
      </c>
      <c r="O87" s="9">
        <f>N87/Processed!$V$20</f>
        <v>161.97057752428287</v>
      </c>
      <c r="P87" s="9">
        <f>Raw!Z72*-293/Processed!$V$20</f>
        <v>44.180125258278572</v>
      </c>
      <c r="Q87" s="12">
        <f>((L87*Processed!$V$21)+(Table3[[#This Row],[Natural Gas kWh]]*Processed!$V$22))/Processed!$V$20</f>
        <v>28.522926353101624</v>
      </c>
      <c r="R87" s="10">
        <f>1-(O87/Processed!$V$23)</f>
        <v>0.24992239498044211</v>
      </c>
      <c r="S87" s="11">
        <f>1-(Processed!Q87/Processed!$V$24)</f>
        <v>0.26578810342157022</v>
      </c>
    </row>
    <row r="88" spans="1:19">
      <c r="B88" s="1" t="s">
        <v>213</v>
      </c>
      <c r="C88">
        <v>71</v>
      </c>
      <c r="D88">
        <f>VLOOKUP(MID($B88,2,1),Table2[],2,FALSE)</f>
        <v>15</v>
      </c>
      <c r="E88">
        <f>VLOOKUP(MID($B88,3,1),Table2[],3,FALSE)</f>
        <v>5.5</v>
      </c>
      <c r="F88" t="str">
        <f>VLOOKUP(MID($B88,4,1),Table2[],4,FALSE)</f>
        <v>Improved</v>
      </c>
      <c r="G88" s="7">
        <f>VLOOKUP(MID($B88,5,1),Table2[],5,FALSE)</f>
        <v>0.25</v>
      </c>
      <c r="H88" s="7" t="str">
        <f>VLOOKUP(MID($B88,6,1),Table2[],6,FALSE)</f>
        <v>None</v>
      </c>
      <c r="I88" t="s">
        <v>16</v>
      </c>
      <c r="J88" t="s">
        <v>16</v>
      </c>
      <c r="K88" t="s">
        <v>18</v>
      </c>
      <c r="L88" s="4">
        <f>SUM(Raw!AE73:AP73)*293</f>
        <v>11330349.05958095</v>
      </c>
      <c r="M88" s="4">
        <f>SUM(Raw!AQ73:BB73)*293</f>
        <v>9667447.0999999996</v>
      </c>
      <c r="N88" s="4">
        <f t="shared" si="1"/>
        <v>20997796.15958095</v>
      </c>
      <c r="O88" s="9">
        <f>N88/Processed!$V$20</f>
        <v>193.510558146954</v>
      </c>
      <c r="P88" s="9">
        <f>Raw!Z73*-293/Processed!$V$20</f>
        <v>81.791763508635782</v>
      </c>
      <c r="Q88" s="12">
        <f>((L88*Processed!$V$21)+(Table3[[#This Row],[Natural Gas kWh]]*Processed!$V$22))/Processed!$V$20</f>
        <v>34.678651485512667</v>
      </c>
      <c r="R88" s="10">
        <f>1-(O88/Processed!$V$23)</f>
        <v>0.10386232969315468</v>
      </c>
      <c r="S88" s="11">
        <f>1-(Processed!Q88/Processed!$V$24)</f>
        <v>0.10733288152981124</v>
      </c>
    </row>
    <row r="89" spans="1:19">
      <c r="B89" s="1" t="s">
        <v>215</v>
      </c>
      <c r="C89">
        <v>72</v>
      </c>
      <c r="D89">
        <f>VLOOKUP(MID($B89,2,1),Table2[],2,FALSE)</f>
        <v>15</v>
      </c>
      <c r="E89">
        <f>VLOOKUP(MID($B89,3,1),Table2[],3,FALSE)</f>
        <v>5.5</v>
      </c>
      <c r="F89" t="str">
        <f>VLOOKUP(MID($B89,4,1),Table2[],4,FALSE)</f>
        <v>Improved</v>
      </c>
      <c r="G89" s="7">
        <f>VLOOKUP(MID($B89,5,1),Table2[],5,FALSE)</f>
        <v>0.25</v>
      </c>
      <c r="H89" s="7">
        <f>VLOOKUP(MID($B89,6,1),Table2[],6,FALSE)</f>
        <v>0.75</v>
      </c>
      <c r="I89" t="s">
        <v>16</v>
      </c>
      <c r="J89" t="s">
        <v>16</v>
      </c>
      <c r="K89" t="s">
        <v>18</v>
      </c>
      <c r="L89" s="4">
        <f>SUM(Raw!AE74:AP74)*293</f>
        <v>11691584.029598445</v>
      </c>
      <c r="M89" s="4">
        <f>SUM(Raw!AQ74:BB74)*293</f>
        <v>5645582.6000000006</v>
      </c>
      <c r="N89" s="4">
        <f t="shared" si="1"/>
        <v>17337166.629598446</v>
      </c>
      <c r="O89" s="9">
        <f>N89/Processed!$V$20</f>
        <v>159.77509095160653</v>
      </c>
      <c r="P89" s="9">
        <f>Raw!Z74*-293/Processed!$V$20</f>
        <v>46.452570675296819</v>
      </c>
      <c r="Q89" s="12">
        <f>((L89*Processed!$V$21)+(Table3[[#This Row],[Natural Gas kWh]]*Processed!$V$22))/Processed!$V$20</f>
        <v>28.202331654232555</v>
      </c>
      <c r="R89" s="10">
        <f>1-(O89/Processed!$V$23)</f>
        <v>0.26008958296888274</v>
      </c>
      <c r="S89" s="11">
        <f>1-(Processed!Q89/Processed!$V$24)</f>
        <v>0.27404056808721111</v>
      </c>
    </row>
    <row r="90" spans="1:19">
      <c r="A90" t="s">
        <v>72</v>
      </c>
      <c r="B90" s="1" t="s">
        <v>73</v>
      </c>
      <c r="C90">
        <v>72</v>
      </c>
      <c r="D90">
        <f>VLOOKUP(MID($B90,2,1),Table2[],2,FALSE)</f>
        <v>5</v>
      </c>
      <c r="E90">
        <f>VLOOKUP(MID($B90,3,1),Table2[],3,FALSE)</f>
        <v>2.8</v>
      </c>
      <c r="F90" t="str">
        <f>VLOOKUP(MID($B90,4,1),Table2[],4,FALSE)</f>
        <v>Current</v>
      </c>
      <c r="G90" s="7" t="str">
        <f>VLOOKUP(MID($B90,5,1),Table2[],5,FALSE)</f>
        <v>Current</v>
      </c>
      <c r="H90" s="7" t="str">
        <f>VLOOKUP(MID($B90,6,1),Table2[],6,FALSE)</f>
        <v>None</v>
      </c>
      <c r="I90" t="s">
        <v>19</v>
      </c>
      <c r="J90" t="s">
        <v>16</v>
      </c>
      <c r="K90" t="s">
        <v>18</v>
      </c>
      <c r="L90" s="4">
        <f>SUM(Raw!AE75:AP75)*293</f>
        <v>10660237.115200248</v>
      </c>
      <c r="M90" s="4">
        <f>SUM(Raw!AQ75:BB75)*293</f>
        <v>9782303.0999999996</v>
      </c>
      <c r="N90" s="4">
        <f t="shared" si="1"/>
        <v>20442540.215200245</v>
      </c>
      <c r="O90" s="9">
        <f>N90/Processed!$V$20</f>
        <v>188.39345505218481</v>
      </c>
      <c r="P90" s="9">
        <f>Raw!Z75*-293/Processed!$V$20</f>
        <v>86.980272523151655</v>
      </c>
      <c r="Q90" s="12">
        <f>((L90*Processed!$V$21)+(Table3[[#This Row],[Natural Gas kWh]]*Processed!$V$22))/Processed!$V$20</f>
        <v>33.829913655971602</v>
      </c>
      <c r="R90" s="10">
        <f>1-(O90/Processed!$V$23)</f>
        <v>0.12755937697562925</v>
      </c>
      <c r="S90" s="11">
        <f>1-(Processed!Q90/Processed!$V$24)</f>
        <v>0.12918033868798751</v>
      </c>
    </row>
    <row r="91" spans="1:19">
      <c r="B91" s="1" t="s">
        <v>75</v>
      </c>
      <c r="C91">
        <v>72</v>
      </c>
      <c r="D91">
        <f>VLOOKUP(MID($B91,2,1),Table2[],2,FALSE)</f>
        <v>5</v>
      </c>
      <c r="E91">
        <f>VLOOKUP(MID($B91,3,1),Table2[],3,FALSE)</f>
        <v>2.8</v>
      </c>
      <c r="F91" t="str">
        <f>VLOOKUP(MID($B91,4,1),Table2[],4,FALSE)</f>
        <v>Current</v>
      </c>
      <c r="G91" s="7" t="str">
        <f>VLOOKUP(MID($B91,5,1),Table2[],5,FALSE)</f>
        <v>Current</v>
      </c>
      <c r="H91" s="7">
        <f>VLOOKUP(MID($B91,6,1),Table2[],6,FALSE)</f>
        <v>0.75</v>
      </c>
      <c r="I91" t="s">
        <v>19</v>
      </c>
      <c r="J91" t="s">
        <v>16</v>
      </c>
      <c r="K91" t="s">
        <v>18</v>
      </c>
      <c r="L91" s="4">
        <f>SUM(Raw!AE76:AP76)*293</f>
        <v>10995001.087414835</v>
      </c>
      <c r="M91" s="4">
        <f>SUM(Raw!AQ76:BB76)*293</f>
        <v>6274360.6000000006</v>
      </c>
      <c r="N91" s="4">
        <f t="shared" si="1"/>
        <v>17269361.687414836</v>
      </c>
      <c r="O91" s="9">
        <f>N91/Processed!$V$20</f>
        <v>159.15021717402749</v>
      </c>
      <c r="P91" s="9">
        <f>Raw!Z76*-293/Processed!$V$20</f>
        <v>54.991953733639924</v>
      </c>
      <c r="Q91" s="12">
        <f>((L91*Processed!$V$21)+(Table3[[#This Row],[Natural Gas kWh]]*Processed!$V$22))/Processed!$V$20</f>
        <v>28.211996399897572</v>
      </c>
      <c r="R91" s="10">
        <f>1-(O91/Processed!$V$23)</f>
        <v>0.26298334203111573</v>
      </c>
      <c r="S91" s="11">
        <f>1-(Processed!Q91/Processed!$V$24)</f>
        <v>0.27379178676804294</v>
      </c>
    </row>
    <row r="92" spans="1:19">
      <c r="B92" s="1" t="s">
        <v>77</v>
      </c>
      <c r="C92">
        <v>72</v>
      </c>
      <c r="D92">
        <f>VLOOKUP(MID($B92,2,1),Table2[],2,FALSE)</f>
        <v>5</v>
      </c>
      <c r="E92">
        <f>VLOOKUP(MID($B92,3,1),Table2[],3,FALSE)</f>
        <v>2.8</v>
      </c>
      <c r="F92" t="str">
        <f>VLOOKUP(MID($B92,4,1),Table2[],4,FALSE)</f>
        <v>Current</v>
      </c>
      <c r="G92" s="7">
        <f>VLOOKUP(MID($B92,5,1),Table2[],5,FALSE)</f>
        <v>0.25</v>
      </c>
      <c r="H92" s="7" t="str">
        <f>VLOOKUP(MID($B92,6,1),Table2[],6,FALSE)</f>
        <v>None</v>
      </c>
      <c r="I92" t="s">
        <v>19</v>
      </c>
      <c r="J92" t="s">
        <v>16</v>
      </c>
      <c r="K92" t="s">
        <v>18</v>
      </c>
      <c r="L92" s="4">
        <f>SUM(Raw!AE77:AP77)*293</f>
        <v>10134728.158817492</v>
      </c>
      <c r="M92" s="4">
        <f>SUM(Raw!AQ77:BB77)*293</f>
        <v>10069355.200000001</v>
      </c>
      <c r="N92" s="4">
        <f t="shared" si="1"/>
        <v>20204083.358817495</v>
      </c>
      <c r="O92" s="9">
        <f>N92/Processed!$V$20</f>
        <v>186.19589493578474</v>
      </c>
      <c r="P92" s="9">
        <f>Raw!Z77*-293/Processed!$V$20</f>
        <v>89.724035312216643</v>
      </c>
      <c r="Q92" s="12">
        <f>((L92*Processed!$V$21)+(Table3[[#This Row],[Natural Gas kWh]]*Processed!$V$22))/Processed!$V$20</f>
        <v>33.509236476309411</v>
      </c>
      <c r="R92" s="10">
        <f>1-(O92/Processed!$V$23)</f>
        <v>0.13773616744085271</v>
      </c>
      <c r="S92" s="11">
        <f>1-(Processed!Q92/Processed!$V$24)</f>
        <v>0.13743492650112044</v>
      </c>
    </row>
    <row r="93" spans="1:19">
      <c r="B93" s="1" t="s">
        <v>79</v>
      </c>
      <c r="C93">
        <v>72</v>
      </c>
      <c r="D93">
        <f>VLOOKUP(MID($B93,2,1),Table2[],2,FALSE)</f>
        <v>5</v>
      </c>
      <c r="E93">
        <f>VLOOKUP(MID($B93,3,1),Table2[],3,FALSE)</f>
        <v>2.8</v>
      </c>
      <c r="F93" t="str">
        <f>VLOOKUP(MID($B93,4,1),Table2[],4,FALSE)</f>
        <v>Current</v>
      </c>
      <c r="G93" s="7">
        <f>VLOOKUP(MID($B93,5,1),Table2[],5,FALSE)</f>
        <v>0.25</v>
      </c>
      <c r="H93" s="7">
        <f>VLOOKUP(MID($B93,6,1),Table2[],6,FALSE)</f>
        <v>0.75</v>
      </c>
      <c r="I93" t="s">
        <v>19</v>
      </c>
      <c r="J93" t="s">
        <v>16</v>
      </c>
      <c r="K93" t="s">
        <v>18</v>
      </c>
      <c r="L93" s="4">
        <f>SUM(Raw!AE78:AP78)*293</f>
        <v>10469821.131004777</v>
      </c>
      <c r="M93" s="4">
        <f>SUM(Raw!AQ78:BB78)*293</f>
        <v>6568122.3999999994</v>
      </c>
      <c r="N93" s="4">
        <f t="shared" si="1"/>
        <v>17037943.531004775</v>
      </c>
      <c r="O93" s="9">
        <f>N93/Processed!$V$20</f>
        <v>157.01752399651909</v>
      </c>
      <c r="P93" s="9">
        <f>Raw!Z78*-293/Processed!$V$20</f>
        <v>57.731655397240509</v>
      </c>
      <c r="Q93" s="12">
        <f>((L93*Processed!$V$21)+(Table3[[#This Row],[Natural Gas kWh]]*Processed!$V$22))/Processed!$V$20</f>
        <v>27.903583298957809</v>
      </c>
      <c r="R93" s="10">
        <f>1-(O93/Processed!$V$23)</f>
        <v>0.27285973696208532</v>
      </c>
      <c r="S93" s="11">
        <f>1-(Processed!Q93/Processed!$V$24)</f>
        <v>0.28173068353366171</v>
      </c>
    </row>
    <row r="94" spans="1:19">
      <c r="B94" s="1" t="s">
        <v>81</v>
      </c>
      <c r="C94">
        <v>72</v>
      </c>
      <c r="D94">
        <f>VLOOKUP(MID($B94,2,1),Table2[],2,FALSE)</f>
        <v>5</v>
      </c>
      <c r="E94">
        <f>VLOOKUP(MID($B94,3,1),Table2[],3,FALSE)</f>
        <v>2.8</v>
      </c>
      <c r="F94" t="str">
        <f>VLOOKUP(MID($B94,4,1),Table2[],4,FALSE)</f>
        <v>Improved</v>
      </c>
      <c r="G94" s="7" t="str">
        <f>VLOOKUP(MID($B94,5,1),Table2[],5,FALSE)</f>
        <v>Current</v>
      </c>
      <c r="H94" s="7" t="str">
        <f>VLOOKUP(MID($B94,6,1),Table2[],6,FALSE)</f>
        <v>None</v>
      </c>
      <c r="I94" t="s">
        <v>19</v>
      </c>
      <c r="J94" t="s">
        <v>16</v>
      </c>
      <c r="K94" t="s">
        <v>18</v>
      </c>
      <c r="L94" s="4">
        <f>SUM(Raw!AE79:AP79)*293</f>
        <v>10660853.11514912</v>
      </c>
      <c r="M94" s="4">
        <f>SUM(Raw!AQ79:BB79)*293</f>
        <v>9582096.2000000011</v>
      </c>
      <c r="N94" s="4">
        <f t="shared" si="1"/>
        <v>20242949.315149121</v>
      </c>
      <c r="O94" s="9">
        <f>N94/Processed!$V$20</f>
        <v>186.55407409161086</v>
      </c>
      <c r="P94" s="9">
        <f>Raw!Z79*-293/Processed!$V$20</f>
        <v>85.012765244310899</v>
      </c>
      <c r="Q94" s="12">
        <f>((L94*Processed!$V$21)+(Table3[[#This Row],[Natural Gas kWh]]*Processed!$V$22))/Processed!$V$20</f>
        <v>33.480317735362625</v>
      </c>
      <c r="R94" s="10">
        <f>1-(O94/Processed!$V$23)</f>
        <v>0.13607745776977243</v>
      </c>
      <c r="S94" s="11">
        <f>1-(Processed!Q94/Processed!$V$24)</f>
        <v>0.13817932710624592</v>
      </c>
    </row>
    <row r="95" spans="1:19">
      <c r="B95" s="1" t="s">
        <v>83</v>
      </c>
      <c r="C95">
        <v>72</v>
      </c>
      <c r="D95">
        <f>VLOOKUP(MID($B95,2,1),Table2[],2,FALSE)</f>
        <v>5</v>
      </c>
      <c r="E95">
        <f>VLOOKUP(MID($B95,3,1),Table2[],3,FALSE)</f>
        <v>2.8</v>
      </c>
      <c r="F95" t="str">
        <f>VLOOKUP(MID($B95,4,1),Table2[],4,FALSE)</f>
        <v>Improved</v>
      </c>
      <c r="G95" s="7" t="str">
        <f>VLOOKUP(MID($B95,5,1),Table2[],5,FALSE)</f>
        <v>Current</v>
      </c>
      <c r="H95" s="7">
        <f>VLOOKUP(MID($B95,6,1),Table2[],6,FALSE)</f>
        <v>0.75</v>
      </c>
      <c r="I95" t="s">
        <v>19</v>
      </c>
      <c r="J95" t="s">
        <v>16</v>
      </c>
      <c r="K95" t="s">
        <v>18</v>
      </c>
      <c r="L95" s="4">
        <f>SUM(Raw!AE80:AP80)*293</f>
        <v>10996120.087321959</v>
      </c>
      <c r="M95" s="4">
        <f>SUM(Raw!AQ80:BB80)*293</f>
        <v>6066887.2999999998</v>
      </c>
      <c r="N95" s="4">
        <f t="shared" si="1"/>
        <v>17063007.38732196</v>
      </c>
      <c r="O95" s="9">
        <f>N95/Processed!$V$20</f>
        <v>157.24850637144993</v>
      </c>
      <c r="P95" s="9">
        <f>Raw!Z80*-293/Processed!$V$20</f>
        <v>53.025210616040141</v>
      </c>
      <c r="Q95" s="12">
        <f>((L95*Processed!$V$21)+(Table3[[#This Row],[Natural Gas kWh]]*Processed!$V$22))/Processed!$V$20</f>
        <v>27.850465098813981</v>
      </c>
      <c r="R95" s="10">
        <f>1-(O95/Processed!$V$23)</f>
        <v>0.27179006919132076</v>
      </c>
      <c r="S95" s="11">
        <f>1-(Processed!Q95/Processed!$V$24)</f>
        <v>0.28309800517477346</v>
      </c>
    </row>
    <row r="96" spans="1:19">
      <c r="B96" s="1" t="s">
        <v>85</v>
      </c>
      <c r="C96">
        <v>72</v>
      </c>
      <c r="D96">
        <f>VLOOKUP(MID($B96,2,1),Table2[],2,FALSE)</f>
        <v>5</v>
      </c>
      <c r="E96">
        <f>VLOOKUP(MID($B96,3,1),Table2[],3,FALSE)</f>
        <v>2.8</v>
      </c>
      <c r="F96" t="str">
        <f>VLOOKUP(MID($B96,4,1),Table2[],4,FALSE)</f>
        <v>Improved</v>
      </c>
      <c r="G96" s="7">
        <f>VLOOKUP(MID($B96,5,1),Table2[],5,FALSE)</f>
        <v>0.25</v>
      </c>
      <c r="H96" s="7" t="str">
        <f>VLOOKUP(MID($B96,6,1),Table2[],6,FALSE)</f>
        <v>None</v>
      </c>
      <c r="I96" t="s">
        <v>19</v>
      </c>
      <c r="J96" t="s">
        <v>16</v>
      </c>
      <c r="K96" t="s">
        <v>18</v>
      </c>
      <c r="L96" s="4">
        <f>SUM(Raw!AE81:AP81)*293</f>
        <v>10134184.158862645</v>
      </c>
      <c r="M96" s="4">
        <f>SUM(Raw!AQ81:BB81)*293</f>
        <v>9862907.4000000004</v>
      </c>
      <c r="N96" s="4">
        <f t="shared" si="1"/>
        <v>19997091.558862645</v>
      </c>
      <c r="O96" s="9">
        <f>N96/Processed!$V$20</f>
        <v>184.28830909026593</v>
      </c>
      <c r="P96" s="9">
        <f>Raw!Z81*-293/Processed!$V$20</f>
        <v>87.729423261160775</v>
      </c>
      <c r="Q96" s="12">
        <f>((L96*Processed!$V$21)+(Table3[[#This Row],[Natural Gas kWh]]*Processed!$V$22))/Processed!$V$20</f>
        <v>33.146895433073759</v>
      </c>
      <c r="R96" s="10">
        <f>1-(O96/Processed!$V$23)</f>
        <v>0.14657010162968054</v>
      </c>
      <c r="S96" s="11">
        <f>1-(Processed!Q96/Processed!$V$24)</f>
        <v>0.14676198857283262</v>
      </c>
    </row>
    <row r="97" spans="2:19">
      <c r="B97" s="1" t="s">
        <v>87</v>
      </c>
      <c r="C97">
        <v>72</v>
      </c>
      <c r="D97">
        <f>VLOOKUP(MID($B97,2,1),Table2[],2,FALSE)</f>
        <v>5</v>
      </c>
      <c r="E97">
        <f>VLOOKUP(MID($B97,3,1),Table2[],3,FALSE)</f>
        <v>2.8</v>
      </c>
      <c r="F97" t="str">
        <f>VLOOKUP(MID($B97,4,1),Table2[],4,FALSE)</f>
        <v>Improved</v>
      </c>
      <c r="G97" s="7">
        <f>VLOOKUP(MID($B97,5,1),Table2[],5,FALSE)</f>
        <v>0.25</v>
      </c>
      <c r="H97" s="7">
        <f>VLOOKUP(MID($B97,6,1),Table2[],6,FALSE)</f>
        <v>0.75</v>
      </c>
      <c r="I97" t="s">
        <v>19</v>
      </c>
      <c r="J97" t="s">
        <v>16</v>
      </c>
      <c r="K97" t="s">
        <v>18</v>
      </c>
      <c r="L97" s="4">
        <f>SUM(Raw!AE82:AP82)*293</f>
        <v>10470035.130987013</v>
      </c>
      <c r="M97" s="4">
        <f>SUM(Raw!AQ82:BB82)*293</f>
        <v>6362641.5</v>
      </c>
      <c r="N97" s="4">
        <f t="shared" si="1"/>
        <v>16832676.630987011</v>
      </c>
      <c r="O97" s="9">
        <f>N97/Processed!$V$20</f>
        <v>155.12583440730435</v>
      </c>
      <c r="P97" s="9">
        <f>Raw!Z82*-293/Processed!$V$20</f>
        <v>55.737667096172842</v>
      </c>
      <c r="Q97" s="12">
        <f>((L97*Processed!$V$21)+(Table3[[#This Row],[Natural Gas kWh]]*Processed!$V$22))/Processed!$V$20</f>
        <v>27.544122833576193</v>
      </c>
      <c r="R97" s="10">
        <f>1-(O97/Processed!$V$23)</f>
        <v>0.28162005638680243</v>
      </c>
      <c r="S97" s="11">
        <f>1-(Processed!Q97/Processed!$V$24)</f>
        <v>0.29098359632267856</v>
      </c>
    </row>
    <row r="98" spans="2:19">
      <c r="B98" s="1" t="s">
        <v>89</v>
      </c>
      <c r="C98">
        <v>72</v>
      </c>
      <c r="D98">
        <f>VLOOKUP(MID($B98,2,1),Table2[],2,FALSE)</f>
        <v>5</v>
      </c>
      <c r="E98">
        <f>VLOOKUP(MID($B98,3,1),Table2[],3,FALSE)</f>
        <v>4</v>
      </c>
      <c r="F98" t="str">
        <f>VLOOKUP(MID($B98,4,1),Table2[],4,FALSE)</f>
        <v>Current</v>
      </c>
      <c r="G98" s="7" t="str">
        <f>VLOOKUP(MID($B98,5,1),Table2[],5,FALSE)</f>
        <v>Current</v>
      </c>
      <c r="H98" s="7" t="str">
        <f>VLOOKUP(MID($B98,6,1),Table2[],6,FALSE)</f>
        <v>None</v>
      </c>
      <c r="I98" t="s">
        <v>19</v>
      </c>
      <c r="J98" t="s">
        <v>16</v>
      </c>
      <c r="K98" t="s">
        <v>18</v>
      </c>
      <c r="L98" s="4">
        <f>SUM(Raw!AE83:AP83)*293</f>
        <v>10672324.114197027</v>
      </c>
      <c r="M98" s="4">
        <f>SUM(Raw!AQ83:BB83)*293</f>
        <v>8965096.7999999989</v>
      </c>
      <c r="N98" s="4">
        <f t="shared" si="1"/>
        <v>19637420.914197028</v>
      </c>
      <c r="O98" s="9">
        <f>N98/Processed!$V$20</f>
        <v>180.97367232222771</v>
      </c>
      <c r="P98" s="9">
        <f>Raw!Z83*-293/Processed!$V$20</f>
        <v>78.947730883803089</v>
      </c>
      <c r="Q98" s="12">
        <f>((L98*Processed!$V$21)+(Table3[[#This Row],[Natural Gas kWh]]*Processed!$V$22))/Processed!$V$20</f>
        <v>32.417927120698984</v>
      </c>
      <c r="R98" s="10">
        <f>1-(O98/Processed!$V$23)</f>
        <v>0.16192001793227029</v>
      </c>
      <c r="S98" s="11">
        <f>1-(Processed!Q98/Processed!$V$24)</f>
        <v>0.16552644494552382</v>
      </c>
    </row>
    <row r="99" spans="2:19">
      <c r="B99" s="1" t="s">
        <v>91</v>
      </c>
      <c r="C99">
        <v>72</v>
      </c>
      <c r="D99">
        <f>VLOOKUP(MID($B99,2,1),Table2[],2,FALSE)</f>
        <v>5</v>
      </c>
      <c r="E99">
        <f>VLOOKUP(MID($B99,3,1),Table2[],3,FALSE)</f>
        <v>4</v>
      </c>
      <c r="F99" t="str">
        <f>VLOOKUP(MID($B99,4,1),Table2[],4,FALSE)</f>
        <v>Current</v>
      </c>
      <c r="G99" s="7" t="str">
        <f>VLOOKUP(MID($B99,5,1),Table2[],5,FALSE)</f>
        <v>Current</v>
      </c>
      <c r="H99" s="7">
        <f>VLOOKUP(MID($B99,6,1),Table2[],6,FALSE)</f>
        <v>0.75</v>
      </c>
      <c r="I99" t="s">
        <v>19</v>
      </c>
      <c r="J99" t="s">
        <v>16</v>
      </c>
      <c r="K99" t="s">
        <v>18</v>
      </c>
      <c r="L99" s="4">
        <f>SUM(Raw!AE84:AP84)*293</f>
        <v>11008202.086319152</v>
      </c>
      <c r="M99" s="4">
        <f>SUM(Raw!AQ84:BB84)*293</f>
        <v>5428059.3999999994</v>
      </c>
      <c r="N99" s="4">
        <f t="shared" si="1"/>
        <v>16436261.486319151</v>
      </c>
      <c r="O99" s="9">
        <f>N99/Processed!$V$20</f>
        <v>151.47256930654845</v>
      </c>
      <c r="P99" s="9">
        <f>Raw!Z84*-293/Processed!$V$20</f>
        <v>46.965528084435526</v>
      </c>
      <c r="Q99" s="12">
        <f>((L99*Processed!$V$21)+(Table3[[#This Row],[Natural Gas kWh]]*Processed!$V$22))/Processed!$V$20</f>
        <v>26.750810161477432</v>
      </c>
      <c r="R99" s="10">
        <f>1-(O99/Processed!$V$23)</f>
        <v>0.29853814348114338</v>
      </c>
      <c r="S99" s="11">
        <f>1-(Processed!Q99/Processed!$V$24)</f>
        <v>0.31140434818911511</v>
      </c>
    </row>
    <row r="100" spans="2:19">
      <c r="B100" s="1" t="s">
        <v>93</v>
      </c>
      <c r="C100">
        <v>72</v>
      </c>
      <c r="D100">
        <f>VLOOKUP(MID($B100,2,1),Table2[],2,FALSE)</f>
        <v>5</v>
      </c>
      <c r="E100">
        <f>VLOOKUP(MID($B100,3,1),Table2[],3,FALSE)</f>
        <v>4</v>
      </c>
      <c r="F100" t="str">
        <f>VLOOKUP(MID($B100,4,1),Table2[],4,FALSE)</f>
        <v>Current</v>
      </c>
      <c r="G100" s="7">
        <f>VLOOKUP(MID($B100,5,1),Table2[],5,FALSE)</f>
        <v>0.25</v>
      </c>
      <c r="H100" s="7" t="str">
        <f>VLOOKUP(MID($B100,6,1),Table2[],6,FALSE)</f>
        <v>None</v>
      </c>
      <c r="I100" t="s">
        <v>19</v>
      </c>
      <c r="J100" t="s">
        <v>16</v>
      </c>
      <c r="K100" t="s">
        <v>18</v>
      </c>
      <c r="L100" s="4">
        <f>SUM(Raw!AE85:AP85)*293</f>
        <v>10143109.158121873</v>
      </c>
      <c r="M100" s="4">
        <f>SUM(Raw!AQ85:BB85)*293</f>
        <v>9231375.2000000011</v>
      </c>
      <c r="N100" s="4">
        <f t="shared" si="1"/>
        <v>19374484.358121872</v>
      </c>
      <c r="O100" s="9">
        <f>N100/Processed!$V$20</f>
        <v>178.55051327559963</v>
      </c>
      <c r="P100" s="9">
        <f>Raw!Z85*-293/Processed!$V$20</f>
        <v>81.554230872431376</v>
      </c>
      <c r="Q100" s="12">
        <f>((L100*Processed!$V$21)+(Table3[[#This Row],[Natural Gas kWh]]*Processed!$V$22))/Processed!$V$20</f>
        <v>32.055069216043982</v>
      </c>
      <c r="R100" s="10">
        <f>1-(O100/Processed!$V$23)</f>
        <v>0.17314154570637352</v>
      </c>
      <c r="S100" s="11">
        <f>1-(Processed!Q100/Processed!$V$24)</f>
        <v>0.17486681160591222</v>
      </c>
    </row>
    <row r="101" spans="2:19">
      <c r="B101" s="1" t="s">
        <v>95</v>
      </c>
      <c r="C101">
        <v>72</v>
      </c>
      <c r="D101">
        <f>VLOOKUP(MID($B101,2,1),Table2[],2,FALSE)</f>
        <v>5</v>
      </c>
      <c r="E101">
        <f>VLOOKUP(MID($B101,3,1),Table2[],3,FALSE)</f>
        <v>4</v>
      </c>
      <c r="F101" t="str">
        <f>VLOOKUP(MID($B101,4,1),Table2[],4,FALSE)</f>
        <v>Current</v>
      </c>
      <c r="G101" s="7">
        <f>VLOOKUP(MID($B101,5,1),Table2[],5,FALSE)</f>
        <v>0.25</v>
      </c>
      <c r="H101" s="7">
        <f>VLOOKUP(MID($B101,6,1),Table2[],6,FALSE)</f>
        <v>0.75</v>
      </c>
      <c r="I101" t="s">
        <v>19</v>
      </c>
      <c r="J101" t="s">
        <v>16</v>
      </c>
      <c r="K101" t="s">
        <v>18</v>
      </c>
      <c r="L101" s="4">
        <f>SUM(Raw!AE86:AP86)*293</f>
        <v>10479977.130161826</v>
      </c>
      <c r="M101" s="4">
        <f>SUM(Raw!AQ86:BB86)*293</f>
        <v>5712591.7000000002</v>
      </c>
      <c r="N101" s="4">
        <f t="shared" si="1"/>
        <v>16192568.830161825</v>
      </c>
      <c r="O101" s="9">
        <f>N101/Processed!$V$20</f>
        <v>149.22675733890534</v>
      </c>
      <c r="P101" s="9">
        <f>Raw!Z86*-293/Processed!$V$20</f>
        <v>49.566460226848676</v>
      </c>
      <c r="Q101" s="12">
        <f>((L101*Processed!$V$21)+(Table3[[#This Row],[Natural Gas kWh]]*Processed!$V$22))/Processed!$V$20</f>
        <v>26.421465729883266</v>
      </c>
      <c r="R101" s="10">
        <f>1-(O101/Processed!$V$23)</f>
        <v>0.3089383858446767</v>
      </c>
      <c r="S101" s="11">
        <f>1-(Processed!Q101/Processed!$V$24)</f>
        <v>0.31988204072159976</v>
      </c>
    </row>
    <row r="102" spans="2:19">
      <c r="B102" s="1" t="s">
        <v>97</v>
      </c>
      <c r="C102">
        <v>72</v>
      </c>
      <c r="D102">
        <f>VLOOKUP(MID($B102,2,1),Table2[],2,FALSE)</f>
        <v>5</v>
      </c>
      <c r="E102">
        <f>VLOOKUP(MID($B102,3,1),Table2[],3,FALSE)</f>
        <v>4</v>
      </c>
      <c r="F102" t="str">
        <f>VLOOKUP(MID($B102,4,1),Table2[],4,FALSE)</f>
        <v>Improved</v>
      </c>
      <c r="G102" s="7" t="str">
        <f>VLOOKUP(MID($B102,5,1),Table2[],5,FALSE)</f>
        <v>Current</v>
      </c>
      <c r="H102" s="7" t="str">
        <f>VLOOKUP(MID($B102,6,1),Table2[],6,FALSE)</f>
        <v>None</v>
      </c>
      <c r="I102" t="s">
        <v>19</v>
      </c>
      <c r="J102" t="s">
        <v>16</v>
      </c>
      <c r="K102" t="s">
        <v>18</v>
      </c>
      <c r="L102" s="4">
        <f>SUM(Raw!AE87:AP87)*293</f>
        <v>10675007.113974337</v>
      </c>
      <c r="M102" s="4">
        <f>SUM(Raw!AQ87:BB87)*293</f>
        <v>8765475.9000000004</v>
      </c>
      <c r="N102" s="4">
        <f t="shared" si="1"/>
        <v>19440483.013974339</v>
      </c>
      <c r="O102" s="9">
        <f>N102/Processed!$V$20</f>
        <v>179.15874075975549</v>
      </c>
      <c r="P102" s="9">
        <f>Raw!Z87*-293/Processed!$V$20</f>
        <v>76.977077852857278</v>
      </c>
      <c r="Q102" s="12">
        <f>((L102*Processed!$V$21)+(Table3[[#This Row],[Natural Gas kWh]]*Processed!$V$22))/Processed!$V$20</f>
        <v>32.072595606423278</v>
      </c>
      <c r="R102" s="10">
        <f>1-(O102/Processed!$V$23)</f>
        <v>0.17032487479245828</v>
      </c>
      <c r="S102" s="11">
        <f>1-(Processed!Q102/Processed!$V$24)</f>
        <v>0.17441566279455767</v>
      </c>
    </row>
    <row r="103" spans="2:19">
      <c r="B103" s="1" t="s">
        <v>99</v>
      </c>
      <c r="C103">
        <v>72</v>
      </c>
      <c r="D103">
        <f>VLOOKUP(MID($B103,2,1),Table2[],2,FALSE)</f>
        <v>5</v>
      </c>
      <c r="E103">
        <f>VLOOKUP(MID($B103,3,1),Table2[],3,FALSE)</f>
        <v>4</v>
      </c>
      <c r="F103" t="str">
        <f>VLOOKUP(MID($B103,4,1),Table2[],4,FALSE)</f>
        <v>Improved</v>
      </c>
      <c r="G103" s="7" t="str">
        <f>VLOOKUP(MID($B103,5,1),Table2[],5,FALSE)</f>
        <v>Current</v>
      </c>
      <c r="H103" s="7">
        <f>VLOOKUP(MID($B103,6,1),Table2[],6,FALSE)</f>
        <v>0.75</v>
      </c>
      <c r="I103" t="s">
        <v>19</v>
      </c>
      <c r="J103" t="s">
        <v>16</v>
      </c>
      <c r="K103" t="s">
        <v>18</v>
      </c>
      <c r="L103" s="4">
        <f>SUM(Raw!AE88:AP88)*293</f>
        <v>11010967.086089658</v>
      </c>
      <c r="M103" s="4">
        <f>SUM(Raw!AQ88:BB88)*293</f>
        <v>5218154.2</v>
      </c>
      <c r="N103" s="4">
        <f t="shared" si="1"/>
        <v>16229121.286089659</v>
      </c>
      <c r="O103" s="9">
        <f>N103/Processed!$V$20</f>
        <v>149.56361584036333</v>
      </c>
      <c r="P103" s="9">
        <f>Raw!Z88*-293/Processed!$V$20</f>
        <v>44.997810188715647</v>
      </c>
      <c r="Q103" s="12">
        <f>((L103*Processed!$V$21)+(Table3[[#This Row],[Natural Gas kWh]]*Processed!$V$22))/Processed!$V$20</f>
        <v>26.387599371658293</v>
      </c>
      <c r="R103" s="10">
        <f>1-(O103/Processed!$V$23)</f>
        <v>0.30737841105255004</v>
      </c>
      <c r="S103" s="11">
        <f>1-(Processed!Q103/Processed!$V$24)</f>
        <v>0.32075379850671415</v>
      </c>
    </row>
    <row r="104" spans="2:19">
      <c r="B104" s="1" t="s">
        <v>101</v>
      </c>
      <c r="C104">
        <v>72</v>
      </c>
      <c r="D104">
        <f>VLOOKUP(MID($B104,2,1),Table2[],2,FALSE)</f>
        <v>5</v>
      </c>
      <c r="E104">
        <f>VLOOKUP(MID($B104,3,1),Table2[],3,FALSE)</f>
        <v>4</v>
      </c>
      <c r="F104" t="str">
        <f>VLOOKUP(MID($B104,4,1),Table2[],4,FALSE)</f>
        <v>Improved</v>
      </c>
      <c r="G104" s="7">
        <f>VLOOKUP(MID($B104,5,1),Table2[],5,FALSE)</f>
        <v>0.25</v>
      </c>
      <c r="H104" s="7" t="str">
        <f>VLOOKUP(MID($B104,6,1),Table2[],6,FALSE)</f>
        <v>None</v>
      </c>
      <c r="I104" t="s">
        <v>19</v>
      </c>
      <c r="J104" t="s">
        <v>16</v>
      </c>
      <c r="K104" t="s">
        <v>18</v>
      </c>
      <c r="L104" s="4">
        <f>SUM(Raw!AE89:AP89)*293</f>
        <v>10144736.157986829</v>
      </c>
      <c r="M104" s="4">
        <f>SUM(Raw!AQ89:BB89)*293</f>
        <v>9027652.2999999989</v>
      </c>
      <c r="N104" s="4">
        <f t="shared" si="1"/>
        <v>19172388.457986828</v>
      </c>
      <c r="O104" s="9">
        <f>N104/Processed!$V$20</f>
        <v>176.68804684640253</v>
      </c>
      <c r="P104" s="9">
        <f>Raw!Z89*-293/Processed!$V$20</f>
        <v>79.549576716586898</v>
      </c>
      <c r="Q104" s="12">
        <f>((L104*Processed!$V$21)+(Table3[[#This Row],[Natural Gas kWh]]*Processed!$V$22))/Processed!$V$20</f>
        <v>31.700900713833263</v>
      </c>
      <c r="R104" s="10">
        <f>1-(O104/Processed!$V$23)</f>
        <v>0.18176653414559818</v>
      </c>
      <c r="S104" s="11">
        <f>1-(Processed!Q104/Processed!$V$24)</f>
        <v>0.18398350336808822</v>
      </c>
    </row>
    <row r="105" spans="2:19">
      <c r="B105" s="1" t="s">
        <v>103</v>
      </c>
      <c r="C105">
        <v>72</v>
      </c>
      <c r="D105">
        <f>VLOOKUP(MID($B105,2,1),Table2[],2,FALSE)</f>
        <v>5</v>
      </c>
      <c r="E105">
        <f>VLOOKUP(MID($B105,3,1),Table2[],3,FALSE)</f>
        <v>4</v>
      </c>
      <c r="F105" t="str">
        <f>VLOOKUP(MID($B105,4,1),Table2[],4,FALSE)</f>
        <v>Improved</v>
      </c>
      <c r="G105" s="7">
        <f>VLOOKUP(MID($B105,5,1),Table2[],5,FALSE)</f>
        <v>0.25</v>
      </c>
      <c r="H105" s="7">
        <f>VLOOKUP(MID($B105,6,1),Table2[],6,FALSE)</f>
        <v>0.75</v>
      </c>
      <c r="I105" t="s">
        <v>19</v>
      </c>
      <c r="J105" t="s">
        <v>16</v>
      </c>
      <c r="K105" t="s">
        <v>18</v>
      </c>
      <c r="L105" s="4">
        <f>SUM(Raw!AE90:AP90)*293</f>
        <v>10482204.129976986</v>
      </c>
      <c r="M105" s="4">
        <f>SUM(Raw!AQ90:BB90)*293</f>
        <v>5504122.2000000002</v>
      </c>
      <c r="N105" s="4">
        <f t="shared" si="1"/>
        <v>15986326.329976987</v>
      </c>
      <c r="O105" s="9">
        <f>N105/Processed!$V$20</f>
        <v>147.32607685695956</v>
      </c>
      <c r="P105" s="9">
        <f>Raw!Z90*-293/Processed!$V$20</f>
        <v>47.563680021185242</v>
      </c>
      <c r="Q105" s="12">
        <f>((L105*Processed!$V$21)+(Table3[[#This Row],[Natural Gas kWh]]*Processed!$V$22))/Processed!$V$20</f>
        <v>26.059925968591941</v>
      </c>
      <c r="R105" s="10">
        <f>1-(O105/Processed!$V$23)</f>
        <v>0.31774034164181264</v>
      </c>
      <c r="S105" s="11">
        <f>1-(Processed!Q105/Processed!$V$24)</f>
        <v>0.32918847690350128</v>
      </c>
    </row>
    <row r="106" spans="2:19">
      <c r="B106" s="1" t="s">
        <v>105</v>
      </c>
      <c r="C106">
        <v>72</v>
      </c>
      <c r="D106">
        <f>VLOOKUP(MID($B106,2,1),Table2[],2,FALSE)</f>
        <v>5</v>
      </c>
      <c r="E106">
        <f>VLOOKUP(MID($B106,3,1),Table2[],3,FALSE)</f>
        <v>5.5</v>
      </c>
      <c r="F106" t="str">
        <f>VLOOKUP(MID($B106,4,1),Table2[],4,FALSE)</f>
        <v>Current</v>
      </c>
      <c r="G106" s="7" t="str">
        <f>VLOOKUP(MID($B106,5,1),Table2[],5,FALSE)</f>
        <v>Current</v>
      </c>
      <c r="H106" s="7" t="str">
        <f>VLOOKUP(MID($B106,6,1),Table2[],6,FALSE)</f>
        <v>None</v>
      </c>
      <c r="I106" t="s">
        <v>19</v>
      </c>
      <c r="J106" t="s">
        <v>16</v>
      </c>
      <c r="K106" t="s">
        <v>18</v>
      </c>
      <c r="L106" s="4">
        <f>SUM(Raw!AE91:AP91)*293</f>
        <v>10681454.113439238</v>
      </c>
      <c r="M106" s="4">
        <f>SUM(Raw!AQ91:BB91)*293</f>
        <v>8560581</v>
      </c>
      <c r="N106" s="4">
        <f t="shared" si="1"/>
        <v>19242035.11343924</v>
      </c>
      <c r="O106" s="9">
        <f>N106/Processed!$V$20</f>
        <v>177.3298934034049</v>
      </c>
      <c r="P106" s="9">
        <f>Raw!Z91*-293/Processed!$V$20</f>
        <v>74.962146673397456</v>
      </c>
      <c r="Q106" s="12">
        <f>((L106*Processed!$V$21)+(Table3[[#This Row],[Natural Gas kWh]]*Processed!$V$22))/Processed!$V$20</f>
        <v>31.723926329284527</v>
      </c>
      <c r="R106" s="10">
        <f>1-(O106/Processed!$V$23)</f>
        <v>0.17879417499478756</v>
      </c>
      <c r="S106" s="11">
        <f>1-(Processed!Q106/Processed!$V$24)</f>
        <v>0.18339079837768602</v>
      </c>
    </row>
    <row r="107" spans="2:19">
      <c r="B107" s="1" t="s">
        <v>107</v>
      </c>
      <c r="C107">
        <v>72</v>
      </c>
      <c r="D107">
        <f>VLOOKUP(MID($B107,2,1),Table2[],2,FALSE)</f>
        <v>5</v>
      </c>
      <c r="E107">
        <f>VLOOKUP(MID($B107,3,1),Table2[],3,FALSE)</f>
        <v>5.5</v>
      </c>
      <c r="F107" t="str">
        <f>VLOOKUP(MID($B107,4,1),Table2[],4,FALSE)</f>
        <v>Current</v>
      </c>
      <c r="G107" s="7" t="str">
        <f>VLOOKUP(MID($B107,5,1),Table2[],5,FALSE)</f>
        <v>Current</v>
      </c>
      <c r="H107" s="7">
        <f>VLOOKUP(MID($B107,6,1),Table2[],6,FALSE)</f>
        <v>0.75</v>
      </c>
      <c r="I107" t="s">
        <v>19</v>
      </c>
      <c r="J107" t="s">
        <v>16</v>
      </c>
      <c r="K107" t="s">
        <v>18</v>
      </c>
      <c r="L107" s="4">
        <f>SUM(Raw!AE92:AP92)*293</f>
        <v>11017349.085559951</v>
      </c>
      <c r="M107" s="4">
        <f>SUM(Raw!AQ92:BB92)*293</f>
        <v>5002389</v>
      </c>
      <c r="N107" s="4">
        <f t="shared" si="1"/>
        <v>16019738.085559951</v>
      </c>
      <c r="O107" s="9">
        <f>N107/Processed!$V$20</f>
        <v>147.63399143153643</v>
      </c>
      <c r="P107" s="9">
        <f>Raw!Z92*-293/Processed!$V$20</f>
        <v>42.985244398821521</v>
      </c>
      <c r="Q107" s="12">
        <f>((L107*Processed!$V$21)+(Table3[[#This Row],[Natural Gas kWh]]*Processed!$V$22))/Processed!$V$20</f>
        <v>26.01979443503037</v>
      </c>
      <c r="R107" s="10">
        <f>1-(O107/Processed!$V$23)</f>
        <v>0.31631440472055539</v>
      </c>
      <c r="S107" s="11">
        <f>1-(Processed!Q107/Processed!$V$24)</f>
        <v>0.33022150728068189</v>
      </c>
    </row>
    <row r="108" spans="2:19">
      <c r="B108" s="1" t="s">
        <v>109</v>
      </c>
      <c r="C108">
        <v>72</v>
      </c>
      <c r="D108">
        <f>VLOOKUP(MID($B108,2,1),Table2[],2,FALSE)</f>
        <v>5</v>
      </c>
      <c r="E108">
        <f>VLOOKUP(MID($B108,3,1),Table2[],3,FALSE)</f>
        <v>5.5</v>
      </c>
      <c r="F108" t="str">
        <f>VLOOKUP(MID($B108,4,1),Table2[],4,FALSE)</f>
        <v>Current</v>
      </c>
      <c r="G108" s="7">
        <f>VLOOKUP(MID($B108,5,1),Table2[],5,FALSE)</f>
        <v>0.25</v>
      </c>
      <c r="H108" s="7" t="str">
        <f>VLOOKUP(MID($B108,6,1),Table2[],6,FALSE)</f>
        <v>None</v>
      </c>
      <c r="I108" t="s">
        <v>19</v>
      </c>
      <c r="J108" t="s">
        <v>16</v>
      </c>
      <c r="K108" t="s">
        <v>18</v>
      </c>
      <c r="L108" s="4">
        <f>SUM(Raw!AE93:AP93)*293</f>
        <v>10149898.157558383</v>
      </c>
      <c r="M108" s="4">
        <f>SUM(Raw!AQ93:BB93)*293</f>
        <v>8819768.7999999989</v>
      </c>
      <c r="N108" s="4">
        <f t="shared" si="1"/>
        <v>18969666.957558382</v>
      </c>
      <c r="O108" s="9">
        <f>N108/Processed!$V$20</f>
        <v>174.81981503778022</v>
      </c>
      <c r="P108" s="9">
        <f>Raw!Z93*-293/Processed!$V$20</f>
        <v>77.484054282671778</v>
      </c>
      <c r="Q108" s="12">
        <f>((L108*Processed!$V$21)+(Table3[[#This Row],[Natural Gas kWh]]*Processed!$V$22))/Processed!$V$20</f>
        <v>31.344985235662893</v>
      </c>
      <c r="R108" s="10">
        <f>1-(O108/Processed!$V$23)</f>
        <v>0.1904182217672139</v>
      </c>
      <c r="S108" s="11">
        <f>1-(Processed!Q108/Processed!$V$24)</f>
        <v>0.19314516423745653</v>
      </c>
    </row>
    <row r="109" spans="2:19">
      <c r="B109" s="1" t="s">
        <v>111</v>
      </c>
      <c r="C109">
        <v>72</v>
      </c>
      <c r="D109">
        <f>VLOOKUP(MID($B109,2,1),Table2[],2,FALSE)</f>
        <v>5</v>
      </c>
      <c r="E109">
        <f>VLOOKUP(MID($B109,3,1),Table2[],3,FALSE)</f>
        <v>5.5</v>
      </c>
      <c r="F109" t="str">
        <f>VLOOKUP(MID($B109,4,1),Table2[],4,FALSE)</f>
        <v>Current</v>
      </c>
      <c r="G109" s="7">
        <f>VLOOKUP(MID($B109,5,1),Table2[],5,FALSE)</f>
        <v>0.25</v>
      </c>
      <c r="H109" s="7">
        <f>VLOOKUP(MID($B109,6,1),Table2[],6,FALSE)</f>
        <v>0.75</v>
      </c>
      <c r="I109" t="s">
        <v>19</v>
      </c>
      <c r="J109" t="s">
        <v>16</v>
      </c>
      <c r="K109" t="s">
        <v>18</v>
      </c>
      <c r="L109" s="4">
        <f>SUM(Raw!AE94:AP94)*293</f>
        <v>10487556.129532771</v>
      </c>
      <c r="M109" s="4">
        <f>SUM(Raw!AQ94:BB94)*293</f>
        <v>5285339.1000000006</v>
      </c>
      <c r="N109" s="4">
        <f t="shared" si="1"/>
        <v>15772895.229532771</v>
      </c>
      <c r="O109" s="9">
        <f>N109/Processed!$V$20</f>
        <v>145.3591479917113</v>
      </c>
      <c r="P109" s="9">
        <f>Raw!Z94*-293/Processed!$V$20</f>
        <v>45.50059858289498</v>
      </c>
      <c r="Q109" s="12">
        <f>((L109*Processed!$V$21)+(Table3[[#This Row],[Natural Gas kWh]]*Processed!$V$22))/Processed!$V$20</f>
        <v>25.685223029794159</v>
      </c>
      <c r="R109" s="10">
        <f>1-(O109/Processed!$V$23)</f>
        <v>0.32684909037284726</v>
      </c>
      <c r="S109" s="11">
        <f>1-(Processed!Q109/Processed!$V$24)</f>
        <v>0.33883374793714172</v>
      </c>
    </row>
    <row r="110" spans="2:19">
      <c r="B110" s="1" t="s">
        <v>113</v>
      </c>
      <c r="C110">
        <v>72</v>
      </c>
      <c r="D110">
        <f>VLOOKUP(MID($B110,2,1),Table2[],2,FALSE)</f>
        <v>5</v>
      </c>
      <c r="E110">
        <f>VLOOKUP(MID($B110,3,1),Table2[],3,FALSE)</f>
        <v>5.5</v>
      </c>
      <c r="F110" t="str">
        <f>VLOOKUP(MID($B110,4,1),Table2[],4,FALSE)</f>
        <v>Improved</v>
      </c>
      <c r="G110" s="7" t="str">
        <f>VLOOKUP(MID($B110,5,1),Table2[],5,FALSE)</f>
        <v>Current</v>
      </c>
      <c r="H110" s="7" t="str">
        <f>VLOOKUP(MID($B110,6,1),Table2[],6,FALSE)</f>
        <v>None</v>
      </c>
      <c r="I110" t="s">
        <v>19</v>
      </c>
      <c r="J110" t="s">
        <v>16</v>
      </c>
      <c r="K110" t="s">
        <v>18</v>
      </c>
      <c r="L110" s="4">
        <f>SUM(Raw!AE95:AP95)*293</f>
        <v>10685484.113104744</v>
      </c>
      <c r="M110" s="4">
        <f>SUM(Raw!AQ95:BB95)*293</f>
        <v>8358498.8999999994</v>
      </c>
      <c r="N110" s="4">
        <f t="shared" si="1"/>
        <v>19043983.013104744</v>
      </c>
      <c r="O110" s="9">
        <f>N110/Processed!$V$20</f>
        <v>175.50469364498085</v>
      </c>
      <c r="P110" s="9">
        <f>Raw!Z95*-293/Processed!$V$20</f>
        <v>72.997450319828275</v>
      </c>
      <c r="Q110" s="12">
        <f>((L110*Processed!$V$21)+(Table3[[#This Row],[Natural Gas kWh]]*Processed!$V$22))/Processed!$V$20</f>
        <v>31.376395585341943</v>
      </c>
      <c r="R110" s="10">
        <f>1-(O110/Processed!$V$23)</f>
        <v>0.18724658335442146</v>
      </c>
      <c r="S110" s="11">
        <f>1-(Processed!Q110/Processed!$V$24)</f>
        <v>0.19233662684811048</v>
      </c>
    </row>
    <row r="111" spans="2:19">
      <c r="B111" s="1" t="s">
        <v>115</v>
      </c>
      <c r="C111">
        <v>72</v>
      </c>
      <c r="D111">
        <f>VLOOKUP(MID($B111,2,1),Table2[],2,FALSE)</f>
        <v>5</v>
      </c>
      <c r="E111">
        <f>VLOOKUP(MID($B111,3,1),Table2[],3,FALSE)</f>
        <v>5.5</v>
      </c>
      <c r="F111" t="str">
        <f>VLOOKUP(MID($B111,4,1),Table2[],4,FALSE)</f>
        <v>Improved</v>
      </c>
      <c r="G111" s="7" t="str">
        <f>VLOOKUP(MID($B111,5,1),Table2[],5,FALSE)</f>
        <v>Current</v>
      </c>
      <c r="H111" s="7">
        <f>VLOOKUP(MID($B111,6,1),Table2[],6,FALSE)</f>
        <v>0.75</v>
      </c>
      <c r="I111" t="s">
        <v>19</v>
      </c>
      <c r="J111" t="s">
        <v>16</v>
      </c>
      <c r="K111" t="s">
        <v>18</v>
      </c>
      <c r="L111" s="4">
        <f>SUM(Raw!AE96:AP96)*293</f>
        <v>11021634.085204298</v>
      </c>
      <c r="M111" s="4">
        <f>SUM(Raw!AQ96:BB96)*293</f>
        <v>4791839.2</v>
      </c>
      <c r="N111" s="4">
        <f t="shared" si="1"/>
        <v>15813473.285204299</v>
      </c>
      <c r="O111" s="9">
        <f>N111/Processed!$V$20</f>
        <v>145.73310543666597</v>
      </c>
      <c r="P111" s="9">
        <f>Raw!Z96*-293/Processed!$V$20</f>
        <v>41.023766703200174</v>
      </c>
      <c r="Q111" s="12">
        <f>((L111*Processed!$V$21)+(Table3[[#This Row],[Natural Gas kWh]]*Processed!$V$22))/Processed!$V$20</f>
        <v>25.657836305813156</v>
      </c>
      <c r="R111" s="10">
        <f>1-(O111/Processed!$V$23)</f>
        <v>0.32511731223771789</v>
      </c>
      <c r="S111" s="11">
        <f>1-(Processed!Q111/Processed!$V$24)</f>
        <v>0.33953871271902414</v>
      </c>
    </row>
    <row r="112" spans="2:19">
      <c r="B112" s="1" t="s">
        <v>117</v>
      </c>
      <c r="C112">
        <v>72</v>
      </c>
      <c r="D112">
        <f>VLOOKUP(MID($B112,2,1),Table2[],2,FALSE)</f>
        <v>5</v>
      </c>
      <c r="E112">
        <f>VLOOKUP(MID($B112,3,1),Table2[],3,FALSE)</f>
        <v>5.5</v>
      </c>
      <c r="F112" t="str">
        <f>VLOOKUP(MID($B112,4,1),Table2[],4,FALSE)</f>
        <v>Improved</v>
      </c>
      <c r="G112" s="7">
        <f>VLOOKUP(MID($B112,5,1),Table2[],5,FALSE)</f>
        <v>0.25</v>
      </c>
      <c r="H112" s="7" t="str">
        <f>VLOOKUP(MID($B112,6,1),Table2[],6,FALSE)</f>
        <v>None</v>
      </c>
      <c r="I112" t="s">
        <v>19</v>
      </c>
      <c r="J112" t="s">
        <v>16</v>
      </c>
      <c r="K112" t="s">
        <v>18</v>
      </c>
      <c r="L112" s="4">
        <f>SUM(Raw!AE97:AP97)*293</f>
        <v>10152629.157331711</v>
      </c>
      <c r="M112" s="4">
        <f>SUM(Raw!AQ97:BB97)*293</f>
        <v>8617305.7999999989</v>
      </c>
      <c r="N112" s="4">
        <f t="shared" si="1"/>
        <v>18769934.95733171</v>
      </c>
      <c r="O112" s="9">
        <f>N112/Processed!$V$20</f>
        <v>172.97913373246925</v>
      </c>
      <c r="P112" s="9">
        <f>Raw!Z97*-293/Processed!$V$20</f>
        <v>75.480393806462189</v>
      </c>
      <c r="Q112" s="12">
        <f>((L112*Processed!$V$21)+(Table3[[#This Row],[Natural Gas kWh]]*Processed!$V$22))/Processed!$V$20</f>
        <v>30.994752423123156</v>
      </c>
      <c r="R112" s="10">
        <f>1-(O112/Processed!$V$23)</f>
        <v>0.19894232439248816</v>
      </c>
      <c r="S112" s="11">
        <f>1-(Processed!Q112/Processed!$V$24)</f>
        <v>0.2021605469634592</v>
      </c>
    </row>
    <row r="113" spans="2:19">
      <c r="B113" s="1" t="s">
        <v>119</v>
      </c>
      <c r="C113">
        <v>72</v>
      </c>
      <c r="D113">
        <f>VLOOKUP(MID($B113,2,1),Table2[],2,FALSE)</f>
        <v>5</v>
      </c>
      <c r="E113">
        <f>VLOOKUP(MID($B113,3,1),Table2[],3,FALSE)</f>
        <v>5.5</v>
      </c>
      <c r="F113" t="str">
        <f>VLOOKUP(MID($B113,4,1),Table2[],4,FALSE)</f>
        <v>Improved</v>
      </c>
      <c r="G113" s="7">
        <f>VLOOKUP(MID($B113,5,1),Table2[],5,FALSE)</f>
        <v>0.25</v>
      </c>
      <c r="H113" s="7">
        <f>VLOOKUP(MID($B113,6,1),Table2[],6,FALSE)</f>
        <v>0.75</v>
      </c>
      <c r="I113" t="s">
        <v>19</v>
      </c>
      <c r="J113" t="s">
        <v>16</v>
      </c>
      <c r="K113" t="s">
        <v>18</v>
      </c>
      <c r="L113" s="4">
        <f>SUM(Raw!AE98:AP98)*293</f>
        <v>10490660.129275138</v>
      </c>
      <c r="M113" s="4">
        <f>SUM(Raw!AQ98:BB98)*293</f>
        <v>5071390.5</v>
      </c>
      <c r="N113" s="4">
        <f t="shared" si="1"/>
        <v>15562050.629275138</v>
      </c>
      <c r="O113" s="9">
        <f>N113/Processed!$V$20</f>
        <v>143.41605568011605</v>
      </c>
      <c r="P113" s="9">
        <f>Raw!Z98*-293/Processed!$V$20</f>
        <v>43.499241391273912</v>
      </c>
      <c r="Q113" s="12">
        <f>((L113*Processed!$V$21)+(Table3[[#This Row],[Natural Gas kWh]]*Processed!$V$22))/Processed!$V$20</f>
        <v>25.31546337652912</v>
      </c>
      <c r="R113" s="10">
        <f>1-(O113/Processed!$V$23)</f>
        <v>0.33584745322177134</v>
      </c>
      <c r="S113" s="11">
        <f>1-(Processed!Q113/Processed!$V$24)</f>
        <v>0.3483517732947462</v>
      </c>
    </row>
    <row r="114" spans="2:19">
      <c r="B114" s="1" t="s">
        <v>121</v>
      </c>
      <c r="C114">
        <v>72</v>
      </c>
      <c r="D114">
        <f>VLOOKUP(MID($B114,2,1),Table2[],2,FALSE)</f>
        <v>10</v>
      </c>
      <c r="E114">
        <f>VLOOKUP(MID($B114,3,1),Table2[],3,FALSE)</f>
        <v>2.8</v>
      </c>
      <c r="F114" t="str">
        <f>VLOOKUP(MID($B114,4,1),Table2[],4,FALSE)</f>
        <v>Current</v>
      </c>
      <c r="G114" s="7" t="str">
        <f>VLOOKUP(MID($B114,5,1),Table2[],5,FALSE)</f>
        <v>Current</v>
      </c>
      <c r="H114" s="7" t="str">
        <f>VLOOKUP(MID($B114,6,1),Table2[],6,FALSE)</f>
        <v>None</v>
      </c>
      <c r="I114" t="s">
        <v>19</v>
      </c>
      <c r="J114" t="s">
        <v>16</v>
      </c>
      <c r="K114" t="s">
        <v>18</v>
      </c>
      <c r="L114" s="4">
        <f>SUM(Raw!AE99:AP99)*293</f>
        <v>10660402.115186553</v>
      </c>
      <c r="M114" s="4">
        <f>SUM(Raw!AQ99:BB99)*293</f>
        <v>9210103.4000000004</v>
      </c>
      <c r="N114" s="4">
        <f t="shared" si="1"/>
        <v>19870505.515186556</v>
      </c>
      <c r="O114" s="9">
        <f>N114/Processed!$V$20</f>
        <v>183.12172304574915</v>
      </c>
      <c r="P114" s="9">
        <f>Raw!Z99*-293/Processed!$V$20</f>
        <v>81.340506044218685</v>
      </c>
      <c r="Q114" s="12">
        <f>((L114*Processed!$V$21)+(Table3[[#This Row],[Natural Gas kWh]]*Processed!$V$22))/Processed!$V$20</f>
        <v>32.828254162757766</v>
      </c>
      <c r="R114" s="10">
        <f>1-(O114/Processed!$V$23)</f>
        <v>0.151972502977476</v>
      </c>
      <c r="S114" s="11">
        <f>1-(Processed!Q114/Processed!$V$24)</f>
        <v>0.15496416981155481</v>
      </c>
    </row>
    <row r="115" spans="2:19">
      <c r="B115" s="1" t="s">
        <v>123</v>
      </c>
      <c r="C115">
        <v>72</v>
      </c>
      <c r="D115">
        <f>VLOOKUP(MID($B115,2,1),Table2[],2,FALSE)</f>
        <v>10</v>
      </c>
      <c r="E115">
        <f>VLOOKUP(MID($B115,3,1),Table2[],3,FALSE)</f>
        <v>2.8</v>
      </c>
      <c r="F115" t="str">
        <f>VLOOKUP(MID($B115,4,1),Table2[],4,FALSE)</f>
        <v>Current</v>
      </c>
      <c r="G115" s="7" t="str">
        <f>VLOOKUP(MID($B115,5,1),Table2[],5,FALSE)</f>
        <v>Current</v>
      </c>
      <c r="H115" s="7">
        <f>VLOOKUP(MID($B115,6,1),Table2[],6,FALSE)</f>
        <v>0.75</v>
      </c>
      <c r="I115" t="s">
        <v>19</v>
      </c>
      <c r="J115" t="s">
        <v>16</v>
      </c>
      <c r="K115" t="s">
        <v>18</v>
      </c>
      <c r="L115" s="4">
        <f>SUM(Raw!AE100:AP100)*293</f>
        <v>10995727.087354578</v>
      </c>
      <c r="M115" s="4">
        <f>SUM(Raw!AQ100:BB100)*293</f>
        <v>5681182.1000000006</v>
      </c>
      <c r="N115" s="4">
        <f t="shared" si="1"/>
        <v>16676909.18735458</v>
      </c>
      <c r="O115" s="9">
        <f>N115/Processed!$V$20</f>
        <v>153.69031971188798</v>
      </c>
      <c r="P115" s="9">
        <f>Raw!Z100*-293/Processed!$V$20</f>
        <v>49.35450134016105</v>
      </c>
      <c r="Q115" s="12">
        <f>((L115*Processed!$V$21)+(Table3[[#This Row],[Natural Gas kWh]]*Processed!$V$22))/Processed!$V$20</f>
        <v>27.174482069330445</v>
      </c>
      <c r="R115" s="10">
        <f>1-(O115/Processed!$V$23)</f>
        <v>0.28826785280246237</v>
      </c>
      <c r="S115" s="11">
        <f>1-(Processed!Q115/Processed!$V$24)</f>
        <v>0.30049856134449371</v>
      </c>
    </row>
    <row r="116" spans="2:19">
      <c r="B116" s="1" t="s">
        <v>125</v>
      </c>
      <c r="C116">
        <v>72</v>
      </c>
      <c r="D116">
        <f>VLOOKUP(MID($B116,2,1),Table2[],2,FALSE)</f>
        <v>10</v>
      </c>
      <c r="E116">
        <f>VLOOKUP(MID($B116,3,1),Table2[],3,FALSE)</f>
        <v>2.8</v>
      </c>
      <c r="F116" t="str">
        <f>VLOOKUP(MID($B116,4,1),Table2[],4,FALSE)</f>
        <v>Current</v>
      </c>
      <c r="G116" s="7">
        <f>VLOOKUP(MID($B116,5,1),Table2[],5,FALSE)</f>
        <v>0.25</v>
      </c>
      <c r="H116" s="7" t="str">
        <f>VLOOKUP(MID($B116,6,1),Table2[],6,FALSE)</f>
        <v>None</v>
      </c>
      <c r="I116" t="s">
        <v>19</v>
      </c>
      <c r="J116" t="s">
        <v>16</v>
      </c>
      <c r="K116" t="s">
        <v>18</v>
      </c>
      <c r="L116" s="4">
        <f>SUM(Raw!AE101:AP101)*293</f>
        <v>10133436.15892473</v>
      </c>
      <c r="M116" s="4">
        <f>SUM(Raw!AQ101:BB101)*293</f>
        <v>9483238</v>
      </c>
      <c r="N116" s="4">
        <f t="shared" si="1"/>
        <v>19616674.158924729</v>
      </c>
      <c r="O116" s="9">
        <f>N116/Processed!$V$20</f>
        <v>180.78247529555077</v>
      </c>
      <c r="P116" s="9">
        <f>Raw!Z101*-293/Processed!$V$20</f>
        <v>84.02107296867689</v>
      </c>
      <c r="Q116" s="12">
        <f>((L116*Processed!$V$21)+(Table3[[#This Row],[Natural Gas kWh]]*Processed!$V$22))/Processed!$V$20</f>
        <v>32.48092487977064</v>
      </c>
      <c r="R116" s="10">
        <f>1-(O116/Processed!$V$23)</f>
        <v>0.16280544175460132</v>
      </c>
      <c r="S116" s="11">
        <f>1-(Processed!Q116/Processed!$V$24)</f>
        <v>0.16390481245257449</v>
      </c>
    </row>
    <row r="117" spans="2:19">
      <c r="B117" s="1" t="s">
        <v>127</v>
      </c>
      <c r="C117">
        <v>72</v>
      </c>
      <c r="D117">
        <f>VLOOKUP(MID($B117,2,1),Table2[],2,FALSE)</f>
        <v>10</v>
      </c>
      <c r="E117">
        <f>VLOOKUP(MID($B117,3,1),Table2[],3,FALSE)</f>
        <v>2.8</v>
      </c>
      <c r="F117" t="str">
        <f>VLOOKUP(MID($B117,4,1),Table2[],4,FALSE)</f>
        <v>Current</v>
      </c>
      <c r="G117" s="7">
        <f>VLOOKUP(MID($B117,5,1),Table2[],5,FALSE)</f>
        <v>0.25</v>
      </c>
      <c r="H117" s="7">
        <f>VLOOKUP(MID($B117,6,1),Table2[],6,FALSE)</f>
        <v>0.75</v>
      </c>
      <c r="I117" t="s">
        <v>19</v>
      </c>
      <c r="J117" t="s">
        <v>16</v>
      </c>
      <c r="K117" t="s">
        <v>18</v>
      </c>
      <c r="L117" s="4">
        <f>SUM(Raw!AE102:AP102)*293</f>
        <v>10469293.131048599</v>
      </c>
      <c r="M117" s="4">
        <f>SUM(Raw!AQ102:BB102)*293</f>
        <v>5974797.3999999994</v>
      </c>
      <c r="N117" s="4">
        <f t="shared" si="1"/>
        <v>16444090.5310486</v>
      </c>
      <c r="O117" s="9">
        <f>N117/Processed!$V$20</f>
        <v>151.54471986958086</v>
      </c>
      <c r="P117" s="9">
        <f>Raw!Z102*-293/Processed!$V$20</f>
        <v>52.030502198688225</v>
      </c>
      <c r="Q117" s="12">
        <f>((L117*Processed!$V$21)+(Table3[[#This Row],[Natural Gas kWh]]*Processed!$V$22))/Processed!$V$20</f>
        <v>26.863847833210901</v>
      </c>
      <c r="R117" s="10">
        <f>1-(O117/Processed!$V$23)</f>
        <v>0.29820401784951722</v>
      </c>
      <c r="S117" s="11">
        <f>1-(Processed!Q117/Processed!$V$24)</f>
        <v>0.30849463260380616</v>
      </c>
    </row>
    <row r="118" spans="2:19">
      <c r="B118" s="1" t="s">
        <v>129</v>
      </c>
      <c r="C118">
        <v>72</v>
      </c>
      <c r="D118">
        <f>VLOOKUP(MID($B118,2,1),Table2[],2,FALSE)</f>
        <v>10</v>
      </c>
      <c r="E118">
        <f>VLOOKUP(MID($B118,3,1),Table2[],3,FALSE)</f>
        <v>2.8</v>
      </c>
      <c r="F118" t="str">
        <f>VLOOKUP(MID($B118,4,1),Table2[],4,FALSE)</f>
        <v>Improved</v>
      </c>
      <c r="G118" s="7" t="str">
        <f>VLOOKUP(MID($B118,5,1),Table2[],5,FALSE)</f>
        <v>Current</v>
      </c>
      <c r="H118" s="7" t="str">
        <f>VLOOKUP(MID($B118,6,1),Table2[],6,FALSE)</f>
        <v>None</v>
      </c>
      <c r="I118" t="s">
        <v>19</v>
      </c>
      <c r="J118" t="s">
        <v>16</v>
      </c>
      <c r="K118" t="s">
        <v>18</v>
      </c>
      <c r="L118" s="4">
        <f>SUM(Raw!AE103:AP103)*293</f>
        <v>10660985.115138164</v>
      </c>
      <c r="M118" s="4">
        <f>SUM(Raw!AQ103:BB103)*293</f>
        <v>9008871</v>
      </c>
      <c r="N118" s="4">
        <f t="shared" si="1"/>
        <v>19669856.115138166</v>
      </c>
      <c r="O118" s="9">
        <f>N118/Processed!$V$20</f>
        <v>181.27258720786747</v>
      </c>
      <c r="P118" s="9">
        <f>Raw!Z103*-293/Processed!$V$20</f>
        <v>79.359143955033645</v>
      </c>
      <c r="Q118" s="12">
        <f>((L118*Processed!$V$21)+(Table3[[#This Row],[Natural Gas kWh]]*Processed!$V$22))/Processed!$V$20</f>
        <v>32.476810897858535</v>
      </c>
      <c r="R118" s="10">
        <f>1-(O118/Processed!$V$23)</f>
        <v>0.16053575811822018</v>
      </c>
      <c r="S118" s="11">
        <f>1-(Processed!Q118/Processed!$V$24)</f>
        <v>0.16401071092963759</v>
      </c>
    </row>
    <row r="119" spans="2:19">
      <c r="B119" s="1" t="s">
        <v>131</v>
      </c>
      <c r="C119">
        <v>72</v>
      </c>
      <c r="D119">
        <f>VLOOKUP(MID($B119,2,1),Table2[],2,FALSE)</f>
        <v>10</v>
      </c>
      <c r="E119">
        <f>VLOOKUP(MID($B119,3,1),Table2[],3,FALSE)</f>
        <v>2.8</v>
      </c>
      <c r="F119" t="str">
        <f>VLOOKUP(MID($B119,4,1),Table2[],4,FALSE)</f>
        <v>Improved</v>
      </c>
      <c r="G119" s="7" t="str">
        <f>VLOOKUP(MID($B119,5,1),Table2[],5,FALSE)</f>
        <v>Current</v>
      </c>
      <c r="H119" s="7">
        <f>VLOOKUP(MID($B119,6,1),Table2[],6,FALSE)</f>
        <v>0.75</v>
      </c>
      <c r="I119" t="s">
        <v>19</v>
      </c>
      <c r="J119" t="s">
        <v>16</v>
      </c>
      <c r="K119" t="s">
        <v>18</v>
      </c>
      <c r="L119" s="4">
        <f>SUM(Raw!AE104:AP104)*293</f>
        <v>10997008.087248255</v>
      </c>
      <c r="M119" s="4">
        <f>SUM(Raw!AQ104:BB104)*293</f>
        <v>5473708.7999999998</v>
      </c>
      <c r="N119" s="4">
        <f t="shared" si="1"/>
        <v>16470716.887248255</v>
      </c>
      <c r="O119" s="9">
        <f>N119/Processed!$V$20</f>
        <v>151.79010186159834</v>
      </c>
      <c r="P119" s="9">
        <f>Raw!Z104*-293/Processed!$V$20</f>
        <v>47.374859288822321</v>
      </c>
      <c r="Q119" s="12">
        <f>((L119*Processed!$V$21)+(Table3[[#This Row],[Natural Gas kWh]]*Processed!$V$22))/Processed!$V$20</f>
        <v>26.813204570135802</v>
      </c>
      <c r="R119" s="10">
        <f>1-(O119/Processed!$V$23)</f>
        <v>0.29706766617564728</v>
      </c>
      <c r="S119" s="11">
        <f>1-(Processed!Q119/Processed!$V$24)</f>
        <v>0.30979824660788768</v>
      </c>
    </row>
    <row r="120" spans="2:19">
      <c r="B120" s="1" t="s">
        <v>133</v>
      </c>
      <c r="C120">
        <v>72</v>
      </c>
      <c r="D120">
        <f>VLOOKUP(MID($B120,2,1),Table2[],2,FALSE)</f>
        <v>10</v>
      </c>
      <c r="E120">
        <f>VLOOKUP(MID($B120,3,1),Table2[],3,FALSE)</f>
        <v>2.8</v>
      </c>
      <c r="F120" t="str">
        <f>VLOOKUP(MID($B120,4,1),Table2[],4,FALSE)</f>
        <v>Improved</v>
      </c>
      <c r="G120" s="7">
        <f>VLOOKUP(MID($B120,5,1),Table2[],5,FALSE)</f>
        <v>0.25</v>
      </c>
      <c r="H120" s="7" t="str">
        <f>VLOOKUP(MID($B120,6,1),Table2[],6,FALSE)</f>
        <v>None</v>
      </c>
      <c r="I120" t="s">
        <v>19</v>
      </c>
      <c r="J120" t="s">
        <v>16</v>
      </c>
      <c r="K120" t="s">
        <v>18</v>
      </c>
      <c r="L120" s="4">
        <f>SUM(Raw!AE105:AP105)*293</f>
        <v>10133507.158918835</v>
      </c>
      <c r="M120" s="4">
        <f>SUM(Raw!AQ105:BB105)*293</f>
        <v>9279866.7000000011</v>
      </c>
      <c r="N120" s="4">
        <f t="shared" si="1"/>
        <v>19413373.858918838</v>
      </c>
      <c r="O120" s="9">
        <f>N120/Processed!$V$20</f>
        <v>178.90890941146475</v>
      </c>
      <c r="P120" s="9">
        <f>Raw!Z105*-293/Processed!$V$20</f>
        <v>82.008229056493661</v>
      </c>
      <c r="Q120" s="12">
        <f>((L120*Processed!$V$21)+(Table3[[#This Row],[Natural Gas kWh]]*Processed!$V$22))/Processed!$V$20</f>
        <v>32.124934275422383</v>
      </c>
      <c r="R120" s="10">
        <f>1-(O120/Processed!$V$23)</f>
        <v>0.17148183121163652</v>
      </c>
      <c r="S120" s="11">
        <f>1-(Processed!Q120/Processed!$V$24)</f>
        <v>0.17306840715344618</v>
      </c>
    </row>
    <row r="121" spans="2:19">
      <c r="B121" s="1" t="s">
        <v>135</v>
      </c>
      <c r="C121">
        <v>72</v>
      </c>
      <c r="D121">
        <f>VLOOKUP(MID($B121,2,1),Table2[],2,FALSE)</f>
        <v>10</v>
      </c>
      <c r="E121">
        <f>VLOOKUP(MID($B121,3,1),Table2[],3,FALSE)</f>
        <v>2.8</v>
      </c>
      <c r="F121" t="str">
        <f>VLOOKUP(MID($B121,4,1),Table2[],4,FALSE)</f>
        <v>Improved</v>
      </c>
      <c r="G121" s="7">
        <f>VLOOKUP(MID($B121,5,1),Table2[],5,FALSE)</f>
        <v>0.25</v>
      </c>
      <c r="H121" s="7">
        <f>VLOOKUP(MID($B121,6,1),Table2[],6,FALSE)</f>
        <v>0.75</v>
      </c>
      <c r="I121" t="s">
        <v>19</v>
      </c>
      <c r="J121" t="s">
        <v>16</v>
      </c>
      <c r="K121" t="s">
        <v>18</v>
      </c>
      <c r="L121" s="4">
        <f>SUM(Raw!AE106:AP106)*293</f>
        <v>10470059.130985022</v>
      </c>
      <c r="M121" s="4">
        <f>SUM(Raw!AQ106:BB106)*293</f>
        <v>5762548.2000000002</v>
      </c>
      <c r="N121" s="4">
        <f t="shared" si="1"/>
        <v>16232607.330985021</v>
      </c>
      <c r="O121" s="9">
        <f>N121/Processed!$V$20</f>
        <v>149.59574237822952</v>
      </c>
      <c r="P121" s="9">
        <f>Raw!Z106*-293/Processed!$V$20</f>
        <v>50.018881484533821</v>
      </c>
      <c r="Q121" s="12">
        <f>((L121*Processed!$V$21)+(Table3[[#This Row],[Natural Gas kWh]]*Processed!$V$22))/Processed!$V$20</f>
        <v>26.493400924489634</v>
      </c>
      <c r="R121" s="10">
        <f>1-(O121/Processed!$V$23)</f>
        <v>0.30722963467014419</v>
      </c>
      <c r="S121" s="11">
        <f>1-(Processed!Q121/Processed!$V$24)</f>
        <v>0.31803034868240132</v>
      </c>
    </row>
    <row r="122" spans="2:19">
      <c r="B122" s="1" t="s">
        <v>137</v>
      </c>
      <c r="C122">
        <v>72</v>
      </c>
      <c r="D122">
        <f>VLOOKUP(MID($B122,2,1),Table2[],2,FALSE)</f>
        <v>10</v>
      </c>
      <c r="E122">
        <f>VLOOKUP(MID($B122,3,1),Table2[],3,FALSE)</f>
        <v>4</v>
      </c>
      <c r="F122" t="str">
        <f>VLOOKUP(MID($B122,4,1),Table2[],4,FALSE)</f>
        <v>Current</v>
      </c>
      <c r="G122" s="7" t="str">
        <f>VLOOKUP(MID($B122,5,1),Table2[],5,FALSE)</f>
        <v>Current</v>
      </c>
      <c r="H122" s="7" t="str">
        <f>VLOOKUP(MID($B122,6,1),Table2[],6,FALSE)</f>
        <v>None</v>
      </c>
      <c r="I122" t="s">
        <v>19</v>
      </c>
      <c r="J122" t="s">
        <v>16</v>
      </c>
      <c r="K122" t="s">
        <v>18</v>
      </c>
      <c r="L122" s="4">
        <f>SUM(Raw!AE107:AP107)*293</f>
        <v>10675214.113957159</v>
      </c>
      <c r="M122" s="4">
        <f>SUM(Raw!AQ107:BB107)*293</f>
        <v>8395651.2999999989</v>
      </c>
      <c r="N122" s="4">
        <f t="shared" si="1"/>
        <v>19070865.413957156</v>
      </c>
      <c r="O122" s="9">
        <f>N122/Processed!$V$20</f>
        <v>175.75243528194815</v>
      </c>
      <c r="P122" s="9">
        <f>Raw!Z107*-293/Processed!$V$20</f>
        <v>73.331918024547377</v>
      </c>
      <c r="Q122" s="12">
        <f>((L122*Processed!$V$21)+(Table3[[#This Row],[Natural Gas kWh]]*Processed!$V$22))/Processed!$V$20</f>
        <v>31.425359412414746</v>
      </c>
      <c r="R122" s="10">
        <f>1-(O122/Processed!$V$23)</f>
        <v>0.18609930428336796</v>
      </c>
      <c r="S122" s="11">
        <f>1-(Processed!Q122/Processed!$V$24)</f>
        <v>0.19107624339748497</v>
      </c>
    </row>
    <row r="123" spans="2:19">
      <c r="B123" s="1" t="s">
        <v>139</v>
      </c>
      <c r="C123">
        <v>72</v>
      </c>
      <c r="D123">
        <f>VLOOKUP(MID($B123,2,1),Table2[],2,FALSE)</f>
        <v>10</v>
      </c>
      <c r="E123">
        <f>VLOOKUP(MID($B123,3,1),Table2[],3,FALSE)</f>
        <v>4</v>
      </c>
      <c r="F123" t="str">
        <f>VLOOKUP(MID($B123,4,1),Table2[],4,FALSE)</f>
        <v>Current</v>
      </c>
      <c r="G123" s="7" t="str">
        <f>VLOOKUP(MID($B123,5,1),Table2[],5,FALSE)</f>
        <v>Current</v>
      </c>
      <c r="H123" s="7">
        <f>VLOOKUP(MID($B123,6,1),Table2[],6,FALSE)</f>
        <v>0.75</v>
      </c>
      <c r="I123" t="s">
        <v>19</v>
      </c>
      <c r="J123" t="s">
        <v>16</v>
      </c>
      <c r="K123" t="s">
        <v>18</v>
      </c>
      <c r="L123" s="4">
        <f>SUM(Raw!AE108:AP108)*293</f>
        <v>11010966.08608974</v>
      </c>
      <c r="M123" s="4">
        <f>SUM(Raw!AQ108:BB108)*293</f>
        <v>4829636.2</v>
      </c>
      <c r="N123" s="4">
        <f t="shared" si="1"/>
        <v>15840602.286089741</v>
      </c>
      <c r="O123" s="9">
        <f>N123/Processed!$V$20</f>
        <v>145.98311967927569</v>
      </c>
      <c r="P123" s="9">
        <f>Raw!Z108*-293/Processed!$V$20</f>
        <v>41.355612497795654</v>
      </c>
      <c r="Q123" s="12">
        <f>((L123*Processed!$V$21)+(Table3[[#This Row],[Natural Gas kWh]]*Processed!$V$22))/Processed!$V$20</f>
        <v>25.707305285366733</v>
      </c>
      <c r="R123" s="10">
        <f>1-(O123/Processed!$V$23)</f>
        <v>0.32395950884413938</v>
      </c>
      <c r="S123" s="11">
        <f>1-(Processed!Q123/Processed!$V$24)</f>
        <v>0.33826532608084414</v>
      </c>
    </row>
    <row r="124" spans="2:19">
      <c r="B124" s="1" t="s">
        <v>141</v>
      </c>
      <c r="C124">
        <v>72</v>
      </c>
      <c r="D124">
        <f>VLOOKUP(MID($B124,2,1),Table2[],2,FALSE)</f>
        <v>10</v>
      </c>
      <c r="E124">
        <f>VLOOKUP(MID($B124,3,1),Table2[],3,FALSE)</f>
        <v>4</v>
      </c>
      <c r="F124" t="str">
        <f>VLOOKUP(MID($B124,4,1),Table2[],4,FALSE)</f>
        <v>Current</v>
      </c>
      <c r="G124" s="7">
        <f>VLOOKUP(MID($B124,5,1),Table2[],5,FALSE)</f>
        <v>0.25</v>
      </c>
      <c r="H124" s="7" t="str">
        <f>VLOOKUP(MID($B124,6,1),Table2[],6,FALSE)</f>
        <v>None</v>
      </c>
      <c r="I124" t="s">
        <v>19</v>
      </c>
      <c r="J124" t="s">
        <v>16</v>
      </c>
      <c r="K124" t="s">
        <v>18</v>
      </c>
      <c r="L124" s="4">
        <f>SUM(Raw!AE109:AP109)*293</f>
        <v>10143797.158064768</v>
      </c>
      <c r="M124" s="4">
        <f>SUM(Raw!AQ109:BB109)*293</f>
        <v>8657974.2000000011</v>
      </c>
      <c r="N124" s="4">
        <f t="shared" si="1"/>
        <v>18801771.358064771</v>
      </c>
      <c r="O124" s="9">
        <f>N124/Processed!$V$20</f>
        <v>173.27253022172098</v>
      </c>
      <c r="P124" s="9">
        <f>Raw!Z109*-293/Processed!$V$20</f>
        <v>75.845255146970629</v>
      </c>
      <c r="Q124" s="12">
        <f>((L124*Processed!$V$21)+(Table3[[#This Row],[Natural Gas kWh]]*Processed!$V$22))/Processed!$V$20</f>
        <v>31.052125627020114</v>
      </c>
      <c r="R124" s="10">
        <f>1-(O124/Processed!$V$23)</f>
        <v>0.19758361999479535</v>
      </c>
      <c r="S124" s="11">
        <f>1-(Processed!Q124/Processed!$V$24)</f>
        <v>0.20068369678600939</v>
      </c>
    </row>
    <row r="125" spans="2:19">
      <c r="B125" s="1" t="s">
        <v>143</v>
      </c>
      <c r="C125">
        <v>72</v>
      </c>
      <c r="D125">
        <f>VLOOKUP(MID($B125,2,1),Table2[],2,FALSE)</f>
        <v>10</v>
      </c>
      <c r="E125">
        <f>VLOOKUP(MID($B125,3,1),Table2[],3,FALSE)</f>
        <v>4</v>
      </c>
      <c r="F125" t="str">
        <f>VLOOKUP(MID($B125,4,1),Table2[],4,FALSE)</f>
        <v>Current</v>
      </c>
      <c r="G125" s="7">
        <f>VLOOKUP(MID($B125,5,1),Table2[],5,FALSE)</f>
        <v>0.25</v>
      </c>
      <c r="H125" s="7">
        <f>VLOOKUP(MID($B125,6,1),Table2[],6,FALSE)</f>
        <v>0.75</v>
      </c>
      <c r="I125" t="s">
        <v>19</v>
      </c>
      <c r="J125" t="s">
        <v>16</v>
      </c>
      <c r="K125" t="s">
        <v>18</v>
      </c>
      <c r="L125" s="4">
        <f>SUM(Raw!AE110:AP110)*293</f>
        <v>10481655.130022554</v>
      </c>
      <c r="M125" s="4">
        <f>SUM(Raw!AQ110:BB110)*293</f>
        <v>5111033.3999999994</v>
      </c>
      <c r="N125" s="4">
        <f t="shared" si="1"/>
        <v>15592688.530022554</v>
      </c>
      <c r="O125" s="9">
        <f>N125/Processed!$V$20</f>
        <v>143.69840708637915</v>
      </c>
      <c r="P125" s="9">
        <f>Raw!Z110*-293/Processed!$V$20</f>
        <v>43.861556427717915</v>
      </c>
      <c r="Q125" s="12">
        <f>((L125*Processed!$V$21)+(Table3[[#This Row],[Natural Gas kWh]]*Processed!$V$22))/Processed!$V$20</f>
        <v>25.370769901170068</v>
      </c>
      <c r="R125" s="10">
        <f>1-(O125/Processed!$V$23)</f>
        <v>0.33453989804835116</v>
      </c>
      <c r="S125" s="11">
        <f>1-(Processed!Q125/Processed!$V$24)</f>
        <v>0.34692812174346077</v>
      </c>
    </row>
    <row r="126" spans="2:19">
      <c r="B126" s="1" t="s">
        <v>145</v>
      </c>
      <c r="C126">
        <v>72</v>
      </c>
      <c r="D126">
        <f>VLOOKUP(MID($B126,2,1),Table2[],2,FALSE)</f>
        <v>10</v>
      </c>
      <c r="E126">
        <f>VLOOKUP(MID($B126,3,1),Table2[],3,FALSE)</f>
        <v>4</v>
      </c>
      <c r="F126" t="str">
        <f>VLOOKUP(MID($B126,4,1),Table2[],4,FALSE)</f>
        <v>Improved</v>
      </c>
      <c r="G126" s="7" t="str">
        <f>VLOOKUP(MID($B126,5,1),Table2[],5,FALSE)</f>
        <v>Current</v>
      </c>
      <c r="H126" s="7" t="str">
        <f>VLOOKUP(MID($B126,6,1),Table2[],6,FALSE)</f>
        <v>None</v>
      </c>
      <c r="I126" t="s">
        <v>19</v>
      </c>
      <c r="J126" t="s">
        <v>16</v>
      </c>
      <c r="K126" t="s">
        <v>18</v>
      </c>
      <c r="L126" s="4">
        <f>SUM(Raw!AE111:AP111)*293</f>
        <v>10677974.113728076</v>
      </c>
      <c r="M126" s="4">
        <f>SUM(Raw!AQ111:BB111)*293</f>
        <v>8192045.6000000006</v>
      </c>
      <c r="N126" s="4">
        <f t="shared" si="1"/>
        <v>18870019.713728078</v>
      </c>
      <c r="O126" s="9">
        <f>N126/Processed!$V$20</f>
        <v>173.90149038957139</v>
      </c>
      <c r="P126" s="9">
        <f>Raw!Z111*-293/Processed!$V$20</f>
        <v>71.35973667111962</v>
      </c>
      <c r="Q126" s="12">
        <f>((L126*Processed!$V$21)+(Table3[[#This Row],[Natural Gas kWh]]*Processed!$V$22))/Processed!$V$20</f>
        <v>31.07317117319468</v>
      </c>
      <c r="R126" s="10">
        <f>1-(O126/Processed!$V$23)</f>
        <v>0.19467093706456862</v>
      </c>
      <c r="S126" s="11">
        <f>1-(Processed!Q126/Processed!$V$24)</f>
        <v>0.20014196098442749</v>
      </c>
    </row>
    <row r="127" spans="2:19">
      <c r="B127" s="1" t="s">
        <v>147</v>
      </c>
      <c r="C127">
        <v>72</v>
      </c>
      <c r="D127">
        <f>VLOOKUP(MID($B127,2,1),Table2[],2,FALSE)</f>
        <v>10</v>
      </c>
      <c r="E127">
        <f>VLOOKUP(MID($B127,3,1),Table2[],3,FALSE)</f>
        <v>4</v>
      </c>
      <c r="F127" t="str">
        <f>VLOOKUP(MID($B127,4,1),Table2[],4,FALSE)</f>
        <v>Improved</v>
      </c>
      <c r="G127" s="7" t="str">
        <f>VLOOKUP(MID($B127,5,1),Table2[],5,FALSE)</f>
        <v>Current</v>
      </c>
      <c r="H127" s="7">
        <f>VLOOKUP(MID($B127,6,1),Table2[],6,FALSE)</f>
        <v>0.75</v>
      </c>
      <c r="I127" t="s">
        <v>19</v>
      </c>
      <c r="J127" t="s">
        <v>16</v>
      </c>
      <c r="K127" t="s">
        <v>18</v>
      </c>
      <c r="L127" s="4">
        <f>SUM(Raw!AE112:AP112)*293</f>
        <v>11014378.085806545</v>
      </c>
      <c r="M127" s="4">
        <f>SUM(Raw!AQ112:BB112)*293</f>
        <v>4615570.3999999994</v>
      </c>
      <c r="N127" s="4">
        <f t="shared" si="1"/>
        <v>15629948.485806543</v>
      </c>
      <c r="O127" s="9">
        <f>N127/Processed!$V$20</f>
        <v>144.04178573361878</v>
      </c>
      <c r="P127" s="9">
        <f>Raw!Z112*-293/Processed!$V$20</f>
        <v>39.387114239536402</v>
      </c>
      <c r="Q127" s="12">
        <f>((L127*Processed!$V$21)+(Table3[[#This Row],[Natural Gas kWh]]*Processed!$V$22))/Processed!$V$20</f>
        <v>25.337822952580026</v>
      </c>
      <c r="R127" s="10">
        <f>1-(O127/Processed!$V$23)</f>
        <v>0.33294972878876605</v>
      </c>
      <c r="S127" s="11">
        <f>1-(Processed!Q127/Processed!$V$24)</f>
        <v>0.3477762129004236</v>
      </c>
    </row>
    <row r="128" spans="2:19">
      <c r="B128" s="1" t="s">
        <v>149</v>
      </c>
      <c r="C128">
        <v>72</v>
      </c>
      <c r="D128">
        <f>VLOOKUP(MID($B128,2,1),Table2[],2,FALSE)</f>
        <v>10</v>
      </c>
      <c r="E128">
        <f>VLOOKUP(MID($B128,3,1),Table2[],3,FALSE)</f>
        <v>4</v>
      </c>
      <c r="F128" t="str">
        <f>VLOOKUP(MID($B128,4,1),Table2[],4,FALSE)</f>
        <v>Improved</v>
      </c>
      <c r="G128" s="7">
        <f>VLOOKUP(MID($B128,5,1),Table2[],5,FALSE)</f>
        <v>0.25</v>
      </c>
      <c r="H128" s="7" t="str">
        <f>VLOOKUP(MID($B128,6,1),Table2[],6,FALSE)</f>
        <v>None</v>
      </c>
      <c r="I128" t="s">
        <v>19</v>
      </c>
      <c r="J128" t="s">
        <v>16</v>
      </c>
      <c r="K128" t="s">
        <v>18</v>
      </c>
      <c r="L128" s="4">
        <f>SUM(Raw!AE113:AP113)*293</f>
        <v>10146765.157818424</v>
      </c>
      <c r="M128" s="4">
        <f>SUM(Raw!AQ113:BB113)*293</f>
        <v>8450764.5999999996</v>
      </c>
      <c r="N128" s="4">
        <f t="shared" si="1"/>
        <v>18597529.757818423</v>
      </c>
      <c r="O128" s="9">
        <f>N128/Processed!$V$20</f>
        <v>171.39028954464573</v>
      </c>
      <c r="P128" s="9">
        <f>Raw!Z113*-293/Processed!$V$20</f>
        <v>73.827334827956918</v>
      </c>
      <c r="Q128" s="12">
        <f>((L128*Processed!$V$21)+(Table3[[#This Row],[Natural Gas kWh]]*Processed!$V$22))/Processed!$V$20</f>
        <v>30.693952851167104</v>
      </c>
      <c r="R128" s="10">
        <f>1-(O128/Processed!$V$23)</f>
        <v>0.20630018198222999</v>
      </c>
      <c r="S128" s="11">
        <f>1-(Processed!Q128/Processed!$V$24)</f>
        <v>0.20990346301217722</v>
      </c>
    </row>
    <row r="129" spans="2:19">
      <c r="B129" s="1" t="s">
        <v>151</v>
      </c>
      <c r="C129">
        <v>72</v>
      </c>
      <c r="D129">
        <f>VLOOKUP(MID($B129,2,1),Table2[],2,FALSE)</f>
        <v>10</v>
      </c>
      <c r="E129">
        <f>VLOOKUP(MID($B129,3,1),Table2[],3,FALSE)</f>
        <v>4</v>
      </c>
      <c r="F129" t="str">
        <f>VLOOKUP(MID($B129,4,1),Table2[],4,FALSE)</f>
        <v>Improved</v>
      </c>
      <c r="G129" s="7">
        <f>VLOOKUP(MID($B129,5,1),Table2[],5,FALSE)</f>
        <v>0.25</v>
      </c>
      <c r="H129" s="7">
        <f>VLOOKUP(MID($B129,6,1),Table2[],6,FALSE)</f>
        <v>0.75</v>
      </c>
      <c r="I129" t="s">
        <v>19</v>
      </c>
      <c r="J129" t="s">
        <v>16</v>
      </c>
      <c r="K129" t="s">
        <v>18</v>
      </c>
      <c r="L129" s="4">
        <f>SUM(Raw!AE114:AP114)*293</f>
        <v>10484708.129769154</v>
      </c>
      <c r="M129" s="4">
        <f>SUM(Raw!AQ114:BB114)*293</f>
        <v>4895180.3</v>
      </c>
      <c r="N129" s="4">
        <f t="shared" si="1"/>
        <v>15379888.429769155</v>
      </c>
      <c r="O129" s="9">
        <f>N129/Processed!$V$20</f>
        <v>141.73729336469108</v>
      </c>
      <c r="P129" s="9">
        <f>Raw!Z114*-293/Processed!$V$20</f>
        <v>41.846690053451688</v>
      </c>
      <c r="Q129" s="12">
        <f>((L129*Processed!$V$21)+(Table3[[#This Row],[Natural Gas kWh]]*Processed!$V$22))/Processed!$V$20</f>
        <v>24.997595580057354</v>
      </c>
      <c r="R129" s="10">
        <f>1-(O129/Processed!$V$23)</f>
        <v>0.34362171714178635</v>
      </c>
      <c r="S129" s="11">
        <f>1-(Processed!Q129/Processed!$V$24)</f>
        <v>0.35653404445513026</v>
      </c>
    </row>
    <row r="130" spans="2:19">
      <c r="B130" s="1" t="s">
        <v>153</v>
      </c>
      <c r="C130">
        <v>72</v>
      </c>
      <c r="D130">
        <f>VLOOKUP(MID($B130,2,1),Table2[],2,FALSE)</f>
        <v>10</v>
      </c>
      <c r="E130">
        <f>VLOOKUP(MID($B130,3,1),Table2[],3,FALSE)</f>
        <v>5.5</v>
      </c>
      <c r="F130" t="str">
        <f>VLOOKUP(MID($B130,4,1),Table2[],4,FALSE)</f>
        <v>Current</v>
      </c>
      <c r="G130" s="7" t="str">
        <f>VLOOKUP(MID($B130,5,1),Table2[],5,FALSE)</f>
        <v>Current</v>
      </c>
      <c r="H130" s="7" t="str">
        <f>VLOOKUP(MID($B130,6,1),Table2[],6,FALSE)</f>
        <v>None</v>
      </c>
      <c r="I130" t="s">
        <v>19</v>
      </c>
      <c r="J130" t="s">
        <v>16</v>
      </c>
      <c r="K130" t="s">
        <v>18</v>
      </c>
      <c r="L130" s="4">
        <f>SUM(Raw!AE115:AP115)*293</f>
        <v>10684864.113156207</v>
      </c>
      <c r="M130" s="4">
        <f>SUM(Raw!AQ115:BB115)*293</f>
        <v>7992981.3999999994</v>
      </c>
      <c r="N130" s="4">
        <f t="shared" si="1"/>
        <v>18677845.513156205</v>
      </c>
      <c r="O130" s="9">
        <f>N130/Processed!$V$20</f>
        <v>172.13045991896936</v>
      </c>
      <c r="P130" s="9">
        <f>Raw!Z115*-293/Processed!$V$20</f>
        <v>69.386364522259825</v>
      </c>
      <c r="Q130" s="12">
        <f>((L130*Processed!$V$21)+(Table3[[#This Row],[Natural Gas kWh]]*Processed!$V$22))/Processed!$V$20</f>
        <v>30.735405452760077</v>
      </c>
      <c r="R130" s="10">
        <f>1-(O130/Processed!$V$23)</f>
        <v>0.20287249017446396</v>
      </c>
      <c r="S130" s="11">
        <f>1-(Processed!Q130/Processed!$V$24)</f>
        <v>0.20883642687230453</v>
      </c>
    </row>
    <row r="131" spans="2:19">
      <c r="B131" s="1" t="s">
        <v>155</v>
      </c>
      <c r="C131">
        <v>72</v>
      </c>
      <c r="D131">
        <f>VLOOKUP(MID($B131,2,1),Table2[],2,FALSE)</f>
        <v>10</v>
      </c>
      <c r="E131">
        <f>VLOOKUP(MID($B131,3,1),Table2[],3,FALSE)</f>
        <v>5.5</v>
      </c>
      <c r="F131" t="str">
        <f>VLOOKUP(MID($B131,4,1),Table2[],4,FALSE)</f>
        <v>Current</v>
      </c>
      <c r="G131" s="7" t="str">
        <f>VLOOKUP(MID($B131,5,1),Table2[],5,FALSE)</f>
        <v>Current</v>
      </c>
      <c r="H131" s="7">
        <f>VLOOKUP(MID($B131,6,1),Table2[],6,FALSE)</f>
        <v>0.75</v>
      </c>
      <c r="I131" t="s">
        <v>19</v>
      </c>
      <c r="J131" t="s">
        <v>16</v>
      </c>
      <c r="K131" t="s">
        <v>18</v>
      </c>
      <c r="L131" s="4">
        <f>SUM(Raw!AE116:AP116)*293</f>
        <v>11020808.085272856</v>
      </c>
      <c r="M131" s="4">
        <f>SUM(Raw!AQ116:BB116)*293</f>
        <v>4399570.8</v>
      </c>
      <c r="N131" s="4">
        <f t="shared" si="1"/>
        <v>15420378.885272857</v>
      </c>
      <c r="O131" s="9">
        <f>N131/Processed!$V$20</f>
        <v>142.11044350790604</v>
      </c>
      <c r="P131" s="9">
        <f>Raw!Z116*-293/Processed!$V$20</f>
        <v>37.418227150115662</v>
      </c>
      <c r="Q131" s="12">
        <f>((L131*Processed!$V$21)+(Table3[[#This Row],[Natural Gas kWh]]*Processed!$V$22))/Processed!$V$20</f>
        <v>24.96968278361912</v>
      </c>
      <c r="R131" s="10">
        <f>1-(O131/Processed!$V$23)</f>
        <v>0.34189367758044431</v>
      </c>
      <c r="S131" s="11">
        <f>1-(Processed!Q131/Processed!$V$24)</f>
        <v>0.35725255092806418</v>
      </c>
    </row>
    <row r="132" spans="2:19">
      <c r="B132" s="1" t="s">
        <v>157</v>
      </c>
      <c r="C132">
        <v>72</v>
      </c>
      <c r="D132">
        <f>VLOOKUP(MID($B132,2,1),Table2[],2,FALSE)</f>
        <v>10</v>
      </c>
      <c r="E132">
        <f>VLOOKUP(MID($B132,3,1),Table2[],3,FALSE)</f>
        <v>5.5</v>
      </c>
      <c r="F132" t="str">
        <f>VLOOKUP(MID($B132,4,1),Table2[],4,FALSE)</f>
        <v>Current</v>
      </c>
      <c r="G132" s="7">
        <f>VLOOKUP(MID($B132,5,1),Table2[],5,FALSE)</f>
        <v>0.25</v>
      </c>
      <c r="H132" s="7" t="str">
        <f>VLOOKUP(MID($B132,6,1),Table2[],6,FALSE)</f>
        <v>None</v>
      </c>
      <c r="I132" t="s">
        <v>19</v>
      </c>
      <c r="J132" t="s">
        <v>16</v>
      </c>
      <c r="K132" t="s">
        <v>18</v>
      </c>
      <c r="L132" s="4">
        <f>SUM(Raw!AE117:AP117)*293</f>
        <v>10152323.15735711</v>
      </c>
      <c r="M132" s="4">
        <f>SUM(Raw!AQ117:BB117)*293</f>
        <v>8243437.7999999998</v>
      </c>
      <c r="N132" s="4">
        <f t="shared" si="1"/>
        <v>18395760.957357109</v>
      </c>
      <c r="O132" s="9">
        <f>N132/Processed!$V$20</f>
        <v>169.53083758610794</v>
      </c>
      <c r="P132" s="9">
        <f>Raw!Z117*-293/Processed!$V$20</f>
        <v>71.789713730094661</v>
      </c>
      <c r="Q132" s="12">
        <f>((L132*Processed!$V$21)+(Table3[[#This Row],[Natural Gas kWh]]*Processed!$V$22))/Processed!$V$20</f>
        <v>30.339632555734276</v>
      </c>
      <c r="R132" s="10">
        <f>1-(O132/Processed!$V$23)</f>
        <v>0.21491121055931739</v>
      </c>
      <c r="S132" s="11">
        <f>1-(Processed!Q132/Processed!$V$24)</f>
        <v>0.21902406210097569</v>
      </c>
    </row>
    <row r="133" spans="2:19">
      <c r="B133" s="1" t="s">
        <v>159</v>
      </c>
      <c r="C133">
        <v>72</v>
      </c>
      <c r="D133">
        <f>VLOOKUP(MID($B133,2,1),Table2[],2,FALSE)</f>
        <v>10</v>
      </c>
      <c r="E133">
        <f>VLOOKUP(MID($B133,3,1),Table2[],3,FALSE)</f>
        <v>5.5</v>
      </c>
      <c r="F133" t="str">
        <f>VLOOKUP(MID($B133,4,1),Table2[],4,FALSE)</f>
        <v>Current</v>
      </c>
      <c r="G133" s="7">
        <f>VLOOKUP(MID($B133,5,1),Table2[],5,FALSE)</f>
        <v>0.25</v>
      </c>
      <c r="H133" s="7">
        <f>VLOOKUP(MID($B133,6,1),Table2[],6,FALSE)</f>
        <v>0.75</v>
      </c>
      <c r="I133" t="s">
        <v>19</v>
      </c>
      <c r="J133" t="s">
        <v>16</v>
      </c>
      <c r="K133" t="s">
        <v>18</v>
      </c>
      <c r="L133" s="4">
        <f>SUM(Raw!AE118:AP118)*293</f>
        <v>10490420.129295059</v>
      </c>
      <c r="M133" s="4">
        <f>SUM(Raw!AQ118:BB118)*293</f>
        <v>4672441.7</v>
      </c>
      <c r="N133" s="4">
        <f t="shared" si="1"/>
        <v>15162861.829295058</v>
      </c>
      <c r="O133" s="9">
        <f>N133/Processed!$V$20</f>
        <v>139.73722924980464</v>
      </c>
      <c r="P133" s="9">
        <f>Raw!Z118*-293/Processed!$V$20</f>
        <v>39.812263311589682</v>
      </c>
      <c r="Q133" s="12">
        <f>((L133*Processed!$V$21)+(Table3[[#This Row],[Natural Gas kWh]]*Processed!$V$22))/Processed!$V$20</f>
        <v>24.616530590393296</v>
      </c>
      <c r="R133" s="10">
        <f>1-(O133/Processed!$V$23)</f>
        <v>0.35288391354875215</v>
      </c>
      <c r="S133" s="11">
        <f>1-(Processed!Q133/Processed!$V$24)</f>
        <v>0.36634308176488239</v>
      </c>
    </row>
    <row r="134" spans="2:19">
      <c r="B134" s="1" t="s">
        <v>161</v>
      </c>
      <c r="C134">
        <v>72</v>
      </c>
      <c r="D134">
        <f>VLOOKUP(MID($B134,2,1),Table2[],2,FALSE)</f>
        <v>10</v>
      </c>
      <c r="E134">
        <f>VLOOKUP(MID($B134,3,1),Table2[],3,FALSE)</f>
        <v>5.5</v>
      </c>
      <c r="F134" t="str">
        <f>VLOOKUP(MID($B134,4,1),Table2[],4,FALSE)</f>
        <v>Improved</v>
      </c>
      <c r="G134" s="7" t="str">
        <f>VLOOKUP(MID($B134,5,1),Table2[],5,FALSE)</f>
        <v>Current</v>
      </c>
      <c r="H134" s="7" t="str">
        <f>VLOOKUP(MID($B134,6,1),Table2[],6,FALSE)</f>
        <v>None</v>
      </c>
      <c r="I134" t="s">
        <v>19</v>
      </c>
      <c r="J134" t="s">
        <v>16</v>
      </c>
      <c r="K134" t="s">
        <v>18</v>
      </c>
      <c r="L134" s="4">
        <f>SUM(Raw!AE119:AP119)*293</f>
        <v>10688462.112857571</v>
      </c>
      <c r="M134" s="4">
        <f>SUM(Raw!AQ119:BB119)*293</f>
        <v>7796642.1000000006</v>
      </c>
      <c r="N134" s="4">
        <f t="shared" si="1"/>
        <v>18485104.21285757</v>
      </c>
      <c r="O134" s="9">
        <f>N134/Processed!$V$20</f>
        <v>170.35420319586845</v>
      </c>
      <c r="P134" s="9">
        <f>Raw!Z119*-293/Processed!$V$20</f>
        <v>67.436216934649494</v>
      </c>
      <c r="Q134" s="12">
        <f>((L134*Processed!$V$21)+(Table3[[#This Row],[Natural Gas kWh]]*Processed!$V$22))/Processed!$V$20</f>
        <v>30.397253509650902</v>
      </c>
      <c r="R134" s="10">
        <f>1-(O134/Processed!$V$23)</f>
        <v>0.21109824579704717</v>
      </c>
      <c r="S134" s="11">
        <f>1-(Processed!Q134/Processed!$V$24)</f>
        <v>0.21754083456204609</v>
      </c>
    </row>
    <row r="135" spans="2:19">
      <c r="B135" s="1" t="s">
        <v>163</v>
      </c>
      <c r="C135">
        <v>72</v>
      </c>
      <c r="D135">
        <f>VLOOKUP(MID($B135,2,1),Table2[],2,FALSE)</f>
        <v>10</v>
      </c>
      <c r="E135">
        <f>VLOOKUP(MID($B135,3,1),Table2[],3,FALSE)</f>
        <v>5.5</v>
      </c>
      <c r="F135" t="str">
        <f>VLOOKUP(MID($B135,4,1),Table2[],4,FALSE)</f>
        <v>Improved</v>
      </c>
      <c r="G135" s="7" t="str">
        <f>VLOOKUP(MID($B135,5,1),Table2[],5,FALSE)</f>
        <v>Current</v>
      </c>
      <c r="H135" s="7">
        <f>VLOOKUP(MID($B135,6,1),Table2[],6,FALSE)</f>
        <v>0.75</v>
      </c>
      <c r="I135" t="s">
        <v>19</v>
      </c>
      <c r="J135" t="s">
        <v>16</v>
      </c>
      <c r="K135" t="s">
        <v>18</v>
      </c>
      <c r="L135" s="4">
        <f>SUM(Raw!AE120:AP120)*293</f>
        <v>11024682.084951311</v>
      </c>
      <c r="M135" s="4">
        <f>SUM(Raw!AQ120:BB120)*293</f>
        <v>4189138.1999999997</v>
      </c>
      <c r="N135" s="4">
        <f t="shared" si="1"/>
        <v>15213820.284951311</v>
      </c>
      <c r="O135" s="9">
        <f>N135/Processed!$V$20</f>
        <v>140.20684992434619</v>
      </c>
      <c r="P135" s="9">
        <f>Raw!Z120*-293/Processed!$V$20</f>
        <v>35.472875146830312</v>
      </c>
      <c r="Q135" s="12">
        <f>((L135*Processed!$V$21)+(Table3[[#This Row],[Natural Gas kWh]]*Processed!$V$22))/Processed!$V$20</f>
        <v>24.607285966055908</v>
      </c>
      <c r="R135" s="10">
        <f>1-(O135/Processed!$V$23)</f>
        <v>0.35070912380476316</v>
      </c>
      <c r="S135" s="11">
        <f>1-(Processed!Q135/Processed!$V$24)</f>
        <v>0.36658104869309593</v>
      </c>
    </row>
    <row r="136" spans="2:19">
      <c r="B136" s="1" t="s">
        <v>165</v>
      </c>
      <c r="C136">
        <v>72</v>
      </c>
      <c r="D136">
        <f>VLOOKUP(MID($B136,2,1),Table2[],2,FALSE)</f>
        <v>10</v>
      </c>
      <c r="E136">
        <f>VLOOKUP(MID($B136,3,1),Table2[],3,FALSE)</f>
        <v>5.5</v>
      </c>
      <c r="F136" t="str">
        <f>VLOOKUP(MID($B136,4,1),Table2[],4,FALSE)</f>
        <v>Improved</v>
      </c>
      <c r="G136" s="7">
        <f>VLOOKUP(MID($B136,5,1),Table2[],5,FALSE)</f>
        <v>0.25</v>
      </c>
      <c r="H136" s="7" t="str">
        <f>VLOOKUP(MID($B136,6,1),Table2[],6,FALSE)</f>
        <v>None</v>
      </c>
      <c r="I136" t="s">
        <v>19</v>
      </c>
      <c r="J136" t="s">
        <v>16</v>
      </c>
      <c r="K136" t="s">
        <v>18</v>
      </c>
      <c r="L136" s="4">
        <f>SUM(Raw!AE121:AP121)*293</f>
        <v>10155589.15708603</v>
      </c>
      <c r="M136" s="4">
        <f>SUM(Raw!AQ121:BB121)*293</f>
        <v>8037927.6000000006</v>
      </c>
      <c r="N136" s="4">
        <f t="shared" si="1"/>
        <v>18193516.757086031</v>
      </c>
      <c r="O136" s="9">
        <f>N136/Processed!$V$20</f>
        <v>167.66700445909746</v>
      </c>
      <c r="P136" s="9">
        <f>Raw!Z121*-293/Processed!$V$20</f>
        <v>69.779804953137344</v>
      </c>
      <c r="Q136" s="12">
        <f>((L136*Processed!$V$21)+(Table3[[#This Row],[Natural Gas kWh]]*Processed!$V$22))/Processed!$V$20</f>
        <v>29.984902288494574</v>
      </c>
      <c r="R136" s="10">
        <f>1-(O136/Processed!$V$23)</f>
        <v>0.22354252810743525</v>
      </c>
      <c r="S136" s="11">
        <f>1-(Processed!Q136/Processed!$V$24)</f>
        <v>0.22815521432075891</v>
      </c>
    </row>
    <row r="137" spans="2:19">
      <c r="B137" s="1" t="s">
        <v>167</v>
      </c>
      <c r="C137">
        <v>72</v>
      </c>
      <c r="D137">
        <f>VLOOKUP(MID($B137,2,1),Table2[],2,FALSE)</f>
        <v>10</v>
      </c>
      <c r="E137">
        <f>VLOOKUP(MID($B137,3,1),Table2[],3,FALSE)</f>
        <v>5.5</v>
      </c>
      <c r="F137" t="str">
        <f>VLOOKUP(MID($B137,4,1),Table2[],4,FALSE)</f>
        <v>Improved</v>
      </c>
      <c r="G137" s="7">
        <f>VLOOKUP(MID($B137,5,1),Table2[],5,FALSE)</f>
        <v>0.25</v>
      </c>
      <c r="H137" s="7">
        <f>VLOOKUP(MID($B137,6,1),Table2[],6,FALSE)</f>
        <v>0.75</v>
      </c>
      <c r="I137" t="s">
        <v>19</v>
      </c>
      <c r="J137" t="s">
        <v>16</v>
      </c>
      <c r="K137" t="s">
        <v>18</v>
      </c>
      <c r="L137" s="4">
        <f>SUM(Raw!AE122:AP122)*293</f>
        <v>10494016.12899659</v>
      </c>
      <c r="M137" s="4">
        <f>SUM(Raw!AQ122:BB122)*293</f>
        <v>4453307</v>
      </c>
      <c r="N137" s="4">
        <f t="shared" si="1"/>
        <v>14947323.12899659</v>
      </c>
      <c r="O137" s="9">
        <f>N137/Processed!$V$20</f>
        <v>137.75087725933662</v>
      </c>
      <c r="P137" s="9">
        <f>Raw!Z122*-293/Processed!$V$20</f>
        <v>37.805627196908191</v>
      </c>
      <c r="Q137" s="12">
        <f>((L137*Processed!$V$21)+(Table3[[#This Row],[Natural Gas kWh]]*Processed!$V$22))/Processed!$V$20</f>
        <v>24.238460915114565</v>
      </c>
      <c r="R137" s="10">
        <f>1-(O137/Processed!$V$23)</f>
        <v>0.36208260979661067</v>
      </c>
      <c r="S137" s="11">
        <f>1-(Processed!Q137/Processed!$V$24)</f>
        <v>0.37607501634581664</v>
      </c>
    </row>
    <row r="138" spans="2:19">
      <c r="B138" s="1" t="s">
        <v>169</v>
      </c>
      <c r="C138">
        <v>72</v>
      </c>
      <c r="D138">
        <f>VLOOKUP(MID($B138,2,1),Table2[],2,FALSE)</f>
        <v>15</v>
      </c>
      <c r="E138">
        <f>VLOOKUP(MID($B138,3,1),Table2[],3,FALSE)</f>
        <v>2.8</v>
      </c>
      <c r="F138" t="str">
        <f>VLOOKUP(MID($B138,4,1),Table2[],4,FALSE)</f>
        <v>Current</v>
      </c>
      <c r="G138" s="7" t="str">
        <f>VLOOKUP(MID($B138,5,1),Table2[],5,FALSE)</f>
        <v>Current</v>
      </c>
      <c r="H138" s="7" t="str">
        <f>VLOOKUP(MID($B138,6,1),Table2[],6,FALSE)</f>
        <v>None</v>
      </c>
      <c r="I138" t="s">
        <v>19</v>
      </c>
      <c r="J138" t="s">
        <v>16</v>
      </c>
      <c r="K138" t="s">
        <v>18</v>
      </c>
      <c r="L138" s="4">
        <f>SUM(Raw!AE123:AP123)*293</f>
        <v>10659793.115237096</v>
      </c>
      <c r="M138" s="4">
        <f>SUM(Raw!AQ123:BB123)*293</f>
        <v>9013881.2999999989</v>
      </c>
      <c r="N138" s="4">
        <f t="shared" si="1"/>
        <v>19673674.415237095</v>
      </c>
      <c r="O138" s="9">
        <f>N138/Processed!$V$20</f>
        <v>181.30777572849607</v>
      </c>
      <c r="P138" s="9">
        <f>Raw!Z123*-293/Processed!$V$20</f>
        <v>79.398939744325006</v>
      </c>
      <c r="Q138" s="12">
        <f>((L138*Processed!$V$21)+(Table3[[#This Row],[Natural Gas kWh]]*Processed!$V$22))/Processed!$V$20</f>
        <v>32.483716420373931</v>
      </c>
      <c r="R138" s="10">
        <f>1-(O138/Processed!$V$23)</f>
        <v>0.16037280184751523</v>
      </c>
      <c r="S138" s="11">
        <f>1-(Processed!Q138/Processed!$V$24)</f>
        <v>0.16383295508789364</v>
      </c>
    </row>
    <row r="139" spans="2:19">
      <c r="B139" s="1" t="s">
        <v>171</v>
      </c>
      <c r="C139">
        <v>72</v>
      </c>
      <c r="D139">
        <f>VLOOKUP(MID($B139,2,1),Table2[],2,FALSE)</f>
        <v>15</v>
      </c>
      <c r="E139">
        <f>VLOOKUP(MID($B139,3,1),Table2[],3,FALSE)</f>
        <v>2.8</v>
      </c>
      <c r="F139" t="str">
        <f>VLOOKUP(MID($B139,4,1),Table2[],4,FALSE)</f>
        <v>Current</v>
      </c>
      <c r="G139" s="7" t="str">
        <f>VLOOKUP(MID($B139,5,1),Table2[],5,FALSE)</f>
        <v>Current</v>
      </c>
      <c r="H139" s="7">
        <f>VLOOKUP(MID($B139,6,1),Table2[],6,FALSE)</f>
        <v>0.75</v>
      </c>
      <c r="I139" t="s">
        <v>19</v>
      </c>
      <c r="J139" t="s">
        <v>16</v>
      </c>
      <c r="K139" t="s">
        <v>18</v>
      </c>
      <c r="L139" s="4">
        <f>SUM(Raw!AE124:AP124)*293</f>
        <v>10995452.087377403</v>
      </c>
      <c r="M139" s="4">
        <f>SUM(Raw!AQ124:BB124)*293</f>
        <v>5477664.2999999998</v>
      </c>
      <c r="N139" s="4">
        <f t="shared" si="1"/>
        <v>16473116.387377404</v>
      </c>
      <c r="O139" s="9">
        <f>N139/Processed!$V$20</f>
        <v>151.81221506841948</v>
      </c>
      <c r="P139" s="9">
        <f>Raw!Z124*-293/Processed!$V$20</f>
        <v>47.414144737214208</v>
      </c>
      <c r="Q139" s="12">
        <f>((L139*Processed!$V$21)+(Table3[[#This Row],[Natural Gas kWh]]*Processed!$V$22))/Processed!$V$20</f>
        <v>26.817692873723175</v>
      </c>
      <c r="R139" s="10">
        <f>1-(O139/Processed!$V$23)</f>
        <v>0.29696526102611187</v>
      </c>
      <c r="S139" s="11">
        <f>1-(Processed!Q139/Processed!$V$24)</f>
        <v>0.30968271267393888</v>
      </c>
    </row>
    <row r="140" spans="2:19">
      <c r="B140" s="1" t="s">
        <v>173</v>
      </c>
      <c r="C140">
        <v>72</v>
      </c>
      <c r="D140">
        <f>VLOOKUP(MID($B140,2,1),Table2[],2,FALSE)</f>
        <v>15</v>
      </c>
      <c r="E140">
        <f>VLOOKUP(MID($B140,3,1),Table2[],3,FALSE)</f>
        <v>2.8</v>
      </c>
      <c r="F140" t="str">
        <f>VLOOKUP(MID($B140,4,1),Table2[],4,FALSE)</f>
        <v>Current</v>
      </c>
      <c r="G140" s="7">
        <f>VLOOKUP(MID($B140,5,1),Table2[],5,FALSE)</f>
        <v>0.25</v>
      </c>
      <c r="H140" s="7" t="str">
        <f>VLOOKUP(MID($B140,6,1),Table2[],6,FALSE)</f>
        <v>None</v>
      </c>
      <c r="I140" t="s">
        <v>19</v>
      </c>
      <c r="J140" t="s">
        <v>16</v>
      </c>
      <c r="K140" t="s">
        <v>18</v>
      </c>
      <c r="L140" s="4">
        <f>SUM(Raw!AE125:AP125)*293</f>
        <v>10132920.158967556</v>
      </c>
      <c r="M140" s="4">
        <f>SUM(Raw!AQ125:BB125)*293</f>
        <v>9286224.7999999989</v>
      </c>
      <c r="N140" s="4">
        <f t="shared" si="1"/>
        <v>19419144.958967555</v>
      </c>
      <c r="O140" s="9">
        <f>N140/Processed!$V$20</f>
        <v>178.96209445922224</v>
      </c>
      <c r="P140" s="9">
        <f>Raw!Z125*-293/Processed!$V$20</f>
        <v>82.05377090628248</v>
      </c>
      <c r="Q140" s="12">
        <f>((L140*Processed!$V$21)+(Table3[[#This Row],[Natural Gas kWh]]*Processed!$V$22))/Processed!$V$20</f>
        <v>32.135147627458409</v>
      </c>
      <c r="R140" s="10">
        <f>1-(O140/Processed!$V$23)</f>
        <v>0.17123553392817581</v>
      </c>
      <c r="S140" s="11">
        <f>1-(Processed!Q140/Processed!$V$24)</f>
        <v>0.1728055040951848</v>
      </c>
    </row>
    <row r="141" spans="2:19">
      <c r="B141" s="1" t="s">
        <v>175</v>
      </c>
      <c r="C141">
        <v>72</v>
      </c>
      <c r="D141">
        <f>VLOOKUP(MID($B141,2,1),Table2[],2,FALSE)</f>
        <v>15</v>
      </c>
      <c r="E141">
        <f>VLOOKUP(MID($B141,3,1),Table2[],3,FALSE)</f>
        <v>2.8</v>
      </c>
      <c r="F141" t="str">
        <f>VLOOKUP(MID($B141,4,1),Table2[],4,FALSE)</f>
        <v>Current</v>
      </c>
      <c r="G141" s="7">
        <f>VLOOKUP(MID($B141,5,1),Table2[],5,FALSE)</f>
        <v>0.25</v>
      </c>
      <c r="H141" s="7">
        <f>VLOOKUP(MID($B141,6,1),Table2[],6,FALSE)</f>
        <v>0.75</v>
      </c>
      <c r="I141" t="s">
        <v>19</v>
      </c>
      <c r="J141" t="s">
        <v>16</v>
      </c>
      <c r="K141" t="s">
        <v>18</v>
      </c>
      <c r="L141" s="4">
        <f>SUM(Raw!AE126:AP126)*293</f>
        <v>10469094.131065113</v>
      </c>
      <c r="M141" s="4">
        <f>SUM(Raw!AQ126:BB126)*293</f>
        <v>5769170</v>
      </c>
      <c r="N141" s="4">
        <f t="shared" si="1"/>
        <v>16238264.131065113</v>
      </c>
      <c r="O141" s="9">
        <f>N141/Processed!$V$20</f>
        <v>149.64787406540779</v>
      </c>
      <c r="P141" s="9">
        <f>Raw!Z126*-293/Processed!$V$20</f>
        <v>50.064220818092707</v>
      </c>
      <c r="Q141" s="12">
        <f>((L141*Processed!$V$21)+(Table3[[#This Row],[Natural Gas kWh]]*Processed!$V$22))/Processed!$V$20</f>
        <v>26.503483809122375</v>
      </c>
      <c r="R141" s="10">
        <f>1-(O141/Processed!$V$23)</f>
        <v>0.30698821544659149</v>
      </c>
      <c r="S141" s="11">
        <f>1-(Processed!Q141/Processed!$V$24)</f>
        <v>0.31777080400043078</v>
      </c>
    </row>
    <row r="142" spans="2:19">
      <c r="B142" s="1" t="s">
        <v>177</v>
      </c>
      <c r="C142">
        <v>72</v>
      </c>
      <c r="D142">
        <f>VLOOKUP(MID($B142,2,1),Table2[],2,FALSE)</f>
        <v>15</v>
      </c>
      <c r="E142">
        <f>VLOOKUP(MID($B142,3,1),Table2[],3,FALSE)</f>
        <v>2.8</v>
      </c>
      <c r="F142" t="str">
        <f>VLOOKUP(MID($B142,4,1),Table2[],4,FALSE)</f>
        <v>Improved</v>
      </c>
      <c r="G142" s="7" t="str">
        <f>VLOOKUP(MID($B142,5,1),Table2[],5,FALSE)</f>
        <v>Current</v>
      </c>
      <c r="H142" s="7" t="str">
        <f>VLOOKUP(MID($B142,6,1),Table2[],6,FALSE)</f>
        <v>None</v>
      </c>
      <c r="I142" t="s">
        <v>19</v>
      </c>
      <c r="J142" t="s">
        <v>16</v>
      </c>
      <c r="K142" t="s">
        <v>18</v>
      </c>
      <c r="L142" s="4">
        <f>SUM(Raw!AE127:AP127)*293</f>
        <v>10661362.115106871</v>
      </c>
      <c r="M142" s="4">
        <f>SUM(Raw!AQ127:BB127)*293</f>
        <v>8813586.5</v>
      </c>
      <c r="N142" s="4">
        <f t="shared" si="1"/>
        <v>19474948.615106873</v>
      </c>
      <c r="O142" s="9">
        <f>N142/Processed!$V$20</f>
        <v>179.47636731738754</v>
      </c>
      <c r="P142" s="9">
        <f>Raw!Z127*-293/Processed!$V$20</f>
        <v>77.413089895484518</v>
      </c>
      <c r="Q142" s="12">
        <f>((L142*Processed!$V$21)+(Table3[[#This Row],[Natural Gas kWh]]*Processed!$V$22))/Processed!$V$20</f>
        <v>32.135459631875676</v>
      </c>
      <c r="R142" s="10">
        <f>1-(O142/Processed!$V$23)</f>
        <v>0.16885396216572801</v>
      </c>
      <c r="S142" s="11">
        <f>1-(Processed!Q142/Processed!$V$24)</f>
        <v>0.17279747275393642</v>
      </c>
    </row>
    <row r="143" spans="2:19">
      <c r="B143" s="1" t="s">
        <v>179</v>
      </c>
      <c r="C143">
        <v>72</v>
      </c>
      <c r="D143">
        <f>VLOOKUP(MID($B143,2,1),Table2[],2,FALSE)</f>
        <v>15</v>
      </c>
      <c r="E143">
        <f>VLOOKUP(MID($B143,3,1),Table2[],3,FALSE)</f>
        <v>2.8</v>
      </c>
      <c r="F143" t="str">
        <f>VLOOKUP(MID($B143,4,1),Table2[],4,FALSE)</f>
        <v>Improved</v>
      </c>
      <c r="G143" s="7" t="str">
        <f>VLOOKUP(MID($B143,5,1),Table2[],5,FALSE)</f>
        <v>Current</v>
      </c>
      <c r="H143" s="7">
        <f>VLOOKUP(MID($B143,6,1),Table2[],6,FALSE)</f>
        <v>0.75</v>
      </c>
      <c r="I143" t="s">
        <v>19</v>
      </c>
      <c r="J143" t="s">
        <v>16</v>
      </c>
      <c r="K143" t="s">
        <v>18</v>
      </c>
      <c r="L143" s="4">
        <f>SUM(Raw!AE128:AP128)*293</f>
        <v>10997347.087220117</v>
      </c>
      <c r="M143" s="4">
        <f>SUM(Raw!AQ128:BB128)*293</f>
        <v>5265122.1000000006</v>
      </c>
      <c r="N143" s="4">
        <f t="shared" si="1"/>
        <v>16262469.187220119</v>
      </c>
      <c r="O143" s="9">
        <f>N143/Processed!$V$20</f>
        <v>149.87094194791013</v>
      </c>
      <c r="P143" s="9">
        <f>Raw!Z128*-293/Processed!$V$20</f>
        <v>45.430638676208225</v>
      </c>
      <c r="Q143" s="12">
        <f>((L143*Processed!$V$21)+(Table3[[#This Row],[Natural Gas kWh]]*Processed!$V$22))/Processed!$V$20</f>
        <v>26.448501703717064</v>
      </c>
      <c r="R143" s="10">
        <f>1-(O143/Processed!$V$23)</f>
        <v>0.30595519929253689</v>
      </c>
      <c r="S143" s="11">
        <f>1-(Processed!Q143/Processed!$V$24)</f>
        <v>0.31918610463921393</v>
      </c>
    </row>
    <row r="144" spans="2:19">
      <c r="B144" s="1" t="s">
        <v>181</v>
      </c>
      <c r="C144">
        <v>72</v>
      </c>
      <c r="D144">
        <f>VLOOKUP(MID($B144,2,1),Table2[],2,FALSE)</f>
        <v>15</v>
      </c>
      <c r="E144">
        <f>VLOOKUP(MID($B144,3,1),Table2[],3,FALSE)</f>
        <v>2.8</v>
      </c>
      <c r="F144" t="str">
        <f>VLOOKUP(MID($B144,4,1),Table2[],4,FALSE)</f>
        <v>Improved</v>
      </c>
      <c r="G144" s="7">
        <f>VLOOKUP(MID($B144,5,1),Table2[],5,FALSE)</f>
        <v>0.25</v>
      </c>
      <c r="H144" s="7" t="str">
        <f>VLOOKUP(MID($B144,6,1),Table2[],6,FALSE)</f>
        <v>None</v>
      </c>
      <c r="I144" t="s">
        <v>19</v>
      </c>
      <c r="J144" t="s">
        <v>16</v>
      </c>
      <c r="K144" t="s">
        <v>18</v>
      </c>
      <c r="L144" s="4">
        <f>SUM(Raw!AE129:AP129)*293</f>
        <v>10133481.158920996</v>
      </c>
      <c r="M144" s="4">
        <f>SUM(Raw!AQ129:BB129)*293</f>
        <v>9082414</v>
      </c>
      <c r="N144" s="4">
        <f t="shared" si="1"/>
        <v>19215895.158920996</v>
      </c>
      <c r="O144" s="9">
        <f>N144/Processed!$V$20</f>
        <v>177.08899397042069</v>
      </c>
      <c r="P144" s="9">
        <f>Raw!Z129*-293/Processed!$V$20</f>
        <v>80.033690414149405</v>
      </c>
      <c r="Q144" s="12">
        <f>((L144*Processed!$V$21)+(Table3[[#This Row],[Natural Gas kWh]]*Processed!$V$22))/Processed!$V$20</f>
        <v>31.779155133816545</v>
      </c>
      <c r="R144" s="10">
        <f>1-(O144/Processed!$V$23)</f>
        <v>0.17990976816303617</v>
      </c>
      <c r="S144" s="11">
        <f>1-(Processed!Q144/Processed!$V$24)</f>
        <v>0.18196914742857839</v>
      </c>
    </row>
    <row r="145" spans="2:19">
      <c r="B145" s="1" t="s">
        <v>183</v>
      </c>
      <c r="C145">
        <v>72</v>
      </c>
      <c r="D145">
        <f>VLOOKUP(MID($B145,2,1),Table2[],2,FALSE)</f>
        <v>15</v>
      </c>
      <c r="E145">
        <f>VLOOKUP(MID($B145,3,1),Table2[],3,FALSE)</f>
        <v>2.8</v>
      </c>
      <c r="F145" t="str">
        <f>VLOOKUP(MID($B145,4,1),Table2[],4,FALSE)</f>
        <v>Improved</v>
      </c>
      <c r="G145" s="7">
        <f>VLOOKUP(MID($B145,5,1),Table2[],5,FALSE)</f>
        <v>0.25</v>
      </c>
      <c r="H145" s="7">
        <f>VLOOKUP(MID($B145,6,1),Table2[],6,FALSE)</f>
        <v>0.75</v>
      </c>
      <c r="I145" t="s">
        <v>19</v>
      </c>
      <c r="J145" t="s">
        <v>16</v>
      </c>
      <c r="K145" t="s">
        <v>18</v>
      </c>
      <c r="L145" s="4">
        <f>SUM(Raw!AE130:AP130)*293</f>
        <v>10470291.130965766</v>
      </c>
      <c r="M145" s="4">
        <f>SUM(Raw!AQ130:BB130)*293</f>
        <v>5556715.7000000002</v>
      </c>
      <c r="N145" s="4">
        <f t="shared" si="1"/>
        <v>16027006.830965765</v>
      </c>
      <c r="O145" s="9">
        <f>N145/Processed!$V$20</f>
        <v>147.70097841292329</v>
      </c>
      <c r="P145" s="9">
        <f>Raw!Z130*-293/Processed!$V$20</f>
        <v>48.045503935241229</v>
      </c>
      <c r="Q145" s="12">
        <f>((L145*Processed!$V$21)+(Table3[[#This Row],[Natural Gas kWh]]*Processed!$V$22))/Processed!$V$20</f>
        <v>26.133353009978887</v>
      </c>
      <c r="R145" s="10">
        <f>1-(O145/Processed!$V$23)</f>
        <v>0.31600419137604463</v>
      </c>
      <c r="S145" s="11">
        <f>1-(Processed!Q145/Processed!$V$24)</f>
        <v>0.32729838306637327</v>
      </c>
    </row>
    <row r="146" spans="2:19">
      <c r="B146" s="1" t="s">
        <v>185</v>
      </c>
      <c r="C146">
        <v>72</v>
      </c>
      <c r="D146">
        <f>VLOOKUP(MID($B146,2,1),Table2[],2,FALSE)</f>
        <v>15</v>
      </c>
      <c r="E146">
        <f>VLOOKUP(MID($B146,3,1),Table2[],3,FALSE)</f>
        <v>4</v>
      </c>
      <c r="F146" t="str">
        <f>VLOOKUP(MID($B146,4,1),Table2[],4,FALSE)</f>
        <v>Current</v>
      </c>
      <c r="G146" s="7" t="str">
        <f>VLOOKUP(MID($B146,5,1),Table2[],5,FALSE)</f>
        <v>Current</v>
      </c>
      <c r="H146" s="7" t="str">
        <f>VLOOKUP(MID($B146,6,1),Table2[],6,FALSE)</f>
        <v>None</v>
      </c>
      <c r="I146" t="s">
        <v>19</v>
      </c>
      <c r="J146" t="s">
        <v>16</v>
      </c>
      <c r="K146" t="s">
        <v>18</v>
      </c>
      <c r="L146" s="4">
        <f>SUM(Raw!AE131:AP131)*293</f>
        <v>10675472.113935743</v>
      </c>
      <c r="M146" s="4">
        <f>SUM(Raw!AQ131:BB131)*293</f>
        <v>8196938.7000000002</v>
      </c>
      <c r="N146" s="4">
        <f t="shared" si="1"/>
        <v>18872410.813935742</v>
      </c>
      <c r="O146" s="9">
        <f>N146/Processed!$V$20</f>
        <v>173.92352618476883</v>
      </c>
      <c r="P146" s="9">
        <f>Raw!Z131*-293/Processed!$V$20</f>
        <v>71.407608807660949</v>
      </c>
      <c r="Q146" s="12">
        <f>((L146*Processed!$V$21)+(Table3[[#This Row],[Natural Gas kWh]]*Processed!$V$22))/Processed!$V$20</f>
        <v>31.07781913065558</v>
      </c>
      <c r="R146" s="10">
        <f>1-(O146/Processed!$V$23)</f>
        <v>0.19456889040437242</v>
      </c>
      <c r="S146" s="11">
        <f>1-(Processed!Q146/Processed!$V$24)</f>
        <v>0.20002231738193255</v>
      </c>
    </row>
    <row r="147" spans="2:19">
      <c r="B147" s="1" t="s">
        <v>187</v>
      </c>
      <c r="C147">
        <v>72</v>
      </c>
      <c r="D147">
        <f>VLOOKUP(MID($B147,2,1),Table2[],2,FALSE)</f>
        <v>15</v>
      </c>
      <c r="E147">
        <f>VLOOKUP(MID($B147,3,1),Table2[],3,FALSE)</f>
        <v>4</v>
      </c>
      <c r="F147" t="str">
        <f>VLOOKUP(MID($B147,4,1),Table2[],4,FALSE)</f>
        <v>Current</v>
      </c>
      <c r="G147" s="7" t="str">
        <f>VLOOKUP(MID($B147,5,1),Table2[],5,FALSE)</f>
        <v>Current</v>
      </c>
      <c r="H147" s="7">
        <f>VLOOKUP(MID($B147,6,1),Table2[],6,FALSE)</f>
        <v>0.75</v>
      </c>
      <c r="I147" t="s">
        <v>19</v>
      </c>
      <c r="J147" t="s">
        <v>16</v>
      </c>
      <c r="K147" t="s">
        <v>18</v>
      </c>
      <c r="L147" s="4">
        <f>SUM(Raw!AE132:AP132)*293</f>
        <v>11011607.086036537</v>
      </c>
      <c r="M147" s="4">
        <f>SUM(Raw!AQ132:BB132)*293</f>
        <v>4619467.3</v>
      </c>
      <c r="N147" s="4">
        <f t="shared" ref="N147:N210" si="2">M147+L147</f>
        <v>15631074.386036538</v>
      </c>
      <c r="O147" s="9">
        <f>N147/Processed!$V$20</f>
        <v>144.05216175500067</v>
      </c>
      <c r="P147" s="9">
        <f>Raw!Z132*-293/Processed!$V$20</f>
        <v>39.434162810075982</v>
      </c>
      <c r="Q147" s="12">
        <f>((L147*Processed!$V$21)+(Table3[[#This Row],[Natural Gas kWh]]*Processed!$V$22))/Processed!$V$20</f>
        <v>25.340305133777129</v>
      </c>
      <c r="R147" s="10">
        <f>1-(O147/Processed!$V$23)</f>
        <v>0.33290167795517189</v>
      </c>
      <c r="S147" s="11">
        <f>1-(Processed!Q147/Processed!$V$24)</f>
        <v>0.34771231879145958</v>
      </c>
    </row>
    <row r="148" spans="2:19">
      <c r="B148" s="1" t="s">
        <v>189</v>
      </c>
      <c r="C148">
        <v>72</v>
      </c>
      <c r="D148">
        <f>VLOOKUP(MID($B148,2,1),Table2[],2,FALSE)</f>
        <v>15</v>
      </c>
      <c r="E148">
        <f>VLOOKUP(MID($B148,3,1),Table2[],3,FALSE)</f>
        <v>4</v>
      </c>
      <c r="F148" t="str">
        <f>VLOOKUP(MID($B148,4,1),Table2[],4,FALSE)</f>
        <v>Current</v>
      </c>
      <c r="G148" s="7">
        <f>VLOOKUP(MID($B148,5,1),Table2[],5,FALSE)</f>
        <v>0.25</v>
      </c>
      <c r="H148" s="7" t="str">
        <f>VLOOKUP(MID($B148,6,1),Table2[],6,FALSE)</f>
        <v>None</v>
      </c>
      <c r="I148" t="s">
        <v>19</v>
      </c>
      <c r="J148" t="s">
        <v>16</v>
      </c>
      <c r="K148" t="s">
        <v>18</v>
      </c>
      <c r="L148" s="4">
        <f>SUM(Raw!AE133:AP133)*293</f>
        <v>10144369.158017289</v>
      </c>
      <c r="M148" s="4">
        <f>SUM(Raw!AQ133:BB133)*293</f>
        <v>8457679.4000000004</v>
      </c>
      <c r="N148" s="4">
        <f t="shared" si="2"/>
        <v>18602048.558017291</v>
      </c>
      <c r="O148" s="9">
        <f>N148/Processed!$V$20</f>
        <v>171.43193370301321</v>
      </c>
      <c r="P148" s="9">
        <f>Raw!Z133*-293/Processed!$V$20</f>
        <v>73.879835135406466</v>
      </c>
      <c r="Q148" s="12">
        <f>((L148*Processed!$V$21)+(Table3[[#This Row],[Natural Gas kWh]]*Processed!$V$22))/Processed!$V$20</f>
        <v>30.702306860229996</v>
      </c>
      <c r="R148" s="10">
        <f>1-(O148/Processed!$V$23)</f>
        <v>0.20610732997757086</v>
      </c>
      <c r="S148" s="11">
        <f>1-(Processed!Q148/Processed!$V$24)</f>
        <v>0.2096884215132031</v>
      </c>
    </row>
    <row r="149" spans="2:19">
      <c r="B149" s="1" t="s">
        <v>191</v>
      </c>
      <c r="C149">
        <v>72</v>
      </c>
      <c r="D149">
        <f>VLOOKUP(MID($B149,2,1),Table2[],2,FALSE)</f>
        <v>15</v>
      </c>
      <c r="E149">
        <f>VLOOKUP(MID($B149,3,1),Table2[],3,FALSE)</f>
        <v>4</v>
      </c>
      <c r="F149" t="str">
        <f>VLOOKUP(MID($B149,4,1),Table2[],4,FALSE)</f>
        <v>Current</v>
      </c>
      <c r="G149" s="7">
        <f>VLOOKUP(MID($B149,5,1),Table2[],5,FALSE)</f>
        <v>0.25</v>
      </c>
      <c r="H149" s="7">
        <f>VLOOKUP(MID($B149,6,1),Table2[],6,FALSE)</f>
        <v>0.75</v>
      </c>
      <c r="I149" t="s">
        <v>19</v>
      </c>
      <c r="J149" t="s">
        <v>16</v>
      </c>
      <c r="K149" t="s">
        <v>18</v>
      </c>
      <c r="L149" s="4">
        <f>SUM(Raw!AE134:AP134)*293</f>
        <v>10482420.129959056</v>
      </c>
      <c r="M149" s="4">
        <f>SUM(Raw!AQ134:BB134)*293</f>
        <v>4900454.3</v>
      </c>
      <c r="N149" s="4">
        <f t="shared" si="2"/>
        <v>15382874.429959055</v>
      </c>
      <c r="O149" s="9">
        <f>N149/Processed!$V$20</f>
        <v>141.76481161274833</v>
      </c>
      <c r="P149" s="9">
        <f>Raw!Z134*-293/Processed!$V$20</f>
        <v>41.897986064387197</v>
      </c>
      <c r="Q149" s="12">
        <f>((L149*Processed!$V$21)+(Table3[[#This Row],[Natural Gas kWh]]*Processed!$V$22))/Processed!$V$20</f>
        <v>25.003245760130795</v>
      </c>
      <c r="R149" s="10">
        <f>1-(O149/Processed!$V$23)</f>
        <v>0.34349428151790573</v>
      </c>
      <c r="S149" s="11">
        <f>1-(Processed!Q149/Processed!$V$24)</f>
        <v>0.35638860252619298</v>
      </c>
    </row>
    <row r="150" spans="2:19">
      <c r="B150" s="1" t="s">
        <v>193</v>
      </c>
      <c r="C150">
        <v>72</v>
      </c>
      <c r="D150">
        <f>VLOOKUP(MID($B150,2,1),Table2[],2,FALSE)</f>
        <v>15</v>
      </c>
      <c r="E150">
        <f>VLOOKUP(MID($B150,3,1),Table2[],3,FALSE)</f>
        <v>4</v>
      </c>
      <c r="F150" t="str">
        <f>VLOOKUP(MID($B150,4,1),Table2[],4,FALSE)</f>
        <v>Improved</v>
      </c>
      <c r="G150" s="7" t="str">
        <f>VLOOKUP(MID($B150,5,1),Table2[],5,FALSE)</f>
        <v>Current</v>
      </c>
      <c r="H150" s="7" t="str">
        <f>VLOOKUP(MID($B150,6,1),Table2[],6,FALSE)</f>
        <v>None</v>
      </c>
      <c r="I150" t="s">
        <v>19</v>
      </c>
      <c r="J150" t="s">
        <v>16</v>
      </c>
      <c r="K150" t="s">
        <v>18</v>
      </c>
      <c r="L150" s="4">
        <f>SUM(Raw!AE135:AP135)*293</f>
        <v>10678756.11366317</v>
      </c>
      <c r="M150" s="4">
        <f>SUM(Raw!AQ135:BB135)*293</f>
        <v>7997991.7000000002</v>
      </c>
      <c r="N150" s="4">
        <f t="shared" si="2"/>
        <v>18676747.81366317</v>
      </c>
      <c r="O150" s="9">
        <f>N150/Processed!$V$20</f>
        <v>172.12034378868785</v>
      </c>
      <c r="P150" s="9">
        <f>Raw!Z135*-293/Processed!$V$20</f>
        <v>69.437547124106558</v>
      </c>
      <c r="Q150" s="12">
        <f>((L150*Processed!$V$21)+(Table3[[#This Row],[Natural Gas kWh]]*Processed!$V$22))/Processed!$V$20</f>
        <v>30.734609184620741</v>
      </c>
      <c r="R150" s="10">
        <f>1-(O150/Processed!$V$23)</f>
        <v>0.20291933746543256</v>
      </c>
      <c r="S150" s="11">
        <f>1-(Processed!Q150/Processed!$V$24)</f>
        <v>0.2088569237011898</v>
      </c>
    </row>
    <row r="151" spans="2:19">
      <c r="B151" s="1" t="s">
        <v>195</v>
      </c>
      <c r="C151">
        <v>72</v>
      </c>
      <c r="D151">
        <f>VLOOKUP(MID($B151,2,1),Table2[],2,FALSE)</f>
        <v>15</v>
      </c>
      <c r="E151">
        <f>VLOOKUP(MID($B151,3,1),Table2[],3,FALSE)</f>
        <v>4</v>
      </c>
      <c r="F151" t="str">
        <f>VLOOKUP(MID($B151,4,1),Table2[],4,FALSE)</f>
        <v>Improved</v>
      </c>
      <c r="G151" s="7" t="str">
        <f>VLOOKUP(MID($B151,5,1),Table2[],5,FALSE)</f>
        <v>Current</v>
      </c>
      <c r="H151" s="7">
        <f>VLOOKUP(MID($B151,6,1),Table2[],6,FALSE)</f>
        <v>0.75</v>
      </c>
      <c r="I151" t="s">
        <v>19</v>
      </c>
      <c r="J151" t="s">
        <v>16</v>
      </c>
      <c r="K151" t="s">
        <v>18</v>
      </c>
      <c r="L151" s="4">
        <f>SUM(Raw!AE136:AP136)*293</f>
        <v>11015084.085747944</v>
      </c>
      <c r="M151" s="4">
        <f>SUM(Raw!AQ136:BB136)*293</f>
        <v>4406192.6000000006</v>
      </c>
      <c r="N151" s="4">
        <f t="shared" si="2"/>
        <v>15421276.685747944</v>
      </c>
      <c r="O151" s="9">
        <f>N151/Processed!$V$20</f>
        <v>142.11871741768772</v>
      </c>
      <c r="P151" s="9">
        <f>Raw!Z136*-293/Processed!$V$20</f>
        <v>37.468434973842299</v>
      </c>
      <c r="Q151" s="12">
        <f>((L151*Processed!$V$21)+(Table3[[#This Row],[Natural Gas kWh]]*Processed!$V$22))/Processed!$V$20</f>
        <v>24.972309846094447</v>
      </c>
      <c r="R151" s="10">
        <f>1-(O151/Processed!$V$23)</f>
        <v>0.3418553615200336</v>
      </c>
      <c r="S151" s="11">
        <f>1-(Processed!Q151/Processed!$V$24)</f>
        <v>0.35718492741361263</v>
      </c>
    </row>
    <row r="152" spans="2:19">
      <c r="B152" s="1" t="s">
        <v>197</v>
      </c>
      <c r="C152">
        <v>72</v>
      </c>
      <c r="D152">
        <f>VLOOKUP(MID($B152,2,1),Table2[],2,FALSE)</f>
        <v>15</v>
      </c>
      <c r="E152">
        <f>VLOOKUP(MID($B152,3,1),Table2[],3,FALSE)</f>
        <v>4</v>
      </c>
      <c r="F152" t="str">
        <f>VLOOKUP(MID($B152,4,1),Table2[],4,FALSE)</f>
        <v>Improved</v>
      </c>
      <c r="G152" s="7">
        <f>VLOOKUP(MID($B152,5,1),Table2[],5,FALSE)</f>
        <v>0.25</v>
      </c>
      <c r="H152" s="7" t="str">
        <f>VLOOKUP(MID($B152,6,1),Table2[],6,FALSE)</f>
        <v>None</v>
      </c>
      <c r="I152" t="s">
        <v>19</v>
      </c>
      <c r="J152" t="s">
        <v>16</v>
      </c>
      <c r="K152" t="s">
        <v>18</v>
      </c>
      <c r="L152" s="4">
        <f>SUM(Raw!AE137:AP137)*293</f>
        <v>10147061.157793853</v>
      </c>
      <c r="M152" s="4">
        <f>SUM(Raw!AQ137:BB137)*293</f>
        <v>8250557.7000000002</v>
      </c>
      <c r="N152" s="4">
        <f t="shared" si="2"/>
        <v>18397618.857793853</v>
      </c>
      <c r="O152" s="9">
        <f>N152/Processed!$V$20</f>
        <v>169.54795954251534</v>
      </c>
      <c r="P152" s="9">
        <f>Raw!Z137*-293/Processed!$V$20</f>
        <v>71.859768144355385</v>
      </c>
      <c r="Q152" s="12">
        <f>((L152*Processed!$V$21)+(Table3[[#This Row],[Natural Gas kWh]]*Processed!$V$22))/Processed!$V$20</f>
        <v>30.34385559349354</v>
      </c>
      <c r="R152" s="10">
        <f>1-(O152/Processed!$V$23)</f>
        <v>0.214831919639623</v>
      </c>
      <c r="S152" s="11">
        <f>1-(Processed!Q152/Processed!$V$24)</f>
        <v>0.21891535640492732</v>
      </c>
    </row>
    <row r="153" spans="2:19">
      <c r="B153" s="1" t="s">
        <v>199</v>
      </c>
      <c r="C153">
        <v>72</v>
      </c>
      <c r="D153">
        <f>VLOOKUP(MID($B153,2,1),Table2[],2,FALSE)</f>
        <v>15</v>
      </c>
      <c r="E153">
        <f>VLOOKUP(MID($B153,3,1),Table2[],3,FALSE)</f>
        <v>4</v>
      </c>
      <c r="F153" t="str">
        <f>VLOOKUP(MID($B153,4,1),Table2[],4,FALSE)</f>
        <v>Improved</v>
      </c>
      <c r="G153" s="7">
        <f>VLOOKUP(MID($B153,5,1),Table2[],5,FALSE)</f>
        <v>0.25</v>
      </c>
      <c r="H153" s="7">
        <f>VLOOKUP(MID($B153,6,1),Table2[],6,FALSE)</f>
        <v>0.75</v>
      </c>
      <c r="I153" t="s">
        <v>19</v>
      </c>
      <c r="J153" t="s">
        <v>16</v>
      </c>
      <c r="K153" t="s">
        <v>18</v>
      </c>
      <c r="L153" s="4">
        <f>SUM(Raw!AE138:AP138)*293</f>
        <v>10485427.129709477</v>
      </c>
      <c r="M153" s="4">
        <f>SUM(Raw!AQ138:BB138)*293</f>
        <v>4680440.6000000006</v>
      </c>
      <c r="N153" s="4">
        <f t="shared" si="2"/>
        <v>15165867.729709476</v>
      </c>
      <c r="O153" s="9">
        <f>N153/Processed!$V$20</f>
        <v>139.76493089346798</v>
      </c>
      <c r="P153" s="9">
        <f>Raw!Z138*-293/Processed!$V$20</f>
        <v>39.881507660930644</v>
      </c>
      <c r="Q153" s="12">
        <f>((L153*Processed!$V$21)+(Table3[[#This Row],[Natural Gas kWh]]*Processed!$V$22))/Processed!$V$20</f>
        <v>24.622714187970026</v>
      </c>
      <c r="R153" s="10">
        <f>1-(O153/Processed!$V$23)</f>
        <v>0.35275562862903587</v>
      </c>
      <c r="S153" s="11">
        <f>1-(Processed!Q153/Processed!$V$24)</f>
        <v>0.36618390907522624</v>
      </c>
    </row>
    <row r="154" spans="2:19">
      <c r="B154" s="1" t="s">
        <v>201</v>
      </c>
      <c r="C154">
        <v>72</v>
      </c>
      <c r="D154">
        <f>VLOOKUP(MID($B154,2,1),Table2[],2,FALSE)</f>
        <v>15</v>
      </c>
      <c r="E154">
        <f>VLOOKUP(MID($B154,3,1),Table2[],3,FALSE)</f>
        <v>5.5</v>
      </c>
      <c r="F154" t="str">
        <f>VLOOKUP(MID($B154,4,1),Table2[],4,FALSE)</f>
        <v>Current</v>
      </c>
      <c r="G154" s="7" t="str">
        <f>VLOOKUP(MID($B154,5,1),Table2[],5,FALSE)</f>
        <v>Current</v>
      </c>
      <c r="H154" s="7" t="str">
        <f>VLOOKUP(MID($B154,6,1),Table2[],6,FALSE)</f>
        <v>None</v>
      </c>
      <c r="I154" t="s">
        <v>19</v>
      </c>
      <c r="J154" t="s">
        <v>16</v>
      </c>
      <c r="K154" t="s">
        <v>18</v>
      </c>
      <c r="L154" s="4">
        <f>SUM(Raw!AE139:AP139)*293</f>
        <v>10685236.11312533</v>
      </c>
      <c r="M154" s="4">
        <f>SUM(Raw!AQ139:BB139)*293</f>
        <v>7801623.1000000006</v>
      </c>
      <c r="N154" s="4">
        <f t="shared" si="2"/>
        <v>18486859.213125329</v>
      </c>
      <c r="O154" s="9">
        <f>N154/Processed!$V$20</f>
        <v>170.37037684946432</v>
      </c>
      <c r="P154" s="9">
        <f>Raw!Z139*-293/Processed!$V$20</f>
        <v>67.486651576553655</v>
      </c>
      <c r="Q154" s="12">
        <f>((L154*Processed!$V$21)+(Table3[[#This Row],[Natural Gas kWh]]*Processed!$V$22))/Processed!$V$20</f>
        <v>30.400921104337932</v>
      </c>
      <c r="R154" s="10">
        <f>1-(O154/Processed!$V$23)</f>
        <v>0.21102334642001819</v>
      </c>
      <c r="S154" s="11">
        <f>1-(Processed!Q154/Processed!$V$24)</f>
        <v>0.21744642658939595</v>
      </c>
    </row>
    <row r="155" spans="2:19">
      <c r="B155" s="1" t="s">
        <v>203</v>
      </c>
      <c r="C155">
        <v>72</v>
      </c>
      <c r="D155">
        <f>VLOOKUP(MID($B155,2,1),Table2[],2,FALSE)</f>
        <v>15</v>
      </c>
      <c r="E155">
        <f>VLOOKUP(MID($B155,3,1),Table2[],3,FALSE)</f>
        <v>5.5</v>
      </c>
      <c r="F155" t="str">
        <f>VLOOKUP(MID($B155,4,1),Table2[],4,FALSE)</f>
        <v>Current</v>
      </c>
      <c r="G155" s="7" t="str">
        <f>VLOOKUP(MID($B155,5,1),Table2[],5,FALSE)</f>
        <v>Current</v>
      </c>
      <c r="H155" s="7">
        <f>VLOOKUP(MID($B155,6,1),Table2[],6,FALSE)</f>
        <v>0.75</v>
      </c>
      <c r="I155" t="s">
        <v>19</v>
      </c>
      <c r="J155" t="s">
        <v>16</v>
      </c>
      <c r="K155" t="s">
        <v>18</v>
      </c>
      <c r="L155" s="4">
        <f>SUM(Raw!AE140:AP140)*293</f>
        <v>11021309.085231271</v>
      </c>
      <c r="M155" s="4">
        <f>SUM(Raw!AQ140:BB140)*293</f>
        <v>4193474.6</v>
      </c>
      <c r="N155" s="4">
        <f t="shared" si="2"/>
        <v>15214783.68523127</v>
      </c>
      <c r="O155" s="9">
        <f>N155/Processed!$V$20</f>
        <v>140.21572838589887</v>
      </c>
      <c r="P155" s="9">
        <f>Raw!Z140*-293/Processed!$V$20</f>
        <v>35.522067689190848</v>
      </c>
      <c r="Q155" s="12">
        <f>((L155*Processed!$V$21)+(Table3[[#This Row],[Natural Gas kWh]]*Processed!$V$22))/Processed!$V$20</f>
        <v>24.609594568574028</v>
      </c>
      <c r="R155" s="10">
        <f>1-(O155/Processed!$V$23)</f>
        <v>0.35066800809548138</v>
      </c>
      <c r="S155" s="11">
        <f>1-(Processed!Q155/Processed!$V$24)</f>
        <v>0.36652162269268174</v>
      </c>
    </row>
    <row r="156" spans="2:19">
      <c r="B156" s="1" t="s">
        <v>205</v>
      </c>
      <c r="C156">
        <v>72</v>
      </c>
      <c r="D156">
        <f>VLOOKUP(MID($B156,2,1),Table2[],2,FALSE)</f>
        <v>15</v>
      </c>
      <c r="E156">
        <f>VLOOKUP(MID($B156,3,1),Table2[],3,FALSE)</f>
        <v>5.5</v>
      </c>
      <c r="F156" t="str">
        <f>VLOOKUP(MID($B156,4,1),Table2[],4,FALSE)</f>
        <v>Current</v>
      </c>
      <c r="G156" s="7">
        <f>VLOOKUP(MID($B156,5,1),Table2[],5,FALSE)</f>
        <v>0.25</v>
      </c>
      <c r="H156" s="7" t="str">
        <f>VLOOKUP(MID($B156,6,1),Table2[],6,FALSE)</f>
        <v>None</v>
      </c>
      <c r="I156" t="s">
        <v>19</v>
      </c>
      <c r="J156" t="s">
        <v>16</v>
      </c>
      <c r="K156" t="s">
        <v>18</v>
      </c>
      <c r="L156" s="4">
        <f>SUM(Raw!AE141:AP141)*293</f>
        <v>10153044.157297267</v>
      </c>
      <c r="M156" s="4">
        <f>SUM(Raw!AQ141:BB141)*293</f>
        <v>8044490.7999999998</v>
      </c>
      <c r="N156" s="4">
        <f t="shared" si="2"/>
        <v>18197534.957297266</v>
      </c>
      <c r="O156" s="9">
        <f>N156/Processed!$V$20</f>
        <v>167.70403521031119</v>
      </c>
      <c r="P156" s="9">
        <f>Raw!Z141*-293/Processed!$V$20</f>
        <v>69.834341223751892</v>
      </c>
      <c r="Q156" s="12">
        <f>((L156*Processed!$V$21)+(Table3[[#This Row],[Natural Gas kWh]]*Processed!$V$22))/Processed!$V$20</f>
        <v>29.992407213147754</v>
      </c>
      <c r="R156" s="10">
        <f>1-(O156/Processed!$V$23)</f>
        <v>0.2233710405594681</v>
      </c>
      <c r="S156" s="11">
        <f>1-(Processed!Q156/Processed!$V$24)</f>
        <v>0.22796202920030262</v>
      </c>
    </row>
    <row r="157" spans="2:19">
      <c r="B157" s="1" t="s">
        <v>207</v>
      </c>
      <c r="C157">
        <v>72</v>
      </c>
      <c r="D157">
        <f>VLOOKUP(MID($B157,2,1),Table2[],2,FALSE)</f>
        <v>15</v>
      </c>
      <c r="E157">
        <f>VLOOKUP(MID($B157,3,1),Table2[],3,FALSE)</f>
        <v>5.5</v>
      </c>
      <c r="F157" t="str">
        <f>VLOOKUP(MID($B157,4,1),Table2[],4,FALSE)</f>
        <v>Current</v>
      </c>
      <c r="G157" s="7">
        <f>VLOOKUP(MID($B157,5,1),Table2[],5,FALSE)</f>
        <v>0.25</v>
      </c>
      <c r="H157" s="7">
        <f>VLOOKUP(MID($B157,6,1),Table2[],6,FALSE)</f>
        <v>0.75</v>
      </c>
      <c r="I157" t="s">
        <v>19</v>
      </c>
      <c r="J157" t="s">
        <v>16</v>
      </c>
      <c r="K157" t="s">
        <v>18</v>
      </c>
      <c r="L157" s="4">
        <f>SUM(Raw!AE142:AP142)*293</f>
        <v>10491290.129222848</v>
      </c>
      <c r="M157" s="4">
        <f>SUM(Raw!AQ142:BB142)*293</f>
        <v>4459489.3</v>
      </c>
      <c r="N157" s="4">
        <f t="shared" si="2"/>
        <v>14950779.429222848</v>
      </c>
      <c r="O157" s="9">
        <f>N157/Processed!$V$20</f>
        <v>137.78272967760105</v>
      </c>
      <c r="P157" s="9">
        <f>Raw!Z142*-293/Processed!$V$20</f>
        <v>37.859226492432221</v>
      </c>
      <c r="Q157" s="12">
        <f>((L157*Processed!$V$21)+(Table3[[#This Row],[Natural Gas kWh]]*Processed!$V$22))/Processed!$V$20</f>
        <v>24.245015317539984</v>
      </c>
      <c r="R157" s="10">
        <f>1-(O157/Processed!$V$23)</f>
        <v>0.36193510284830521</v>
      </c>
      <c r="S157" s="11">
        <f>1-(Processed!Q157/Processed!$V$24)</f>
        <v>0.37590629872630832</v>
      </c>
    </row>
    <row r="158" spans="2:19">
      <c r="B158" s="1" t="s">
        <v>209</v>
      </c>
      <c r="C158">
        <v>72</v>
      </c>
      <c r="D158">
        <f>VLOOKUP(MID($B158,2,1),Table2[],2,FALSE)</f>
        <v>15</v>
      </c>
      <c r="E158">
        <f>VLOOKUP(MID($B158,3,1),Table2[],3,FALSE)</f>
        <v>5.5</v>
      </c>
      <c r="F158" t="str">
        <f>VLOOKUP(MID($B158,4,1),Table2[],4,FALSE)</f>
        <v>Improved</v>
      </c>
      <c r="G158" s="7" t="str">
        <f>VLOOKUP(MID($B158,5,1),Table2[],5,FALSE)</f>
        <v>Current</v>
      </c>
      <c r="H158" s="7" t="str">
        <f>VLOOKUP(MID($B158,6,1),Table2[],6,FALSE)</f>
        <v>None</v>
      </c>
      <c r="I158" t="s">
        <v>19</v>
      </c>
      <c r="J158" t="s">
        <v>16</v>
      </c>
      <c r="K158" t="s">
        <v>18</v>
      </c>
      <c r="L158" s="4">
        <f>SUM(Raw!AE143:AP143)*293</f>
        <v>10683991.113228664</v>
      </c>
      <c r="M158" s="4">
        <f>SUM(Raw!AQ143:BB143)*293</f>
        <v>7595175.2999999998</v>
      </c>
      <c r="N158" s="4">
        <f t="shared" si="2"/>
        <v>18279166.413228665</v>
      </c>
      <c r="O158" s="9">
        <f>N158/Processed!$V$20</f>
        <v>168.45633075978606</v>
      </c>
      <c r="P158" s="9">
        <f>Raw!Z143*-293/Processed!$V$20</f>
        <v>65.545860238766551</v>
      </c>
      <c r="Q158" s="12">
        <f>((L158*Processed!$V$21)+(Table3[[#This Row],[Natural Gas kWh]]*Processed!$V$22))/Processed!$V$20</f>
        <v>30.037481819595165</v>
      </c>
      <c r="R158" s="10">
        <f>1-(O158/Processed!$V$23)</f>
        <v>0.21988719767490228</v>
      </c>
      <c r="S158" s="11">
        <f>1-(Processed!Q158/Processed!$V$24)</f>
        <v>0.22680175862085417</v>
      </c>
    </row>
    <row r="159" spans="2:19">
      <c r="B159" s="1" t="s">
        <v>211</v>
      </c>
      <c r="C159">
        <v>72</v>
      </c>
      <c r="D159">
        <f>VLOOKUP(MID($B159,2,1),Table2[],2,FALSE)</f>
        <v>15</v>
      </c>
      <c r="E159">
        <f>VLOOKUP(MID($B159,3,1),Table2[],3,FALSE)</f>
        <v>5.5</v>
      </c>
      <c r="F159" t="str">
        <f>VLOOKUP(MID($B159,4,1),Table2[],4,FALSE)</f>
        <v>Improved</v>
      </c>
      <c r="G159" s="7" t="str">
        <f>VLOOKUP(MID($B159,5,1),Table2[],5,FALSE)</f>
        <v>Current</v>
      </c>
      <c r="H159" s="7">
        <f>VLOOKUP(MID($B159,6,1),Table2[],6,FALSE)</f>
        <v>0.75</v>
      </c>
      <c r="I159" t="s">
        <v>19</v>
      </c>
      <c r="J159" t="s">
        <v>16</v>
      </c>
      <c r="K159" t="s">
        <v>18</v>
      </c>
      <c r="L159" s="4">
        <f>SUM(Raw!AE144:AP144)*293</f>
        <v>11020493.085298998</v>
      </c>
      <c r="M159" s="4">
        <f>SUM(Raw!AQ144:BB144)*293</f>
        <v>3973197.1999999997</v>
      </c>
      <c r="N159" s="4">
        <f t="shared" si="2"/>
        <v>14993690.285298998</v>
      </c>
      <c r="O159" s="9">
        <f>N159/Processed!$V$20</f>
        <v>138.17818564101512</v>
      </c>
      <c r="P159" s="9">
        <f>Raw!Z144*-293/Processed!$V$20</f>
        <v>33.587443645659498</v>
      </c>
      <c r="Q159" s="12">
        <f>((L159*Processed!$V$21)+(Table3[[#This Row],[Natural Gas kWh]]*Processed!$V$22))/Processed!$V$20</f>
        <v>24.222611848165492</v>
      </c>
      <c r="R159" s="10">
        <f>1-(O159/Processed!$V$23)</f>
        <v>0.36010376615455386</v>
      </c>
      <c r="S159" s="11">
        <f>1-(Processed!Q159/Processed!$V$24)</f>
        <v>0.37648298898367361</v>
      </c>
    </row>
    <row r="160" spans="2:19">
      <c r="B160" s="1" t="s">
        <v>213</v>
      </c>
      <c r="C160">
        <v>72</v>
      </c>
      <c r="D160">
        <f>VLOOKUP(MID($B160,2,1),Table2[],2,FALSE)</f>
        <v>15</v>
      </c>
      <c r="E160">
        <f>VLOOKUP(MID($B160,3,1),Table2[],3,FALSE)</f>
        <v>5.5</v>
      </c>
      <c r="F160" t="str">
        <f>VLOOKUP(MID($B160,4,1),Table2[],4,FALSE)</f>
        <v>Improved</v>
      </c>
      <c r="G160" s="7">
        <f>VLOOKUP(MID($B160,5,1),Table2[],5,FALSE)</f>
        <v>0.25</v>
      </c>
      <c r="H160" s="7" t="str">
        <f>VLOOKUP(MID($B160,6,1),Table2[],6,FALSE)</f>
        <v>None</v>
      </c>
      <c r="I160" t="s">
        <v>19</v>
      </c>
      <c r="J160" t="s">
        <v>16</v>
      </c>
      <c r="K160" t="s">
        <v>18</v>
      </c>
      <c r="L160" s="4">
        <f>SUM(Raw!AE145:AP145)*293</f>
        <v>10156071.157046026</v>
      </c>
      <c r="M160" s="4">
        <f>SUM(Raw!AQ145:BB145)*293</f>
        <v>7843932.2999999998</v>
      </c>
      <c r="N160" s="4">
        <f t="shared" si="2"/>
        <v>18000003.457046025</v>
      </c>
      <c r="O160" s="9">
        <f>N160/Processed!$V$20</f>
        <v>165.88363317503465</v>
      </c>
      <c r="P160" s="9">
        <f>Raw!Z145*-293/Processed!$V$20</f>
        <v>67.828031835254706</v>
      </c>
      <c r="Q160" s="12">
        <f>((L160*Processed!$V$21)+(Table3[[#This Row],[Natural Gas kWh]]*Processed!$V$22))/Processed!$V$20</f>
        <v>29.64597290464576</v>
      </c>
      <c r="R160" s="10">
        <f>1-(O160/Processed!$V$23)</f>
        <v>0.23180123090430549</v>
      </c>
      <c r="S160" s="11">
        <f>1-(Processed!Q160/Processed!$V$24)</f>
        <v>0.23687963420114533</v>
      </c>
    </row>
    <row r="161" spans="1:19">
      <c r="B161" s="1" t="s">
        <v>215</v>
      </c>
      <c r="C161">
        <v>72</v>
      </c>
      <c r="D161">
        <f>VLOOKUP(MID($B161,2,1),Table2[],2,FALSE)</f>
        <v>15</v>
      </c>
      <c r="E161">
        <f>VLOOKUP(MID($B161,3,1),Table2[],3,FALSE)</f>
        <v>5.5</v>
      </c>
      <c r="F161" t="str">
        <f>VLOOKUP(MID($B161,4,1),Table2[],4,FALSE)</f>
        <v>Improved</v>
      </c>
      <c r="G161" s="7">
        <f>VLOOKUP(MID($B161,5,1),Table2[],5,FALSE)</f>
        <v>0.25</v>
      </c>
      <c r="H161" s="7">
        <f>VLOOKUP(MID($B161,6,1),Table2[],6,FALSE)</f>
        <v>0.75</v>
      </c>
      <c r="I161" t="s">
        <v>19</v>
      </c>
      <c r="J161" t="s">
        <v>16</v>
      </c>
      <c r="K161" t="s">
        <v>18</v>
      </c>
      <c r="L161" s="4">
        <f>SUM(Raw!AE146:AP146)*293</f>
        <v>10494565.128951022</v>
      </c>
      <c r="M161" s="4">
        <f>SUM(Raw!AQ146:BB146)*293</f>
        <v>4241995.3999999994</v>
      </c>
      <c r="N161" s="4">
        <f t="shared" si="2"/>
        <v>14736560.528951023</v>
      </c>
      <c r="O161" s="9">
        <f>N161/Processed!$V$20</f>
        <v>135.80854064165726</v>
      </c>
      <c r="P161" s="9">
        <f>Raw!Z146*-293/Processed!$V$20</f>
        <v>35.857577677440048</v>
      </c>
      <c r="Q161" s="12">
        <f>((L161*Processed!$V$21)+(Table3[[#This Row],[Natural Gas kWh]]*Processed!$V$22))/Processed!$V$20</f>
        <v>23.869315768767084</v>
      </c>
      <c r="R161" s="10">
        <f>1-(O161/Processed!$V$23)</f>
        <v>0.37107747306498606</v>
      </c>
      <c r="S161" s="11">
        <f>1-(Processed!Q161/Processed!$V$24)</f>
        <v>0.38557722361085178</v>
      </c>
    </row>
    <row r="162" spans="1:19">
      <c r="A162" t="s">
        <v>72</v>
      </c>
      <c r="B162" s="1" t="s">
        <v>73</v>
      </c>
      <c r="C162">
        <v>72</v>
      </c>
      <c r="D162">
        <f>VLOOKUP(MID($B162,2,1),Table2[],2,FALSE)</f>
        <v>5</v>
      </c>
      <c r="E162">
        <f>VLOOKUP(MID($B162,3,1),Table2[],3,FALSE)</f>
        <v>2.8</v>
      </c>
      <c r="F162" t="str">
        <f>VLOOKUP(MID($B162,4,1),Table2[],4,FALSE)</f>
        <v>Current</v>
      </c>
      <c r="G162" s="7" t="str">
        <f>VLOOKUP(MID($B162,5,1),Table2[],5,FALSE)</f>
        <v>Current</v>
      </c>
      <c r="H162" s="7" t="str">
        <f>VLOOKUP(MID($B162,6,1),Table2[],6,FALSE)</f>
        <v>None</v>
      </c>
      <c r="I162" t="s">
        <v>19</v>
      </c>
      <c r="J162" t="s">
        <v>20</v>
      </c>
      <c r="K162" t="s">
        <v>18</v>
      </c>
      <c r="L162" s="4">
        <f>SUM(Raw!AE147:AP147)*293</f>
        <v>13744396.859214965</v>
      </c>
      <c r="M162" s="4">
        <f>SUM(Raw!AQ147:BB147)*293</f>
        <v>2526392.5</v>
      </c>
      <c r="N162" s="4">
        <f t="shared" si="2"/>
        <v>16270789.359214965</v>
      </c>
      <c r="O162" s="9">
        <f>N162/Processed!$V$20</f>
        <v>149.94761861980297</v>
      </c>
      <c r="P162" s="9">
        <f>Raw!Z147*-293/Processed!$V$20</f>
        <v>84.825046200238859</v>
      </c>
      <c r="Q162" s="12">
        <f>((L162*Processed!$V$21)+(Table3[[#This Row],[Natural Gas kWh]]*Processed!$V$22))/Processed!$V$20</f>
        <v>25.956747483407714</v>
      </c>
      <c r="R162" s="10">
        <f>1-(O162/Processed!$V$23)</f>
        <v>0.30560011347822824</v>
      </c>
      <c r="S162" s="11">
        <f>1-(Processed!Q162/Processed!$V$24)</f>
        <v>0.33184440604469057</v>
      </c>
    </row>
    <row r="163" spans="1:19">
      <c r="B163" s="1" t="s">
        <v>75</v>
      </c>
      <c r="C163">
        <v>72</v>
      </c>
      <c r="D163">
        <f>VLOOKUP(MID($B163,2,1),Table2[],2,FALSE)</f>
        <v>5</v>
      </c>
      <c r="E163">
        <f>VLOOKUP(MID($B163,3,1),Table2[],3,FALSE)</f>
        <v>2.8</v>
      </c>
      <c r="F163" t="str">
        <f>VLOOKUP(MID($B163,4,1),Table2[],4,FALSE)</f>
        <v>Current</v>
      </c>
      <c r="G163" s="7" t="str">
        <f>VLOOKUP(MID($B163,5,1),Table2[],5,FALSE)</f>
        <v>Current</v>
      </c>
      <c r="H163" s="7">
        <f>VLOOKUP(MID($B163,6,1),Table2[],6,FALSE)</f>
        <v>0.75</v>
      </c>
      <c r="I163" t="s">
        <v>19</v>
      </c>
      <c r="J163" t="s">
        <v>20</v>
      </c>
      <c r="K163" t="s">
        <v>18</v>
      </c>
      <c r="L163" s="4">
        <f>SUM(Raw!AE148:AP148)*293</f>
        <v>12909240.928532917</v>
      </c>
      <c r="M163" s="4">
        <f>SUM(Raw!AQ148:BB148)*293</f>
        <v>1888326.4000000001</v>
      </c>
      <c r="N163" s="4">
        <f t="shared" si="2"/>
        <v>14797567.328532917</v>
      </c>
      <c r="O163" s="9">
        <f>N163/Processed!$V$20</f>
        <v>136.37076439829016</v>
      </c>
      <c r="P163" s="9">
        <f>Raw!Z148*-293/Processed!$V$20</f>
        <v>55.018464458247216</v>
      </c>
      <c r="Q163" s="12">
        <f>((L163*Processed!$V$21)+(Table3[[#This Row],[Natural Gas kWh]]*Processed!$V$22))/Processed!$V$20</f>
        <v>23.531077040699987</v>
      </c>
      <c r="R163" s="10">
        <f>1-(O163/Processed!$V$23)</f>
        <v>0.36847384310140774</v>
      </c>
      <c r="S163" s="11">
        <f>1-(Processed!Q163/Processed!$V$24)</f>
        <v>0.3942838652420817</v>
      </c>
    </row>
    <row r="164" spans="1:19">
      <c r="B164" s="1" t="s">
        <v>77</v>
      </c>
      <c r="C164">
        <v>72</v>
      </c>
      <c r="D164">
        <f>VLOOKUP(MID($B164,2,1),Table2[],2,FALSE)</f>
        <v>5</v>
      </c>
      <c r="E164">
        <f>VLOOKUP(MID($B164,3,1),Table2[],3,FALSE)</f>
        <v>2.8</v>
      </c>
      <c r="F164" t="str">
        <f>VLOOKUP(MID($B164,4,1),Table2[],4,FALSE)</f>
        <v>Current</v>
      </c>
      <c r="G164" s="7">
        <f>VLOOKUP(MID($B164,5,1),Table2[],5,FALSE)</f>
        <v>0.25</v>
      </c>
      <c r="H164" s="7" t="str">
        <f>VLOOKUP(MID($B164,6,1),Table2[],6,FALSE)</f>
        <v>None</v>
      </c>
      <c r="I164" t="s">
        <v>19</v>
      </c>
      <c r="J164" t="s">
        <v>20</v>
      </c>
      <c r="K164" t="s">
        <v>18</v>
      </c>
      <c r="L164" s="4">
        <f>SUM(Raw!AE149:AP149)*293</f>
        <v>13318036.894602846</v>
      </c>
      <c r="M164" s="4">
        <f>SUM(Raw!AQ149:BB149)*293</f>
        <v>2560790.6999999997</v>
      </c>
      <c r="N164" s="4">
        <f t="shared" si="2"/>
        <v>15878827.594602846</v>
      </c>
      <c r="O164" s="9">
        <f>N164/Processed!$V$20</f>
        <v>146.33539478136231</v>
      </c>
      <c r="P164" s="9">
        <f>Raw!Z149*-293/Processed!$V$20</f>
        <v>87.487254353398939</v>
      </c>
      <c r="Q164" s="12">
        <f>((L164*Processed!$V$21)+(Table3[[#This Row],[Natural Gas kWh]]*Processed!$V$22))/Processed!$V$20</f>
        <v>25.349009538978109</v>
      </c>
      <c r="R164" s="10">
        <f>1-(O164/Processed!$V$23)</f>
        <v>0.32232814054923076</v>
      </c>
      <c r="S164" s="11">
        <f>1-(Processed!Q164/Processed!$V$24)</f>
        <v>0.34748825770557801</v>
      </c>
    </row>
    <row r="165" spans="1:19">
      <c r="B165" s="1" t="s">
        <v>79</v>
      </c>
      <c r="C165">
        <v>72</v>
      </c>
      <c r="D165">
        <f>VLOOKUP(MID($B165,2,1),Table2[],2,FALSE)</f>
        <v>5</v>
      </c>
      <c r="E165">
        <f>VLOOKUP(MID($B165,3,1),Table2[],3,FALSE)</f>
        <v>2.8</v>
      </c>
      <c r="F165" t="str">
        <f>VLOOKUP(MID($B165,4,1),Table2[],4,FALSE)</f>
        <v>Current</v>
      </c>
      <c r="G165" s="7">
        <f>VLOOKUP(MID($B165,5,1),Table2[],5,FALSE)</f>
        <v>0.25</v>
      </c>
      <c r="H165" s="7">
        <f>VLOOKUP(MID($B165,6,1),Table2[],6,FALSE)</f>
        <v>0.75</v>
      </c>
      <c r="I165" t="s">
        <v>19</v>
      </c>
      <c r="J165" t="s">
        <v>20</v>
      </c>
      <c r="K165" t="s">
        <v>18</v>
      </c>
      <c r="L165" s="4">
        <f>SUM(Raw!AE150:AP150)*293</f>
        <v>12496479.96279208</v>
      </c>
      <c r="M165" s="4">
        <f>SUM(Raw!AQ150:BB150)*293</f>
        <v>1909158.7</v>
      </c>
      <c r="N165" s="4">
        <f t="shared" si="2"/>
        <v>14405638.662792079</v>
      </c>
      <c r="O165" s="9">
        <f>N165/Processed!$V$20</f>
        <v>132.7588455909588</v>
      </c>
      <c r="P165" s="9">
        <f>Raw!Z150*-293/Processed!$V$20</f>
        <v>57.751958324346049</v>
      </c>
      <c r="Q165" s="12">
        <f>((L165*Processed!$V$21)+(Table3[[#This Row],[Natural Gas kWh]]*Processed!$V$22))/Processed!$V$20</f>
        <v>22.920890551173315</v>
      </c>
      <c r="R165" s="10">
        <f>1-(O165/Processed!$V$23)</f>
        <v>0.38520045758867183</v>
      </c>
      <c r="S165" s="11">
        <f>1-(Processed!Q165/Processed!$V$24)</f>
        <v>0.40999074518125023</v>
      </c>
    </row>
    <row r="166" spans="1:19">
      <c r="B166" s="1" t="s">
        <v>81</v>
      </c>
      <c r="C166">
        <v>72</v>
      </c>
      <c r="D166">
        <f>VLOOKUP(MID($B166,2,1),Table2[],2,FALSE)</f>
        <v>5</v>
      </c>
      <c r="E166">
        <f>VLOOKUP(MID($B166,3,1),Table2[],3,FALSE)</f>
        <v>2.8</v>
      </c>
      <c r="F166" t="str">
        <f>VLOOKUP(MID($B166,4,1),Table2[],4,FALSE)</f>
        <v>Improved</v>
      </c>
      <c r="G166" s="7" t="str">
        <f>VLOOKUP(MID($B166,5,1),Table2[],5,FALSE)</f>
        <v>Current</v>
      </c>
      <c r="H166" s="7" t="str">
        <f>VLOOKUP(MID($B166,6,1),Table2[],6,FALSE)</f>
        <v>None</v>
      </c>
      <c r="I166" t="s">
        <v>19</v>
      </c>
      <c r="J166" t="s">
        <v>20</v>
      </c>
      <c r="K166" t="s">
        <v>18</v>
      </c>
      <c r="L166" s="4">
        <f>SUM(Raw!AE151:AP151)*293</f>
        <v>13679403.864609385</v>
      </c>
      <c r="M166" s="4">
        <f>SUM(Raw!AQ151:BB151)*293</f>
        <v>2481915.1</v>
      </c>
      <c r="N166" s="4">
        <f t="shared" si="2"/>
        <v>16161318.964609385</v>
      </c>
      <c r="O166" s="9">
        <f>N166/Processed!$V$20</f>
        <v>148.93876621454581</v>
      </c>
      <c r="P166" s="9">
        <f>Raw!Z151*-293/Processed!$V$20</f>
        <v>83.017969578539876</v>
      </c>
      <c r="Q166" s="12">
        <f>((L166*Processed!$V$21)+(Table3[[#This Row],[Natural Gas kWh]]*Processed!$V$22))/Processed!$V$20</f>
        <v>25.777044717526039</v>
      </c>
      <c r="R166" s="10">
        <f>1-(O166/Processed!$V$23)</f>
        <v>0.31027205826918913</v>
      </c>
      <c r="S166" s="11">
        <f>1-(Processed!Q166/Processed!$V$24)</f>
        <v>0.33647015541293612</v>
      </c>
    </row>
    <row r="167" spans="1:19">
      <c r="B167" s="1" t="s">
        <v>83</v>
      </c>
      <c r="C167">
        <v>72</v>
      </c>
      <c r="D167">
        <f>VLOOKUP(MID($B167,2,1),Table2[],2,FALSE)</f>
        <v>5</v>
      </c>
      <c r="E167">
        <f>VLOOKUP(MID($B167,3,1),Table2[],3,FALSE)</f>
        <v>2.8</v>
      </c>
      <c r="F167" t="str">
        <f>VLOOKUP(MID($B167,4,1),Table2[],4,FALSE)</f>
        <v>Improved</v>
      </c>
      <c r="G167" s="7" t="str">
        <f>VLOOKUP(MID($B167,5,1),Table2[],5,FALSE)</f>
        <v>Current</v>
      </c>
      <c r="H167" s="7">
        <f>VLOOKUP(MID($B167,6,1),Table2[],6,FALSE)</f>
        <v>0.75</v>
      </c>
      <c r="I167" t="s">
        <v>19</v>
      </c>
      <c r="J167" t="s">
        <v>20</v>
      </c>
      <c r="K167" t="s">
        <v>18</v>
      </c>
      <c r="L167" s="4">
        <f>SUM(Raw!AE152:AP152)*293</f>
        <v>12830658.93505522</v>
      </c>
      <c r="M167" s="4">
        <f>SUM(Raw!AQ152:BB152)*293</f>
        <v>1863743.7</v>
      </c>
      <c r="N167" s="4">
        <f t="shared" si="2"/>
        <v>14694402.63505522</v>
      </c>
      <c r="O167" s="9">
        <f>N167/Processed!$V$20</f>
        <v>135.42002379369487</v>
      </c>
      <c r="P167" s="9">
        <f>Raw!Z152*-293/Processed!$V$20</f>
        <v>53.049280345022567</v>
      </c>
      <c r="Q167" s="12">
        <f>((L167*Processed!$V$21)+(Table3[[#This Row],[Natural Gas kWh]]*Processed!$V$22))/Processed!$V$20</f>
        <v>23.36492017480094</v>
      </c>
      <c r="R167" s="10">
        <f>1-(O167/Processed!$V$23)</f>
        <v>0.37287667506379163</v>
      </c>
      <c r="S167" s="11">
        <f>1-(Processed!Q167/Processed!$V$24)</f>
        <v>0.39856092805572951</v>
      </c>
    </row>
    <row r="168" spans="1:19">
      <c r="B168" s="1" t="s">
        <v>85</v>
      </c>
      <c r="C168">
        <v>72</v>
      </c>
      <c r="D168">
        <f>VLOOKUP(MID($B168,2,1),Table2[],2,FALSE)</f>
        <v>5</v>
      </c>
      <c r="E168">
        <f>VLOOKUP(MID($B168,3,1),Table2[],3,FALSE)</f>
        <v>2.8</v>
      </c>
      <c r="F168" t="str">
        <f>VLOOKUP(MID($B168,4,1),Table2[],4,FALSE)</f>
        <v>Improved</v>
      </c>
      <c r="G168" s="7">
        <f>VLOOKUP(MID($B168,5,1),Table2[],5,FALSE)</f>
        <v>0.25</v>
      </c>
      <c r="H168" s="7" t="str">
        <f>VLOOKUP(MID($B168,6,1),Table2[],6,FALSE)</f>
        <v>None</v>
      </c>
      <c r="I168" t="s">
        <v>19</v>
      </c>
      <c r="J168" t="s">
        <v>20</v>
      </c>
      <c r="K168" t="s">
        <v>18</v>
      </c>
      <c r="L168" s="4">
        <f>SUM(Raw!AE153:AP153)*293</f>
        <v>13244351.900718702</v>
      </c>
      <c r="M168" s="4">
        <f>SUM(Raw!AQ153:BB153)*293</f>
        <v>2523726.1999999997</v>
      </c>
      <c r="N168" s="4">
        <f t="shared" si="2"/>
        <v>15768078.100718701</v>
      </c>
      <c r="O168" s="9">
        <f>N168/Processed!$V$20</f>
        <v>145.31475450972911</v>
      </c>
      <c r="P168" s="9">
        <f>Raw!Z153*-293/Processed!$V$20</f>
        <v>85.589212841643899</v>
      </c>
      <c r="Q168" s="12">
        <f>((L168*Processed!$V$21)+(Table3[[#This Row],[Natural Gas kWh]]*Processed!$V$22))/Processed!$V$20</f>
        <v>25.168669145310503</v>
      </c>
      <c r="R168" s="10">
        <f>1-(O168/Processed!$V$23)</f>
        <v>0.32705467435700442</v>
      </c>
      <c r="S168" s="11">
        <f>1-(Processed!Q168/Processed!$V$24)</f>
        <v>0.35213042032329955</v>
      </c>
    </row>
    <row r="169" spans="1:19">
      <c r="B169" s="1" t="s">
        <v>87</v>
      </c>
      <c r="C169">
        <v>72</v>
      </c>
      <c r="D169">
        <f>VLOOKUP(MID($B169,2,1),Table2[],2,FALSE)</f>
        <v>5</v>
      </c>
      <c r="E169">
        <f>VLOOKUP(MID($B169,3,1),Table2[],3,FALSE)</f>
        <v>2.8</v>
      </c>
      <c r="F169" t="str">
        <f>VLOOKUP(MID($B169,4,1),Table2[],4,FALSE)</f>
        <v>Improved</v>
      </c>
      <c r="G169" s="7">
        <f>VLOOKUP(MID($B169,5,1),Table2[],5,FALSE)</f>
        <v>0.25</v>
      </c>
      <c r="H169" s="7">
        <f>VLOOKUP(MID($B169,6,1),Table2[],6,FALSE)</f>
        <v>0.75</v>
      </c>
      <c r="I169" t="s">
        <v>19</v>
      </c>
      <c r="J169" t="s">
        <v>20</v>
      </c>
      <c r="K169" t="s">
        <v>18</v>
      </c>
      <c r="L169" s="4">
        <f>SUM(Raw!AE154:AP154)*293</f>
        <v>12418092.969298197</v>
      </c>
      <c r="M169" s="4">
        <f>SUM(Raw!AQ154:BB154)*293</f>
        <v>1883433.3</v>
      </c>
      <c r="N169" s="4">
        <f t="shared" si="2"/>
        <v>14301526.269298198</v>
      </c>
      <c r="O169" s="9">
        <f>N169/Processed!$V$20</f>
        <v>131.79937121460509</v>
      </c>
      <c r="P169" s="9">
        <f>Raw!Z154*-293/Processed!$V$20</f>
        <v>55.754211322050715</v>
      </c>
      <c r="Q169" s="12">
        <f>((L169*Processed!$V$21)+(Table3[[#This Row],[Natural Gas kWh]]*Processed!$V$22))/Processed!$V$20</f>
        <v>22.753038327196197</v>
      </c>
      <c r="R169" s="10">
        <f>1-(O169/Processed!$V$23)</f>
        <v>0.38964373520917139</v>
      </c>
      <c r="S169" s="11">
        <f>1-(Processed!Q169/Processed!$V$24)</f>
        <v>0.4143114484003203</v>
      </c>
    </row>
    <row r="170" spans="1:19">
      <c r="B170" s="1" t="s">
        <v>89</v>
      </c>
      <c r="C170">
        <v>72</v>
      </c>
      <c r="D170">
        <f>VLOOKUP(MID($B170,2,1),Table2[],2,FALSE)</f>
        <v>5</v>
      </c>
      <c r="E170">
        <f>VLOOKUP(MID($B170,3,1),Table2[],3,FALSE)</f>
        <v>4</v>
      </c>
      <c r="F170" t="str">
        <f>VLOOKUP(MID($B170,4,1),Table2[],4,FALSE)</f>
        <v>Current</v>
      </c>
      <c r="G170" s="7" t="str">
        <f>VLOOKUP(MID($B170,5,1),Table2[],5,FALSE)</f>
        <v>Current</v>
      </c>
      <c r="H170" s="7" t="str">
        <f>VLOOKUP(MID($B170,6,1),Table2[],6,FALSE)</f>
        <v>None</v>
      </c>
      <c r="I170" t="s">
        <v>19</v>
      </c>
      <c r="J170" t="s">
        <v>20</v>
      </c>
      <c r="K170" t="s">
        <v>18</v>
      </c>
      <c r="L170" s="4">
        <f>SUM(Raw!AE155:AP155)*293</f>
        <v>13486254.880640753</v>
      </c>
      <c r="M170" s="4">
        <f>SUM(Raw!AQ155:BB155)*293</f>
        <v>2403332.5</v>
      </c>
      <c r="N170" s="4">
        <f t="shared" si="2"/>
        <v>15889587.380640753</v>
      </c>
      <c r="O170" s="9">
        <f>N170/Processed!$V$20</f>
        <v>146.43455434010426</v>
      </c>
      <c r="P170" s="9">
        <f>Raw!Z155*-293/Processed!$V$20</f>
        <v>77.765862367173781</v>
      </c>
      <c r="Q170" s="12">
        <f>((L170*Processed!$V$21)+(Table3[[#This Row],[Natural Gas kWh]]*Processed!$V$22))/Processed!$V$20</f>
        <v>25.33684473810569</v>
      </c>
      <c r="R170" s="10">
        <f>1-(O170/Processed!$V$23)</f>
        <v>0.32186893761575475</v>
      </c>
      <c r="S170" s="11">
        <f>1-(Processed!Q170/Processed!$V$24)</f>
        <v>0.34780139323064541</v>
      </c>
    </row>
    <row r="171" spans="1:19">
      <c r="B171" s="1" t="s">
        <v>91</v>
      </c>
      <c r="C171">
        <v>72</v>
      </c>
      <c r="D171">
        <f>VLOOKUP(MID($B171,2,1),Table2[],2,FALSE)</f>
        <v>5</v>
      </c>
      <c r="E171">
        <f>VLOOKUP(MID($B171,3,1),Table2[],3,FALSE)</f>
        <v>4</v>
      </c>
      <c r="F171" t="str">
        <f>VLOOKUP(MID($B171,4,1),Table2[],4,FALSE)</f>
        <v>Current</v>
      </c>
      <c r="G171" s="7" t="str">
        <f>VLOOKUP(MID($B171,5,1),Table2[],5,FALSE)</f>
        <v>Current</v>
      </c>
      <c r="H171" s="7">
        <f>VLOOKUP(MID($B171,6,1),Table2[],6,FALSE)</f>
        <v>0.75</v>
      </c>
      <c r="I171" t="s">
        <v>19</v>
      </c>
      <c r="J171" t="s">
        <v>20</v>
      </c>
      <c r="K171" t="s">
        <v>18</v>
      </c>
      <c r="L171" s="4">
        <f>SUM(Raw!AE156:AP156)*293</f>
        <v>12603050.953946685</v>
      </c>
      <c r="M171" s="4">
        <f>SUM(Raw!AQ156:BB156)*293</f>
        <v>1768753.0999999999</v>
      </c>
      <c r="N171" s="4">
        <f t="shared" si="2"/>
        <v>14371804.053946685</v>
      </c>
      <c r="O171" s="9">
        <f>N171/Processed!$V$20</f>
        <v>132.44703410404861</v>
      </c>
      <c r="P171" s="9">
        <f>Raw!Z156*-293/Processed!$V$20</f>
        <v>47.012509149565126</v>
      </c>
      <c r="Q171" s="12">
        <f>((L171*Processed!$V$21)+(Table3[[#This Row],[Natural Gas kWh]]*Processed!$V$22))/Processed!$V$20</f>
        <v>22.842003724428697</v>
      </c>
      <c r="R171" s="10">
        <f>1-(O171/Processed!$V$23)</f>
        <v>0.38664444091511341</v>
      </c>
      <c r="S171" s="11">
        <f>1-(Processed!Q171/Processed!$V$24)</f>
        <v>0.41202137997524713</v>
      </c>
    </row>
    <row r="172" spans="1:19">
      <c r="B172" s="1" t="s">
        <v>93</v>
      </c>
      <c r="C172">
        <v>72</v>
      </c>
      <c r="D172">
        <f>VLOOKUP(MID($B172,2,1),Table2[],2,FALSE)</f>
        <v>5</v>
      </c>
      <c r="E172">
        <f>VLOOKUP(MID($B172,3,1),Table2[],3,FALSE)</f>
        <v>4</v>
      </c>
      <c r="F172" t="str">
        <f>VLOOKUP(MID($B172,4,1),Table2[],4,FALSE)</f>
        <v>Current</v>
      </c>
      <c r="G172" s="7">
        <f>VLOOKUP(MID($B172,5,1),Table2[],5,FALSE)</f>
        <v>0.25</v>
      </c>
      <c r="H172" s="7" t="str">
        <f>VLOOKUP(MID($B172,6,1),Table2[],6,FALSE)</f>
        <v>None</v>
      </c>
      <c r="I172" t="s">
        <v>19</v>
      </c>
      <c r="J172" t="s">
        <v>20</v>
      </c>
      <c r="K172" t="s">
        <v>18</v>
      </c>
      <c r="L172" s="4">
        <f>SUM(Raw!AE157:AP157)*293</f>
        <v>13051810.916699603</v>
      </c>
      <c r="M172" s="4">
        <f>SUM(Raw!AQ157:BB157)*293</f>
        <v>2429556</v>
      </c>
      <c r="N172" s="4">
        <f t="shared" si="2"/>
        <v>15481366.916699603</v>
      </c>
      <c r="O172" s="9">
        <f>N172/Processed!$V$20</f>
        <v>142.67249430180749</v>
      </c>
      <c r="P172" s="9">
        <f>Raw!Z157*-293/Processed!$V$20</f>
        <v>80.241682682946603</v>
      </c>
      <c r="Q172" s="12">
        <f>((L172*Processed!$V$21)+(Table3[[#This Row],[Natural Gas kWh]]*Processed!$V$22))/Processed!$V$20</f>
        <v>24.702127918949802</v>
      </c>
      <c r="R172" s="10">
        <f>1-(O172/Processed!$V$23)</f>
        <v>0.33929084859858349</v>
      </c>
      <c r="S172" s="11">
        <f>1-(Processed!Q172/Processed!$V$24)</f>
        <v>0.36413971117928734</v>
      </c>
    </row>
    <row r="173" spans="1:19">
      <c r="B173" s="1" t="s">
        <v>95</v>
      </c>
      <c r="C173">
        <v>72</v>
      </c>
      <c r="D173">
        <f>VLOOKUP(MID($B173,2,1),Table2[],2,FALSE)</f>
        <v>5</v>
      </c>
      <c r="E173">
        <f>VLOOKUP(MID($B173,3,1),Table2[],3,FALSE)</f>
        <v>4</v>
      </c>
      <c r="F173" t="str">
        <f>VLOOKUP(MID($B173,4,1),Table2[],4,FALSE)</f>
        <v>Current</v>
      </c>
      <c r="G173" s="7">
        <f>VLOOKUP(MID($B173,5,1),Table2[],5,FALSE)</f>
        <v>0.25</v>
      </c>
      <c r="H173" s="7">
        <f>VLOOKUP(MID($B173,6,1),Table2[],6,FALSE)</f>
        <v>0.75</v>
      </c>
      <c r="I173" t="s">
        <v>19</v>
      </c>
      <c r="J173" t="s">
        <v>20</v>
      </c>
      <c r="K173" t="s">
        <v>18</v>
      </c>
      <c r="L173" s="4">
        <f>SUM(Raw!AE158:AP158)*293</f>
        <v>12180356.989030287</v>
      </c>
      <c r="M173" s="4">
        <f>SUM(Raw!AQ158:BB158)*293</f>
        <v>1795972.8</v>
      </c>
      <c r="N173" s="4">
        <f t="shared" si="2"/>
        <v>13976329.789030287</v>
      </c>
      <c r="O173" s="9">
        <f>N173/Processed!$V$20</f>
        <v>128.80243992115817</v>
      </c>
      <c r="P173" s="9">
        <f>Raw!Z158*-293/Processed!$V$20</f>
        <v>49.607970653553501</v>
      </c>
      <c r="Q173" s="12">
        <f>((L173*Processed!$V$21)+(Table3[[#This Row],[Natural Gas kWh]]*Processed!$V$22))/Processed!$V$20</f>
        <v>22.227439715407019</v>
      </c>
      <c r="R173" s="10">
        <f>1-(O173/Processed!$V$23)</f>
        <v>0.40352237342455843</v>
      </c>
      <c r="S173" s="11">
        <f>1-(Processed!Q173/Processed!$V$24)</f>
        <v>0.42784094214242219</v>
      </c>
    </row>
    <row r="174" spans="1:19">
      <c r="B174" s="1" t="s">
        <v>97</v>
      </c>
      <c r="C174">
        <v>72</v>
      </c>
      <c r="D174">
        <f>VLOOKUP(MID($B174,2,1),Table2[],2,FALSE)</f>
        <v>5</v>
      </c>
      <c r="E174">
        <f>VLOOKUP(MID($B174,3,1),Table2[],3,FALSE)</f>
        <v>4</v>
      </c>
      <c r="F174" t="str">
        <f>VLOOKUP(MID($B174,4,1),Table2[],4,FALSE)</f>
        <v>Improved</v>
      </c>
      <c r="G174" s="7" t="str">
        <f>VLOOKUP(MID($B174,5,1),Table2[],5,FALSE)</f>
        <v>Current</v>
      </c>
      <c r="H174" s="7" t="str">
        <f>VLOOKUP(MID($B174,6,1),Table2[],6,FALSE)</f>
        <v>None</v>
      </c>
      <c r="I174" t="s">
        <v>19</v>
      </c>
      <c r="J174" t="s">
        <v>20</v>
      </c>
      <c r="K174" t="s">
        <v>18</v>
      </c>
      <c r="L174" s="4">
        <f>SUM(Raw!AE159:AP159)*293</f>
        <v>13416056.886467187</v>
      </c>
      <c r="M174" s="4">
        <f>SUM(Raw!AQ159:BB159)*293</f>
        <v>2369930.5</v>
      </c>
      <c r="N174" s="4">
        <f t="shared" si="2"/>
        <v>15785987.386467187</v>
      </c>
      <c r="O174" s="9">
        <f>N174/Processed!$V$20</f>
        <v>145.47980211067085</v>
      </c>
      <c r="P174" s="9">
        <f>Raw!Z159*-293/Processed!$V$20</f>
        <v>75.83941727911558</v>
      </c>
      <c r="Q174" s="12">
        <f>((L174*Processed!$V$21)+(Table3[[#This Row],[Natural Gas kWh]]*Processed!$V$22))/Processed!$V$20</f>
        <v>25.168380365711844</v>
      </c>
      <c r="R174" s="10">
        <f>1-(O174/Processed!$V$23)</f>
        <v>0.32629034721116801</v>
      </c>
      <c r="S174" s="11">
        <f>1-(Processed!Q174/Processed!$V$24)</f>
        <v>0.35213785383184626</v>
      </c>
    </row>
    <row r="175" spans="1:19">
      <c r="B175" s="1" t="s">
        <v>99</v>
      </c>
      <c r="C175">
        <v>72</v>
      </c>
      <c r="D175">
        <f>VLOOKUP(MID($B175,2,1),Table2[],2,FALSE)</f>
        <v>5</v>
      </c>
      <c r="E175">
        <f>VLOOKUP(MID($B175,3,1),Table2[],3,FALSE)</f>
        <v>4</v>
      </c>
      <c r="F175" t="str">
        <f>VLOOKUP(MID($B175,4,1),Table2[],4,FALSE)</f>
        <v>Improved</v>
      </c>
      <c r="G175" s="7" t="str">
        <f>VLOOKUP(MID($B175,5,1),Table2[],5,FALSE)</f>
        <v>Current</v>
      </c>
      <c r="H175" s="7">
        <f>VLOOKUP(MID($B175,6,1),Table2[],6,FALSE)</f>
        <v>0.75</v>
      </c>
      <c r="I175" t="s">
        <v>19</v>
      </c>
      <c r="J175" t="s">
        <v>20</v>
      </c>
      <c r="K175" t="s">
        <v>18</v>
      </c>
      <c r="L175" s="4">
        <f>SUM(Raw!AE160:AP160)*293</f>
        <v>12528921.960099394</v>
      </c>
      <c r="M175" s="4">
        <f>SUM(Raw!AQ160:BB160)*293</f>
        <v>1736904</v>
      </c>
      <c r="N175" s="4">
        <f t="shared" si="2"/>
        <v>14265825.960099394</v>
      </c>
      <c r="O175" s="9">
        <f>N175/Processed!$V$20</f>
        <v>131.4703658891616</v>
      </c>
      <c r="P175" s="9">
        <f>Raw!Z160*-293/Processed!$V$20</f>
        <v>45.040433104576941</v>
      </c>
      <c r="Q175" s="12">
        <f>((L175*Processed!$V$21)+(Table3[[#This Row],[Natural Gas kWh]]*Processed!$V$22))/Processed!$V$20</f>
        <v>22.670099857446051</v>
      </c>
      <c r="R175" s="10">
        <f>1-(O175/Processed!$V$23)</f>
        <v>0.39116734233782002</v>
      </c>
      <c r="S175" s="11">
        <f>1-(Processed!Q175/Processed!$V$24)</f>
        <v>0.41644637699848452</v>
      </c>
    </row>
    <row r="176" spans="1:19">
      <c r="B176" s="1" t="s">
        <v>101</v>
      </c>
      <c r="C176">
        <v>72</v>
      </c>
      <c r="D176">
        <f>VLOOKUP(MID($B176,2,1),Table2[],2,FALSE)</f>
        <v>5</v>
      </c>
      <c r="E176">
        <f>VLOOKUP(MID($B176,3,1),Table2[],3,FALSE)</f>
        <v>4</v>
      </c>
      <c r="F176" t="str">
        <f>VLOOKUP(MID($B176,4,1),Table2[],4,FALSE)</f>
        <v>Improved</v>
      </c>
      <c r="G176" s="7">
        <f>VLOOKUP(MID($B176,5,1),Table2[],5,FALSE)</f>
        <v>0.25</v>
      </c>
      <c r="H176" s="7" t="str">
        <f>VLOOKUP(MID($B176,6,1),Table2[],6,FALSE)</f>
        <v>None</v>
      </c>
      <c r="I176" t="s">
        <v>19</v>
      </c>
      <c r="J176" t="s">
        <v>20</v>
      </c>
      <c r="K176" t="s">
        <v>18</v>
      </c>
      <c r="L176" s="4">
        <f>SUM(Raw!AE161:AP161)*293</f>
        <v>12983109.922401786</v>
      </c>
      <c r="M176" s="4">
        <f>SUM(Raw!AQ161:BB161)*293</f>
        <v>2398498</v>
      </c>
      <c r="N176" s="4">
        <f t="shared" si="2"/>
        <v>15381607.922401786</v>
      </c>
      <c r="O176" s="9">
        <f>N176/Processed!$V$20</f>
        <v>141.7531397885987</v>
      </c>
      <c r="P176" s="9">
        <f>Raw!Z161*-293/Processed!$V$20</f>
        <v>78.304760755259537</v>
      </c>
      <c r="Q176" s="12">
        <f>((L176*Processed!$V$21)+(Table3[[#This Row],[Natural Gas kWh]]*Processed!$V$22))/Processed!$V$20</f>
        <v>24.540113192938012</v>
      </c>
      <c r="R176" s="10">
        <f>1-(O176/Processed!$V$23)</f>
        <v>0.34354833314899935</v>
      </c>
      <c r="S176" s="11">
        <f>1-(Processed!Q176/Processed!$V$24)</f>
        <v>0.36831015069822592</v>
      </c>
    </row>
    <row r="177" spans="2:19">
      <c r="B177" s="1" t="s">
        <v>103</v>
      </c>
      <c r="C177">
        <v>72</v>
      </c>
      <c r="D177">
        <f>VLOOKUP(MID($B177,2,1),Table2[],2,FALSE)</f>
        <v>5</v>
      </c>
      <c r="E177">
        <f>VLOOKUP(MID($B177,3,1),Table2[],3,FALSE)</f>
        <v>4</v>
      </c>
      <c r="F177" t="str">
        <f>VLOOKUP(MID($B177,4,1),Table2[],4,FALSE)</f>
        <v>Improved</v>
      </c>
      <c r="G177" s="7">
        <f>VLOOKUP(MID($B177,5,1),Table2[],5,FALSE)</f>
        <v>0.25</v>
      </c>
      <c r="H177" s="7">
        <f>VLOOKUP(MID($B177,6,1),Table2[],6,FALSE)</f>
        <v>0.75</v>
      </c>
      <c r="I177" t="s">
        <v>19</v>
      </c>
      <c r="J177" t="s">
        <v>20</v>
      </c>
      <c r="K177" t="s">
        <v>18</v>
      </c>
      <c r="L177" s="4">
        <f>SUM(Raw!AE162:AP162)*293</f>
        <v>12103869.995378708</v>
      </c>
      <c r="M177" s="4">
        <f>SUM(Raw!AQ162:BB162)*293</f>
        <v>1765207.8</v>
      </c>
      <c r="N177" s="4">
        <f t="shared" si="2"/>
        <v>13869077.795378709</v>
      </c>
      <c r="O177" s="9">
        <f>N177/Processed!$V$20</f>
        <v>127.81403175697943</v>
      </c>
      <c r="P177" s="9">
        <f>Raw!Z162*-293/Processed!$V$20</f>
        <v>47.601545155751154</v>
      </c>
      <c r="Q177" s="12">
        <f>((L177*Processed!$V$21)+(Table3[[#This Row],[Natural Gas kWh]]*Processed!$V$22))/Processed!$V$20</f>
        <v>22.053739873058326</v>
      </c>
      <c r="R177" s="10">
        <f>1-(O177/Processed!$V$23)</f>
        <v>0.40809964196246817</v>
      </c>
      <c r="S177" s="11">
        <f>1-(Processed!Q177/Processed!$V$24)</f>
        <v>0.43231216957215401</v>
      </c>
    </row>
    <row r="178" spans="2:19">
      <c r="B178" s="1" t="s">
        <v>105</v>
      </c>
      <c r="C178">
        <v>72</v>
      </c>
      <c r="D178">
        <f>VLOOKUP(MID($B178,2,1),Table2[],2,FALSE)</f>
        <v>5</v>
      </c>
      <c r="E178">
        <f>VLOOKUP(MID($B178,3,1),Table2[],3,FALSE)</f>
        <v>5.5</v>
      </c>
      <c r="F178" t="str">
        <f>VLOOKUP(MID($B178,4,1),Table2[],4,FALSE)</f>
        <v>Current</v>
      </c>
      <c r="G178" s="7" t="str">
        <f>VLOOKUP(MID($B178,5,1),Table2[],5,FALSE)</f>
        <v>Current</v>
      </c>
      <c r="H178" s="7" t="str">
        <f>VLOOKUP(MID($B178,6,1),Table2[],6,FALSE)</f>
        <v>None</v>
      </c>
      <c r="I178" t="s">
        <v>19</v>
      </c>
      <c r="J178" t="s">
        <v>20</v>
      </c>
      <c r="K178" t="s">
        <v>18</v>
      </c>
      <c r="L178" s="4">
        <f>SUM(Raw!AE163:AP163)*293</f>
        <v>13356272.891429259</v>
      </c>
      <c r="M178" s="4">
        <f>SUM(Raw!AQ163:BB163)*293</f>
        <v>2339341.3000000003</v>
      </c>
      <c r="N178" s="4">
        <f t="shared" si="2"/>
        <v>15695614.191429259</v>
      </c>
      <c r="O178" s="9">
        <f>N178/Processed!$V$20</f>
        <v>144.64694482982077</v>
      </c>
      <c r="P178" s="9">
        <f>Raw!Z163*-293/Processed!$V$20</f>
        <v>74.117294865768088</v>
      </c>
      <c r="Q178" s="12">
        <f>((L178*Processed!$V$21)+(Table3[[#This Row],[Natural Gas kWh]]*Processed!$V$22))/Processed!$V$20</f>
        <v>25.021156576125811</v>
      </c>
      <c r="R178" s="10">
        <f>1-(O178/Processed!$V$23)</f>
        <v>0.33014726742526967</v>
      </c>
      <c r="S178" s="11">
        <f>1-(Processed!Q178/Processed!$V$24)</f>
        <v>0.35592755817127042</v>
      </c>
    </row>
    <row r="179" spans="2:19">
      <c r="B179" s="1" t="s">
        <v>107</v>
      </c>
      <c r="C179">
        <v>72</v>
      </c>
      <c r="D179">
        <f>VLOOKUP(MID($B179,2,1),Table2[],2,FALSE)</f>
        <v>5</v>
      </c>
      <c r="E179">
        <f>VLOOKUP(MID($B179,3,1),Table2[],3,FALSE)</f>
        <v>5.5</v>
      </c>
      <c r="F179" t="str">
        <f>VLOOKUP(MID($B179,4,1),Table2[],4,FALSE)</f>
        <v>Current</v>
      </c>
      <c r="G179" s="7" t="str">
        <f>VLOOKUP(MID($B179,5,1),Table2[],5,FALSE)</f>
        <v>Current</v>
      </c>
      <c r="H179" s="7">
        <f>VLOOKUP(MID($B179,6,1),Table2[],6,FALSE)</f>
        <v>0.75</v>
      </c>
      <c r="I179" t="s">
        <v>19</v>
      </c>
      <c r="J179" t="s">
        <v>20</v>
      </c>
      <c r="K179" t="s">
        <v>18</v>
      </c>
      <c r="L179" s="4">
        <f>SUM(Raw!AE164:AP164)*293</f>
        <v>12456566.966104856</v>
      </c>
      <c r="M179" s="4">
        <f>SUM(Raw!AQ164:BB164)*293</f>
        <v>1708922.5</v>
      </c>
      <c r="N179" s="4">
        <f t="shared" si="2"/>
        <v>14165489.466104856</v>
      </c>
      <c r="O179" s="9">
        <f>N179/Processed!$V$20</f>
        <v>130.54568927987219</v>
      </c>
      <c r="P179" s="9">
        <f>Raw!Z164*-293/Processed!$V$20</f>
        <v>43.032849213939329</v>
      </c>
      <c r="Q179" s="12">
        <f>((L179*Processed!$V$21)+(Table3[[#This Row],[Natural Gas kWh]]*Processed!$V$22))/Processed!$V$20</f>
        <v>22.507747420544383</v>
      </c>
      <c r="R179" s="10">
        <f>1-(O179/Processed!$V$23)</f>
        <v>0.39544947324773427</v>
      </c>
      <c r="S179" s="11">
        <f>1-(Processed!Q179/Processed!$V$24)</f>
        <v>0.42062550957191136</v>
      </c>
    </row>
    <row r="180" spans="2:19">
      <c r="B180" s="1" t="s">
        <v>109</v>
      </c>
      <c r="C180">
        <v>72</v>
      </c>
      <c r="D180">
        <f>VLOOKUP(MID($B180,2,1),Table2[],2,FALSE)</f>
        <v>5</v>
      </c>
      <c r="E180">
        <f>VLOOKUP(MID($B180,3,1),Table2[],3,FALSE)</f>
        <v>5.5</v>
      </c>
      <c r="F180" t="str">
        <f>VLOOKUP(MID($B180,4,1),Table2[],4,FALSE)</f>
        <v>Current</v>
      </c>
      <c r="G180" s="7">
        <f>VLOOKUP(MID($B180,5,1),Table2[],5,FALSE)</f>
        <v>0.25</v>
      </c>
      <c r="H180" s="7" t="str">
        <f>VLOOKUP(MID($B180,6,1),Table2[],6,FALSE)</f>
        <v>None</v>
      </c>
      <c r="I180" t="s">
        <v>19</v>
      </c>
      <c r="J180" t="s">
        <v>20</v>
      </c>
      <c r="K180" t="s">
        <v>18</v>
      </c>
      <c r="L180" s="4">
        <f>SUM(Raw!AE165:AP165)*293</f>
        <v>12919089.927715447</v>
      </c>
      <c r="M180" s="4">
        <f>SUM(Raw!AQ165:BB165)*293</f>
        <v>2365154.6</v>
      </c>
      <c r="N180" s="4">
        <f t="shared" si="2"/>
        <v>15284244.527715446</v>
      </c>
      <c r="O180" s="9">
        <f>N180/Processed!$V$20</f>
        <v>140.85586253599334</v>
      </c>
      <c r="P180" s="9">
        <f>Raw!Z165*-293/Processed!$V$20</f>
        <v>76.486688852383054</v>
      </c>
      <c r="Q180" s="12">
        <f>((L180*Processed!$V$21)+(Table3[[#This Row],[Natural Gas kWh]]*Processed!$V$22))/Processed!$V$20</f>
        <v>24.381430367470532</v>
      </c>
      <c r="R180" s="10">
        <f>1-(O180/Processed!$V$23)</f>
        <v>0.3477035790150077</v>
      </c>
      <c r="S180" s="11">
        <f>1-(Processed!Q180/Processed!$V$24)</f>
        <v>0.37239482338568441</v>
      </c>
    </row>
    <row r="181" spans="2:19">
      <c r="B181" s="1" t="s">
        <v>111</v>
      </c>
      <c r="C181">
        <v>72</v>
      </c>
      <c r="D181">
        <f>VLOOKUP(MID($B181,2,1),Table2[],2,FALSE)</f>
        <v>5</v>
      </c>
      <c r="E181">
        <f>VLOOKUP(MID($B181,3,1),Table2[],3,FALSE)</f>
        <v>5.5</v>
      </c>
      <c r="F181" t="str">
        <f>VLOOKUP(MID($B181,4,1),Table2[],4,FALSE)</f>
        <v>Current</v>
      </c>
      <c r="G181" s="7">
        <f>VLOOKUP(MID($B181,5,1),Table2[],5,FALSE)</f>
        <v>0.25</v>
      </c>
      <c r="H181" s="7">
        <f>VLOOKUP(MID($B181,6,1),Table2[],6,FALSE)</f>
        <v>0.75</v>
      </c>
      <c r="I181" t="s">
        <v>19</v>
      </c>
      <c r="J181" t="s">
        <v>20</v>
      </c>
      <c r="K181" t="s">
        <v>18</v>
      </c>
      <c r="L181" s="4">
        <f>SUM(Raw!AE166:AP166)*293</f>
        <v>12026932.001764564</v>
      </c>
      <c r="M181" s="4">
        <f>SUM(Raw!AQ166:BB166)*293</f>
        <v>1732655.5</v>
      </c>
      <c r="N181" s="4">
        <f t="shared" si="2"/>
        <v>13759587.501764564</v>
      </c>
      <c r="O181" s="9">
        <f>N181/Processed!$V$20</f>
        <v>126.80499596732207</v>
      </c>
      <c r="P181" s="9">
        <f>Raw!Z166*-293/Processed!$V$20</f>
        <v>45.547720059277331</v>
      </c>
      <c r="Q181" s="12">
        <f>((L181*Processed!$V$21)+(Table3[[#This Row],[Natural Gas kWh]]*Processed!$V$22))/Processed!$V$20</f>
        <v>21.876203907977565</v>
      </c>
      <c r="R181" s="10">
        <f>1-(O181/Processed!$V$23)</f>
        <v>0.41277243599737079</v>
      </c>
      <c r="S181" s="11">
        <f>1-(Processed!Q181/Processed!$V$24)</f>
        <v>0.43688214307414197</v>
      </c>
    </row>
    <row r="182" spans="2:19">
      <c r="B182" s="1" t="s">
        <v>113</v>
      </c>
      <c r="C182">
        <v>72</v>
      </c>
      <c r="D182">
        <f>VLOOKUP(MID($B182,2,1),Table2[],2,FALSE)</f>
        <v>5</v>
      </c>
      <c r="E182">
        <f>VLOOKUP(MID($B182,3,1),Table2[],3,FALSE)</f>
        <v>5.5</v>
      </c>
      <c r="F182" t="str">
        <f>VLOOKUP(MID($B182,4,1),Table2[],4,FALSE)</f>
        <v>Improved</v>
      </c>
      <c r="G182" s="7" t="str">
        <f>VLOOKUP(MID($B182,5,1),Table2[],5,FALSE)</f>
        <v>Current</v>
      </c>
      <c r="H182" s="7" t="str">
        <f>VLOOKUP(MID($B182,6,1),Table2[],6,FALSE)</f>
        <v>None</v>
      </c>
      <c r="I182" t="s">
        <v>19</v>
      </c>
      <c r="J182" t="s">
        <v>20</v>
      </c>
      <c r="K182" t="s">
        <v>18</v>
      </c>
      <c r="L182" s="4">
        <f>SUM(Raw!AE167:AP167)*293</f>
        <v>13274972.89817716</v>
      </c>
      <c r="M182" s="4">
        <f>SUM(Raw!AQ167:BB167)*293</f>
        <v>2312561.1</v>
      </c>
      <c r="N182" s="4">
        <f t="shared" si="2"/>
        <v>15587533.99817716</v>
      </c>
      <c r="O182" s="9">
        <f>N182/Processed!$V$20</f>
        <v>143.6509041805119</v>
      </c>
      <c r="P182" s="9">
        <f>Raw!Z167*-293/Processed!$V$20</f>
        <v>72.056497810551548</v>
      </c>
      <c r="Q182" s="12">
        <f>((L182*Processed!$V$21)+(Table3[[#This Row],[Natural Gas kWh]]*Processed!$V$22))/Processed!$V$20</f>
        <v>24.846893670165578</v>
      </c>
      <c r="R182" s="10">
        <f>1-(O182/Processed!$V$23)</f>
        <v>0.33475988161826231</v>
      </c>
      <c r="S182" s="11">
        <f>1-(Processed!Q182/Processed!$V$24)</f>
        <v>0.360413279485571</v>
      </c>
    </row>
    <row r="183" spans="2:19">
      <c r="B183" s="1" t="s">
        <v>115</v>
      </c>
      <c r="C183">
        <v>72</v>
      </c>
      <c r="D183">
        <f>VLOOKUP(MID($B183,2,1),Table2[],2,FALSE)</f>
        <v>5</v>
      </c>
      <c r="E183">
        <f>VLOOKUP(MID($B183,3,1),Table2[],3,FALSE)</f>
        <v>5.5</v>
      </c>
      <c r="F183" t="str">
        <f>VLOOKUP(MID($B183,4,1),Table2[],4,FALSE)</f>
        <v>Improved</v>
      </c>
      <c r="G183" s="7" t="str">
        <f>VLOOKUP(MID($B183,5,1),Table2[],5,FALSE)</f>
        <v>Current</v>
      </c>
      <c r="H183" s="7">
        <f>VLOOKUP(MID($B183,6,1),Table2[],6,FALSE)</f>
        <v>0.75</v>
      </c>
      <c r="I183" t="s">
        <v>19</v>
      </c>
      <c r="J183" t="s">
        <v>20</v>
      </c>
      <c r="K183" t="s">
        <v>18</v>
      </c>
      <c r="L183" s="4">
        <f>SUM(Raw!AE168:AP168)*293</f>
        <v>12382235.97227433</v>
      </c>
      <c r="M183" s="4">
        <f>SUM(Raw!AQ168:BB168)*293</f>
        <v>1679476</v>
      </c>
      <c r="N183" s="4">
        <f t="shared" si="2"/>
        <v>14061711.97227433</v>
      </c>
      <c r="O183" s="9">
        <f>N183/Processed!$V$20</f>
        <v>129.58930125697606</v>
      </c>
      <c r="P183" s="9">
        <f>Raw!Z168*-293/Processed!$V$20</f>
        <v>41.065800971886439</v>
      </c>
      <c r="Q183" s="12">
        <f>((L183*Processed!$V$21)+(Table3[[#This Row],[Natural Gas kWh]]*Processed!$V$22))/Processed!$V$20</f>
        <v>22.339734021689665</v>
      </c>
      <c r="R183" s="10">
        <f>1-(O183/Processed!$V$23)</f>
        <v>0.39987845812047007</v>
      </c>
      <c r="S183" s="11">
        <f>1-(Processed!Q183/Processed!$V$24)</f>
        <v>0.42495036161186683</v>
      </c>
    </row>
    <row r="184" spans="2:19">
      <c r="B184" s="1" t="s">
        <v>117</v>
      </c>
      <c r="C184">
        <v>72</v>
      </c>
      <c r="D184">
        <f>VLOOKUP(MID($B184,2,1),Table2[],2,FALSE)</f>
        <v>5</v>
      </c>
      <c r="E184">
        <f>VLOOKUP(MID($B184,3,1),Table2[],3,FALSE)</f>
        <v>5.5</v>
      </c>
      <c r="F184" t="str">
        <f>VLOOKUP(MID($B184,4,1),Table2[],4,FALSE)</f>
        <v>Improved</v>
      </c>
      <c r="G184" s="7">
        <f>VLOOKUP(MID($B184,5,1),Table2[],5,FALSE)</f>
        <v>0.25</v>
      </c>
      <c r="H184" s="7" t="str">
        <f>VLOOKUP(MID($B184,6,1),Table2[],6,FALSE)</f>
        <v>None</v>
      </c>
      <c r="I184" t="s">
        <v>19</v>
      </c>
      <c r="J184" t="s">
        <v>20</v>
      </c>
      <c r="K184" t="s">
        <v>18</v>
      </c>
      <c r="L184" s="4">
        <f>SUM(Raw!AE169:AP169)*293</f>
        <v>12848473.933576576</v>
      </c>
      <c r="M184" s="4">
        <f>SUM(Raw!AQ169:BB169)*293</f>
        <v>2335356.5</v>
      </c>
      <c r="N184" s="4">
        <f t="shared" si="2"/>
        <v>15183830.433576576</v>
      </c>
      <c r="O184" s="9">
        <f>N184/Processed!$V$20</f>
        <v>139.93047078273702</v>
      </c>
      <c r="P184" s="9">
        <f>Raw!Z169*-293/Processed!$V$20</f>
        <v>74.593815554816047</v>
      </c>
      <c r="Q184" s="12">
        <f>((L184*Processed!$V$21)+(Table3[[#This Row],[Natural Gas kWh]]*Processed!$V$22))/Processed!$V$20</f>
        <v>24.218621529260993</v>
      </c>
      <c r="R184" s="10">
        <f>1-(O184/Processed!$V$23)</f>
        <v>0.35198902172069479</v>
      </c>
      <c r="S184" s="11">
        <f>1-(Processed!Q184/Processed!$V$24)</f>
        <v>0.3765857042371703</v>
      </c>
    </row>
    <row r="185" spans="2:19">
      <c r="B185" s="1" t="s">
        <v>119</v>
      </c>
      <c r="C185">
        <v>72</v>
      </c>
      <c r="D185">
        <f>VLOOKUP(MID($B185,2,1),Table2[],2,FALSE)</f>
        <v>5</v>
      </c>
      <c r="E185">
        <f>VLOOKUP(MID($B185,3,1),Table2[],3,FALSE)</f>
        <v>5.5</v>
      </c>
      <c r="F185" t="str">
        <f>VLOOKUP(MID($B185,4,1),Table2[],4,FALSE)</f>
        <v>Improved</v>
      </c>
      <c r="G185" s="7">
        <f>VLOOKUP(MID($B185,5,1),Table2[],5,FALSE)</f>
        <v>0.25</v>
      </c>
      <c r="H185" s="7">
        <f>VLOOKUP(MID($B185,6,1),Table2[],6,FALSE)</f>
        <v>0.75</v>
      </c>
      <c r="I185" t="s">
        <v>19</v>
      </c>
      <c r="J185" t="s">
        <v>20</v>
      </c>
      <c r="K185" t="s">
        <v>18</v>
      </c>
      <c r="L185" s="4">
        <f>SUM(Raw!AE170:AP170)*293</f>
        <v>11950833.008080779</v>
      </c>
      <c r="M185" s="4">
        <f>SUM(Raw!AQ170:BB170)*293</f>
        <v>1703384.8</v>
      </c>
      <c r="N185" s="4">
        <f t="shared" si="2"/>
        <v>13654217.808080779</v>
      </c>
      <c r="O185" s="9">
        <f>N185/Processed!$V$20</f>
        <v>125.83393461966635</v>
      </c>
      <c r="P185" s="9">
        <f>Raw!Z170*-293/Processed!$V$20</f>
        <v>43.541488977055721</v>
      </c>
      <c r="Q185" s="12">
        <f>((L185*Processed!$V$21)+(Table3[[#This Row],[Natural Gas kWh]]*Processed!$V$22))/Processed!$V$20</f>
        <v>21.705728446510498</v>
      </c>
      <c r="R185" s="10">
        <f>1-(O185/Processed!$V$23)</f>
        <v>0.41726937229969074</v>
      </c>
      <c r="S185" s="11">
        <f>1-(Processed!Q185/Processed!$V$24)</f>
        <v>0.44127037134827929</v>
      </c>
    </row>
    <row r="186" spans="2:19">
      <c r="B186" s="1" t="s">
        <v>121</v>
      </c>
      <c r="C186">
        <v>72</v>
      </c>
      <c r="D186">
        <f>VLOOKUP(MID($B186,2,1),Table2[],2,FALSE)</f>
        <v>10</v>
      </c>
      <c r="E186">
        <f>VLOOKUP(MID($B186,3,1),Table2[],3,FALSE)</f>
        <v>2.8</v>
      </c>
      <c r="F186" t="str">
        <f>VLOOKUP(MID($B186,4,1),Table2[],4,FALSE)</f>
        <v>Current</v>
      </c>
      <c r="G186" s="7" t="str">
        <f>VLOOKUP(MID($B186,5,1),Table2[],5,FALSE)</f>
        <v>Current</v>
      </c>
      <c r="H186" s="7" t="str">
        <f>VLOOKUP(MID($B186,6,1),Table2[],6,FALSE)</f>
        <v>None</v>
      </c>
      <c r="I186" t="s">
        <v>19</v>
      </c>
      <c r="J186" t="s">
        <v>20</v>
      </c>
      <c r="K186" t="s">
        <v>18</v>
      </c>
      <c r="L186" s="4">
        <f>SUM(Raw!AE171:AP171)*293</f>
        <v>13553195.87508465</v>
      </c>
      <c r="M186" s="4">
        <f>SUM(Raw!AQ171:BB171)*293</f>
        <v>2442067.1</v>
      </c>
      <c r="N186" s="4">
        <f t="shared" si="2"/>
        <v>15995262.975084649</v>
      </c>
      <c r="O186" s="9">
        <f>N186/Processed!$V$20</f>
        <v>147.40843479441179</v>
      </c>
      <c r="P186" s="9">
        <f>Raw!Z171*-293/Processed!$V$20</f>
        <v>79.853105341804024</v>
      </c>
      <c r="Q186" s="12">
        <f>((L186*Processed!$V$21)+(Table3[[#This Row],[Natural Gas kWh]]*Processed!$V$22))/Processed!$V$20</f>
        <v>25.509543787497439</v>
      </c>
      <c r="R186" s="10">
        <f>1-(O186/Processed!$V$23)</f>
        <v>0.31735894617219862</v>
      </c>
      <c r="S186" s="11">
        <f>1-(Processed!Q186/Processed!$V$24)</f>
        <v>0.34335592732642828</v>
      </c>
    </row>
    <row r="187" spans="2:19">
      <c r="B187" s="1" t="s">
        <v>123</v>
      </c>
      <c r="C187">
        <v>72</v>
      </c>
      <c r="D187">
        <f>VLOOKUP(MID($B187,2,1),Table2[],2,FALSE)</f>
        <v>10</v>
      </c>
      <c r="E187">
        <f>VLOOKUP(MID($B187,3,1),Table2[],3,FALSE)</f>
        <v>2.8</v>
      </c>
      <c r="F187" t="str">
        <f>VLOOKUP(MID($B187,4,1),Table2[],4,FALSE)</f>
        <v>Current</v>
      </c>
      <c r="G187" s="7" t="str">
        <f>VLOOKUP(MID($B187,5,1),Table2[],5,FALSE)</f>
        <v>Current</v>
      </c>
      <c r="H187" s="7">
        <f>VLOOKUP(MID($B187,6,1),Table2[],6,FALSE)</f>
        <v>0.75</v>
      </c>
      <c r="I187" t="s">
        <v>19</v>
      </c>
      <c r="J187" t="s">
        <v>20</v>
      </c>
      <c r="K187" t="s">
        <v>18</v>
      </c>
      <c r="L187" s="4">
        <f>SUM(Raw!AE172:AP172)*293</f>
        <v>12684200.947211236</v>
      </c>
      <c r="M187" s="4">
        <f>SUM(Raw!AQ172:BB172)*293</f>
        <v>1807546.3</v>
      </c>
      <c r="N187" s="4">
        <f t="shared" si="2"/>
        <v>14491747.247211237</v>
      </c>
      <c r="O187" s="9">
        <f>N187/Processed!$V$20</f>
        <v>133.55240126249495</v>
      </c>
      <c r="P187" s="9">
        <f>Raw!Z172*-293/Processed!$V$20</f>
        <v>49.395463622936845</v>
      </c>
      <c r="Q187" s="12">
        <f>((L187*Processed!$V$21)+(Table3[[#This Row],[Natural Gas kWh]]*Processed!$V$22))/Processed!$V$20</f>
        <v>23.037066314389637</v>
      </c>
      <c r="R187" s="10">
        <f>1-(O187/Processed!$V$23)</f>
        <v>0.3815255411522821</v>
      </c>
      <c r="S187" s="11">
        <f>1-(Processed!Q187/Processed!$V$24)</f>
        <v>0.40700025162559061</v>
      </c>
    </row>
    <row r="188" spans="2:19">
      <c r="B188" s="1" t="s">
        <v>125</v>
      </c>
      <c r="C188">
        <v>72</v>
      </c>
      <c r="D188">
        <f>VLOOKUP(MID($B188,2,1),Table2[],2,FALSE)</f>
        <v>10</v>
      </c>
      <c r="E188">
        <f>VLOOKUP(MID($B188,3,1),Table2[],3,FALSE)</f>
        <v>2.8</v>
      </c>
      <c r="F188" t="str">
        <f>VLOOKUP(MID($B188,4,1),Table2[],4,FALSE)</f>
        <v>Current</v>
      </c>
      <c r="G188" s="7">
        <f>VLOOKUP(MID($B188,5,1),Table2[],5,FALSE)</f>
        <v>0.25</v>
      </c>
      <c r="H188" s="7" t="str">
        <f>VLOOKUP(MID($B188,6,1),Table2[],6,FALSE)</f>
        <v>None</v>
      </c>
      <c r="I188" t="s">
        <v>19</v>
      </c>
      <c r="J188" t="s">
        <v>20</v>
      </c>
      <c r="K188" t="s">
        <v>18</v>
      </c>
      <c r="L188" s="4">
        <f>SUM(Raw!AE173:AP173)*293</f>
        <v>13120488.910999332</v>
      </c>
      <c r="M188" s="4">
        <f>SUM(Raw!AQ173:BB173)*293</f>
        <v>2467616.6999999997</v>
      </c>
      <c r="N188" s="4">
        <f t="shared" si="2"/>
        <v>15588105.610999331</v>
      </c>
      <c r="O188" s="9">
        <f>N188/Processed!$V$20</f>
        <v>143.65617202459524</v>
      </c>
      <c r="P188" s="9">
        <f>Raw!Z173*-293/Processed!$V$20</f>
        <v>82.356627177616204</v>
      </c>
      <c r="Q188" s="12">
        <f>((L188*Processed!$V$21)+(Table3[[#This Row],[Natural Gas kWh]]*Processed!$V$22))/Processed!$V$20</f>
        <v>24.876368294028826</v>
      </c>
      <c r="R188" s="10">
        <f>1-(O188/Processed!$V$23)</f>
        <v>0.33473548649703699</v>
      </c>
      <c r="S188" s="11">
        <f>1-(Processed!Q188/Processed!$V$24)</f>
        <v>0.3596545698349668</v>
      </c>
    </row>
    <row r="189" spans="2:19">
      <c r="B189" s="1" t="s">
        <v>127</v>
      </c>
      <c r="C189">
        <v>72</v>
      </c>
      <c r="D189">
        <f>VLOOKUP(MID($B189,2,1),Table2[],2,FALSE)</f>
        <v>10</v>
      </c>
      <c r="E189">
        <f>VLOOKUP(MID($B189,3,1),Table2[],3,FALSE)</f>
        <v>2.8</v>
      </c>
      <c r="F189" t="str">
        <f>VLOOKUP(MID($B189,4,1),Table2[],4,FALSE)</f>
        <v>Current</v>
      </c>
      <c r="G189" s="7">
        <f>VLOOKUP(MID($B189,5,1),Table2[],5,FALSE)</f>
        <v>0.25</v>
      </c>
      <c r="H189" s="7">
        <f>VLOOKUP(MID($B189,6,1),Table2[],6,FALSE)</f>
        <v>0.75</v>
      </c>
      <c r="I189" t="s">
        <v>19</v>
      </c>
      <c r="J189" t="s">
        <v>20</v>
      </c>
      <c r="K189" t="s">
        <v>18</v>
      </c>
      <c r="L189" s="4">
        <f>SUM(Raw!AE174:AP174)*293</f>
        <v>12267189.981823148</v>
      </c>
      <c r="M189" s="4">
        <f>SUM(Raw!AQ174:BB174)*293</f>
        <v>1831337.9000000001</v>
      </c>
      <c r="N189" s="4">
        <f t="shared" si="2"/>
        <v>14098527.881823149</v>
      </c>
      <c r="O189" s="9">
        <f>N189/Processed!$V$20</f>
        <v>129.92858768262457</v>
      </c>
      <c r="P189" s="9">
        <f>Raw!Z174*-293/Processed!$V$20</f>
        <v>52.066415076797526</v>
      </c>
      <c r="Q189" s="12">
        <f>((L189*Processed!$V$21)+(Table3[[#This Row],[Natural Gas kWh]]*Processed!$V$22))/Processed!$V$20</f>
        <v>22.425403157243963</v>
      </c>
      <c r="R189" s="10">
        <f>1-(O189/Processed!$V$23)</f>
        <v>0.3983072397334273</v>
      </c>
      <c r="S189" s="11">
        <f>1-(Processed!Q189/Processed!$V$24)</f>
        <v>0.42274514263416141</v>
      </c>
    </row>
    <row r="190" spans="2:19">
      <c r="B190" s="1" t="s">
        <v>129</v>
      </c>
      <c r="C190">
        <v>72</v>
      </c>
      <c r="D190">
        <f>VLOOKUP(MID($B190,2,1),Table2[],2,FALSE)</f>
        <v>10</v>
      </c>
      <c r="E190">
        <f>VLOOKUP(MID($B190,3,1),Table2[],3,FALSE)</f>
        <v>2.8</v>
      </c>
      <c r="F190" t="str">
        <f>VLOOKUP(MID($B190,4,1),Table2[],4,FALSE)</f>
        <v>Improved</v>
      </c>
      <c r="G190" s="7" t="str">
        <f>VLOOKUP(MID($B190,5,1),Table2[],5,FALSE)</f>
        <v>Current</v>
      </c>
      <c r="H190" s="7" t="str">
        <f>VLOOKUP(MID($B190,6,1),Table2[],6,FALSE)</f>
        <v>None</v>
      </c>
      <c r="I190" t="s">
        <v>19</v>
      </c>
      <c r="J190" t="s">
        <v>20</v>
      </c>
      <c r="K190" t="s">
        <v>18</v>
      </c>
      <c r="L190" s="4">
        <f>SUM(Raw!AE175:AP175)*293</f>
        <v>13480577.881111944</v>
      </c>
      <c r="M190" s="4">
        <f>SUM(Raw!AQ175:BB175)*293</f>
        <v>2410921.1999999997</v>
      </c>
      <c r="N190" s="4">
        <f t="shared" si="2"/>
        <v>15891499.081111943</v>
      </c>
      <c r="O190" s="9">
        <f>N190/Processed!$V$20</f>
        <v>146.45217210448192</v>
      </c>
      <c r="P190" s="9">
        <f>Raw!Z175*-293/Processed!$V$20</f>
        <v>77.980688883677331</v>
      </c>
      <c r="Q190" s="12">
        <f>((L190*Processed!$V$21)+(Table3[[#This Row],[Natural Gas kWh]]*Processed!$V$22))/Processed!$V$20</f>
        <v>25.341238470144674</v>
      </c>
      <c r="R190" s="10">
        <f>1-(O190/Processed!$V$23)</f>
        <v>0.321787350634266</v>
      </c>
      <c r="S190" s="11">
        <f>1-(Processed!Q190/Processed!$V$24)</f>
        <v>0.34768829367369725</v>
      </c>
    </row>
    <row r="191" spans="2:19">
      <c r="B191" s="1" t="s">
        <v>131</v>
      </c>
      <c r="C191">
        <v>72</v>
      </c>
      <c r="D191">
        <f>VLOOKUP(MID($B191,2,1),Table2[],2,FALSE)</f>
        <v>10</v>
      </c>
      <c r="E191">
        <f>VLOOKUP(MID($B191,3,1),Table2[],3,FALSE)</f>
        <v>2.8</v>
      </c>
      <c r="F191" t="str">
        <f>VLOOKUP(MID($B191,4,1),Table2[],4,FALSE)</f>
        <v>Improved</v>
      </c>
      <c r="G191" s="7" t="str">
        <f>VLOOKUP(MID($B191,5,1),Table2[],5,FALSE)</f>
        <v>Current</v>
      </c>
      <c r="H191" s="7">
        <f>VLOOKUP(MID($B191,6,1),Table2[],6,FALSE)</f>
        <v>0.75</v>
      </c>
      <c r="I191" t="s">
        <v>19</v>
      </c>
      <c r="J191" t="s">
        <v>20</v>
      </c>
      <c r="K191" t="s">
        <v>18</v>
      </c>
      <c r="L191" s="4">
        <f>SUM(Raw!AE176:AP176)*293</f>
        <v>12606875.953629211</v>
      </c>
      <c r="M191" s="4">
        <f>SUM(Raw!AQ176:BB176)*293</f>
        <v>1775902.3</v>
      </c>
      <c r="N191" s="4">
        <f t="shared" si="2"/>
        <v>14382778.253629211</v>
      </c>
      <c r="O191" s="9">
        <f>N191/Processed!$V$20</f>
        <v>132.54816964654282</v>
      </c>
      <c r="P191" s="9">
        <f>Raw!Z176*-293/Processed!$V$20</f>
        <v>47.414079932020634</v>
      </c>
      <c r="Q191" s="12">
        <f>((L191*Processed!$V$21)+(Table3[[#This Row],[Natural Gas kWh]]*Processed!$V$22))/Processed!$V$20</f>
        <v>22.860514472255513</v>
      </c>
      <c r="R191" s="10">
        <f>1-(O191/Processed!$V$23)</f>
        <v>0.38617608730017972</v>
      </c>
      <c r="S191" s="11">
        <f>1-(Processed!Q191/Processed!$V$24)</f>
        <v>0.41154489270669814</v>
      </c>
    </row>
    <row r="192" spans="2:19">
      <c r="B192" s="1" t="s">
        <v>133</v>
      </c>
      <c r="C192">
        <v>72</v>
      </c>
      <c r="D192">
        <f>VLOOKUP(MID($B192,2,1),Table2[],2,FALSE)</f>
        <v>10</v>
      </c>
      <c r="E192">
        <f>VLOOKUP(MID($B192,3,1),Table2[],3,FALSE)</f>
        <v>2.8</v>
      </c>
      <c r="F192" t="str">
        <f>VLOOKUP(MID($B192,4,1),Table2[],4,FALSE)</f>
        <v>Improved</v>
      </c>
      <c r="G192" s="7">
        <f>VLOOKUP(MID($B192,5,1),Table2[],5,FALSE)</f>
        <v>0.25</v>
      </c>
      <c r="H192" s="7" t="str">
        <f>VLOOKUP(MID($B192,6,1),Table2[],6,FALSE)</f>
        <v>None</v>
      </c>
      <c r="I192" t="s">
        <v>19</v>
      </c>
      <c r="J192" t="s">
        <v>20</v>
      </c>
      <c r="K192" t="s">
        <v>18</v>
      </c>
      <c r="L192" s="4">
        <f>SUM(Raw!AE177:AP177)*293</f>
        <v>13054619.916466456</v>
      </c>
      <c r="M192" s="4">
        <f>SUM(Raw!AQ177:BB177)*293</f>
        <v>2432632.5</v>
      </c>
      <c r="N192" s="4">
        <f t="shared" si="2"/>
        <v>15487252.416466456</v>
      </c>
      <c r="O192" s="9">
        <f>N192/Processed!$V$20</f>
        <v>142.72673362941131</v>
      </c>
      <c r="P192" s="9">
        <f>Raw!Z177*-293/Processed!$V$20</f>
        <v>80.562063358711114</v>
      </c>
      <c r="Q192" s="12">
        <f>((L192*Processed!$V$21)+(Table3[[#This Row],[Natural Gas kWh]]*Processed!$V$22))/Processed!$V$20</f>
        <v>24.711915650086276</v>
      </c>
      <c r="R192" s="10">
        <f>1-(O192/Processed!$V$23)</f>
        <v>0.33903966899813509</v>
      </c>
      <c r="S192" s="11">
        <f>1-(Processed!Q192/Processed!$V$24)</f>
        <v>0.36388776407708801</v>
      </c>
    </row>
    <row r="193" spans="2:19">
      <c r="B193" s="1" t="s">
        <v>135</v>
      </c>
      <c r="C193">
        <v>72</v>
      </c>
      <c r="D193">
        <f>VLOOKUP(MID($B193,2,1),Table2[],2,FALSE)</f>
        <v>10</v>
      </c>
      <c r="E193">
        <f>VLOOKUP(MID($B193,3,1),Table2[],3,FALSE)</f>
        <v>2.8</v>
      </c>
      <c r="F193" t="str">
        <f>VLOOKUP(MID($B193,4,1),Table2[],4,FALSE)</f>
        <v>Improved</v>
      </c>
      <c r="G193" s="7">
        <f>VLOOKUP(MID($B193,5,1),Table2[],5,FALSE)</f>
        <v>0.25</v>
      </c>
      <c r="H193" s="7">
        <f>VLOOKUP(MID($B193,6,1),Table2[],6,FALSE)</f>
        <v>0.75</v>
      </c>
      <c r="I193" t="s">
        <v>19</v>
      </c>
      <c r="J193" t="s">
        <v>20</v>
      </c>
      <c r="K193" t="s">
        <v>18</v>
      </c>
      <c r="L193" s="4">
        <f>SUM(Raw!AE178:AP178)*293</f>
        <v>12187580.988430694</v>
      </c>
      <c r="M193" s="4">
        <f>SUM(Raw!AQ178:BB178)*293</f>
        <v>1802272.3</v>
      </c>
      <c r="N193" s="4">
        <f t="shared" si="2"/>
        <v>13989853.288430694</v>
      </c>
      <c r="O193" s="9">
        <f>N193/Processed!$V$20</f>
        <v>128.92706918687654</v>
      </c>
      <c r="P193" s="9">
        <f>Raw!Z178*-293/Processed!$V$20</f>
        <v>50.051154470937007</v>
      </c>
      <c r="Q193" s="12">
        <f>((L193*Processed!$V$21)+(Table3[[#This Row],[Natural Gas kWh]]*Processed!$V$22))/Processed!$V$20</f>
        <v>22.249787783630801</v>
      </c>
      <c r="R193" s="10">
        <f>1-(O193/Processed!$V$23)</f>
        <v>0.40294522155800194</v>
      </c>
      <c r="S193" s="11">
        <f>1-(Processed!Q193/Processed!$V$24)</f>
        <v>0.42726567797238868</v>
      </c>
    </row>
    <row r="194" spans="2:19">
      <c r="B194" s="1" t="s">
        <v>137</v>
      </c>
      <c r="C194">
        <v>72</v>
      </c>
      <c r="D194">
        <f>VLOOKUP(MID($B194,2,1),Table2[],2,FALSE)</f>
        <v>10</v>
      </c>
      <c r="E194">
        <f>VLOOKUP(MID($B194,3,1),Table2[],3,FALSE)</f>
        <v>4</v>
      </c>
      <c r="F194" t="str">
        <f>VLOOKUP(MID($B194,4,1),Table2[],4,FALSE)</f>
        <v>Current</v>
      </c>
      <c r="G194" s="7" t="str">
        <f>VLOOKUP(MID($B194,5,1),Table2[],5,FALSE)</f>
        <v>Current</v>
      </c>
      <c r="H194" s="7" t="str">
        <f>VLOOKUP(MID($B194,6,1),Table2[],6,FALSE)</f>
        <v>None</v>
      </c>
      <c r="I194" t="s">
        <v>19</v>
      </c>
      <c r="J194" t="s">
        <v>20</v>
      </c>
      <c r="K194" t="s">
        <v>18</v>
      </c>
      <c r="L194" s="4">
        <f>SUM(Raw!AE179:AP179)*293</f>
        <v>13289598.896963203</v>
      </c>
      <c r="M194" s="4">
        <f>SUM(Raw!AQ179:BB179)*293</f>
        <v>2317190.5</v>
      </c>
      <c r="N194" s="4">
        <f t="shared" si="2"/>
        <v>15606789.396963203</v>
      </c>
      <c r="O194" s="9">
        <f>N194/Processed!$V$20</f>
        <v>143.82835723025633</v>
      </c>
      <c r="P194" s="9">
        <f>Raw!Z179*-293/Processed!$V$20</f>
        <v>72.638426847174884</v>
      </c>
      <c r="Q194" s="12">
        <f>((L194*Processed!$V$21)+(Table3[[#This Row],[Natural Gas kWh]]*Processed!$V$22))/Processed!$V$20</f>
        <v>24.877913957004271</v>
      </c>
      <c r="R194" s="10">
        <f>1-(O194/Processed!$V$23)</f>
        <v>0.33393810546243075</v>
      </c>
      <c r="S194" s="11">
        <f>1-(Processed!Q194/Processed!$V$24)</f>
        <v>0.35961478274823433</v>
      </c>
    </row>
    <row r="195" spans="2:19">
      <c r="B195" s="1" t="s">
        <v>139</v>
      </c>
      <c r="C195">
        <v>72</v>
      </c>
      <c r="D195">
        <f>VLOOKUP(MID($B195,2,1),Table2[],2,FALSE)</f>
        <v>10</v>
      </c>
      <c r="E195">
        <f>VLOOKUP(MID($B195,3,1),Table2[],3,FALSE)</f>
        <v>4</v>
      </c>
      <c r="F195" t="str">
        <f>VLOOKUP(MID($B195,4,1),Table2[],4,FALSE)</f>
        <v>Current</v>
      </c>
      <c r="G195" s="7" t="str">
        <f>VLOOKUP(MID($B195,5,1),Table2[],5,FALSE)</f>
        <v>Current</v>
      </c>
      <c r="H195" s="7">
        <f>VLOOKUP(MID($B195,6,1),Table2[],6,FALSE)</f>
        <v>0.75</v>
      </c>
      <c r="I195" t="s">
        <v>19</v>
      </c>
      <c r="J195" t="s">
        <v>20</v>
      </c>
      <c r="K195" t="s">
        <v>18</v>
      </c>
      <c r="L195" s="4">
        <f>SUM(Raw!AE180:AP180)*293</f>
        <v>12384312.972101938</v>
      </c>
      <c r="M195" s="4">
        <f>SUM(Raw!AQ180:BB180)*293</f>
        <v>1684603.5</v>
      </c>
      <c r="N195" s="4">
        <f t="shared" si="2"/>
        <v>14068916.472101938</v>
      </c>
      <c r="O195" s="9">
        <f>N195/Processed!$V$20</f>
        <v>129.65569616681398</v>
      </c>
      <c r="P195" s="9">
        <f>Raw!Z180*-293/Processed!$V$20</f>
        <v>41.400735814042612</v>
      </c>
      <c r="Q195" s="12">
        <f>((L195*Processed!$V$21)+(Table3[[#This Row],[Natural Gas kWh]]*Processed!$V$22))/Processed!$V$20</f>
        <v>22.35196623210183</v>
      </c>
      <c r="R195" s="10">
        <f>1-(O195/Processed!$V$23)</f>
        <v>0.39957098662954904</v>
      </c>
      <c r="S195" s="11">
        <f>1-(Processed!Q195/Processed!$V$24)</f>
        <v>0.42463549089015762</v>
      </c>
    </row>
    <row r="196" spans="2:19">
      <c r="B196" s="1" t="s">
        <v>141</v>
      </c>
      <c r="C196">
        <v>72</v>
      </c>
      <c r="D196">
        <f>VLOOKUP(MID($B196,2,1),Table2[],2,FALSE)</f>
        <v>10</v>
      </c>
      <c r="E196">
        <f>VLOOKUP(MID($B196,3,1),Table2[],3,FALSE)</f>
        <v>4</v>
      </c>
      <c r="F196" t="str">
        <f>VLOOKUP(MID($B196,4,1),Table2[],4,FALSE)</f>
        <v>Current</v>
      </c>
      <c r="G196" s="7">
        <f>VLOOKUP(MID($B196,5,1),Table2[],5,FALSE)</f>
        <v>0.25</v>
      </c>
      <c r="H196" s="7" t="str">
        <f>VLOOKUP(MID($B196,6,1),Table2[],6,FALSE)</f>
        <v>None</v>
      </c>
      <c r="I196" t="s">
        <v>19</v>
      </c>
      <c r="J196" t="s">
        <v>20</v>
      </c>
      <c r="K196" t="s">
        <v>18</v>
      </c>
      <c r="L196" s="4">
        <f>SUM(Raw!AE181:AP181)*293</f>
        <v>12844270.933925424</v>
      </c>
      <c r="M196" s="4">
        <f>SUM(Raw!AQ181:BB181)*293</f>
        <v>2341831.8000000003</v>
      </c>
      <c r="N196" s="4">
        <f t="shared" si="2"/>
        <v>15186102.733925425</v>
      </c>
      <c r="O196" s="9">
        <f>N196/Processed!$V$20</f>
        <v>139.95141174746692</v>
      </c>
      <c r="P196" s="9">
        <f>Raw!Z181*-293/Processed!$V$20</f>
        <v>74.859028109328605</v>
      </c>
      <c r="Q196" s="12">
        <f>((L196*Processed!$V$21)+(Table3[[#This Row],[Natural Gas kWh]]*Processed!$V$22))/Processed!$V$20</f>
        <v>24.223374988913516</v>
      </c>
      <c r="R196" s="10">
        <f>1-(O196/Processed!$V$23)</f>
        <v>0.35189204516537531</v>
      </c>
      <c r="S196" s="11">
        <f>1-(Processed!Q196/Processed!$V$24)</f>
        <v>0.37646334489074196</v>
      </c>
    </row>
    <row r="197" spans="2:19">
      <c r="B197" s="1" t="s">
        <v>143</v>
      </c>
      <c r="C197">
        <v>72</v>
      </c>
      <c r="D197">
        <f>VLOOKUP(MID($B197,2,1),Table2[],2,FALSE)</f>
        <v>10</v>
      </c>
      <c r="E197">
        <f>VLOOKUP(MID($B197,3,1),Table2[],3,FALSE)</f>
        <v>4</v>
      </c>
      <c r="F197" t="str">
        <f>VLOOKUP(MID($B197,4,1),Table2[],4,FALSE)</f>
        <v>Current</v>
      </c>
      <c r="G197" s="7">
        <f>VLOOKUP(MID($B197,5,1),Table2[],5,FALSE)</f>
        <v>0.25</v>
      </c>
      <c r="H197" s="7">
        <f>VLOOKUP(MID($B197,6,1),Table2[],6,FALSE)</f>
        <v>0.75</v>
      </c>
      <c r="I197" t="s">
        <v>19</v>
      </c>
      <c r="J197" t="s">
        <v>20</v>
      </c>
      <c r="K197" t="s">
        <v>18</v>
      </c>
      <c r="L197" s="4">
        <f>SUM(Raw!AE182:AP182)*293</f>
        <v>11955086.007727779</v>
      </c>
      <c r="M197" s="4">
        <f>SUM(Raw!AQ182:BB182)*293</f>
        <v>1707897</v>
      </c>
      <c r="N197" s="4">
        <f t="shared" si="2"/>
        <v>13662983.007727779</v>
      </c>
      <c r="O197" s="9">
        <f>N197/Processed!$V$20</f>
        <v>125.91471255764945</v>
      </c>
      <c r="P197" s="9">
        <f>Raw!Z182*-293/Processed!$V$20</f>
        <v>43.907311594602284</v>
      </c>
      <c r="Q197" s="12">
        <f>((L197*Processed!$V$21)+(Table3[[#This Row],[Natural Gas kWh]]*Processed!$V$22))/Processed!$V$20</f>
        <v>21.720292362618579</v>
      </c>
      <c r="R197" s="10">
        <f>1-(O197/Processed!$V$23)</f>
        <v>0.41689529372821865</v>
      </c>
      <c r="S197" s="11">
        <f>1-(Processed!Q197/Processed!$V$24)</f>
        <v>0.4408954799246243</v>
      </c>
    </row>
    <row r="198" spans="2:19">
      <c r="B198" s="1" t="s">
        <v>145</v>
      </c>
      <c r="C198">
        <v>72</v>
      </c>
      <c r="D198">
        <f>VLOOKUP(MID($B198,2,1),Table2[],2,FALSE)</f>
        <v>10</v>
      </c>
      <c r="E198">
        <f>VLOOKUP(MID($B198,3,1),Table2[],3,FALSE)</f>
        <v>4</v>
      </c>
      <c r="F198" t="str">
        <f>VLOOKUP(MID($B198,4,1),Table2[],4,FALSE)</f>
        <v>Improved</v>
      </c>
      <c r="G198" s="7" t="str">
        <f>VLOOKUP(MID($B198,5,1),Table2[],5,FALSE)</f>
        <v>Current</v>
      </c>
      <c r="H198" s="7" t="str">
        <f>VLOOKUP(MID($B198,6,1),Table2[],6,FALSE)</f>
        <v>None</v>
      </c>
      <c r="I198" t="s">
        <v>19</v>
      </c>
      <c r="J198" t="s">
        <v>20</v>
      </c>
      <c r="K198" t="s">
        <v>18</v>
      </c>
      <c r="L198" s="4">
        <f>SUM(Raw!AE183:AP183)*293</f>
        <v>13211457.903448904</v>
      </c>
      <c r="M198" s="4">
        <f>SUM(Raw!AQ183:BB183)*293</f>
        <v>2289677.8000000003</v>
      </c>
      <c r="N198" s="4">
        <f t="shared" si="2"/>
        <v>15501135.703448905</v>
      </c>
      <c r="O198" s="9">
        <f>N198/Processed!$V$20</f>
        <v>142.85467860956402</v>
      </c>
      <c r="P198" s="9">
        <f>Raw!Z183*-293/Processed!$V$20</f>
        <v>70.604151317431231</v>
      </c>
      <c r="Q198" s="12">
        <f>((L198*Processed!$V$21)+(Table3[[#This Row],[Natural Gas kWh]]*Processed!$V$22))/Processed!$V$20</f>
        <v>24.707317585088894</v>
      </c>
      <c r="R198" s="10">
        <f>1-(O198/Processed!$V$23)</f>
        <v>0.33844716222465754</v>
      </c>
      <c r="S198" s="11">
        <f>1-(Processed!Q198/Processed!$V$24)</f>
        <v>0.36400612339199578</v>
      </c>
    </row>
    <row r="199" spans="2:19">
      <c r="B199" s="1" t="s">
        <v>147</v>
      </c>
      <c r="C199">
        <v>72</v>
      </c>
      <c r="D199">
        <f>VLOOKUP(MID($B199,2,1),Table2[],2,FALSE)</f>
        <v>10</v>
      </c>
      <c r="E199">
        <f>VLOOKUP(MID($B199,3,1),Table2[],3,FALSE)</f>
        <v>4</v>
      </c>
      <c r="F199" t="str">
        <f>VLOOKUP(MID($B199,4,1),Table2[],4,FALSE)</f>
        <v>Improved</v>
      </c>
      <c r="G199" s="7" t="str">
        <f>VLOOKUP(MID($B199,5,1),Table2[],5,FALSE)</f>
        <v>Current</v>
      </c>
      <c r="H199" s="7">
        <f>VLOOKUP(MID($B199,6,1),Table2[],6,FALSE)</f>
        <v>0.75</v>
      </c>
      <c r="I199" t="s">
        <v>19</v>
      </c>
      <c r="J199" t="s">
        <v>20</v>
      </c>
      <c r="K199" t="s">
        <v>18</v>
      </c>
      <c r="L199" s="4">
        <f>SUM(Raw!AE184:AP184)*293</f>
        <v>12307390.978486465</v>
      </c>
      <c r="M199" s="4">
        <f>SUM(Raw!AQ184:BB184)*293</f>
        <v>1656329</v>
      </c>
      <c r="N199" s="4">
        <f t="shared" si="2"/>
        <v>13963719.978486465</v>
      </c>
      <c r="O199" s="9">
        <f>N199/Processed!$V$20</f>
        <v>128.68623098866269</v>
      </c>
      <c r="P199" s="9">
        <f>Raw!Z184*-293/Processed!$V$20</f>
        <v>39.428252036378147</v>
      </c>
      <c r="Q199" s="12">
        <f>((L199*Processed!$V$21)+(Table3[[#This Row],[Natural Gas kWh]]*Processed!$V$22))/Processed!$V$20</f>
        <v>22.181945734165666</v>
      </c>
      <c r="R199" s="10">
        <f>1-(O199/Processed!$V$23)</f>
        <v>0.40406053115110618</v>
      </c>
      <c r="S199" s="11">
        <f>1-(Processed!Q199/Processed!$V$24)</f>
        <v>0.42901200789621663</v>
      </c>
    </row>
    <row r="200" spans="2:19">
      <c r="B200" s="1" t="s">
        <v>149</v>
      </c>
      <c r="C200">
        <v>72</v>
      </c>
      <c r="D200">
        <f>VLOOKUP(MID($B200,2,1),Table2[],2,FALSE)</f>
        <v>10</v>
      </c>
      <c r="E200">
        <f>VLOOKUP(MID($B200,3,1),Table2[],3,FALSE)</f>
        <v>4</v>
      </c>
      <c r="F200" t="str">
        <f>VLOOKUP(MID($B200,4,1),Table2[],4,FALSE)</f>
        <v>Improved</v>
      </c>
      <c r="G200" s="7">
        <f>VLOOKUP(MID($B200,5,1),Table2[],5,FALSE)</f>
        <v>0.25</v>
      </c>
      <c r="H200" s="7" t="str">
        <f>VLOOKUP(MID($B200,6,1),Table2[],6,FALSE)</f>
        <v>None</v>
      </c>
      <c r="I200" t="s">
        <v>19</v>
      </c>
      <c r="J200" t="s">
        <v>20</v>
      </c>
      <c r="K200" t="s">
        <v>18</v>
      </c>
      <c r="L200" s="4">
        <f>SUM(Raw!AE185:AP185)*293</f>
        <v>12780702.939201569</v>
      </c>
      <c r="M200" s="4">
        <f>SUM(Raw!AQ185:BB185)*293</f>
        <v>2314114</v>
      </c>
      <c r="N200" s="4">
        <f t="shared" si="2"/>
        <v>15094816.939201569</v>
      </c>
      <c r="O200" s="9">
        <f>N200/Processed!$V$20</f>
        <v>139.11014417092454</v>
      </c>
      <c r="P200" s="9">
        <f>Raw!Z185*-293/Processed!$V$20</f>
        <v>73.068136584726403</v>
      </c>
      <c r="Q200" s="12">
        <f>((L200*Processed!$V$21)+(Table3[[#This Row],[Natural Gas kWh]]*Processed!$V$22))/Processed!$V$20</f>
        <v>24.075250691474043</v>
      </c>
      <c r="R200" s="10">
        <f>1-(O200/Processed!$V$23)</f>
        <v>0.35578791303618607</v>
      </c>
      <c r="S200" s="11">
        <f>1-(Processed!Q200/Processed!$V$24)</f>
        <v>0.38027622930540717</v>
      </c>
    </row>
    <row r="201" spans="2:19">
      <c r="B201" s="1" t="s">
        <v>151</v>
      </c>
      <c r="C201">
        <v>72</v>
      </c>
      <c r="D201">
        <f>VLOOKUP(MID($B201,2,1),Table2[],2,FALSE)</f>
        <v>10</v>
      </c>
      <c r="E201">
        <f>VLOOKUP(MID($B201,3,1),Table2[],3,FALSE)</f>
        <v>4</v>
      </c>
      <c r="F201" t="str">
        <f>VLOOKUP(MID($B201,4,1),Table2[],4,FALSE)</f>
        <v>Improved</v>
      </c>
      <c r="G201" s="7">
        <f>VLOOKUP(MID($B201,5,1),Table2[],5,FALSE)</f>
        <v>0.25</v>
      </c>
      <c r="H201" s="7">
        <f>VLOOKUP(MID($B201,6,1),Table2[],6,FALSE)</f>
        <v>0.75</v>
      </c>
      <c r="I201" t="s">
        <v>19</v>
      </c>
      <c r="J201" t="s">
        <v>20</v>
      </c>
      <c r="K201" t="s">
        <v>18</v>
      </c>
      <c r="L201" s="4">
        <f>SUM(Raw!AE186:AP186)*293</f>
        <v>11878806.01405902</v>
      </c>
      <c r="M201" s="4">
        <f>SUM(Raw!AQ186:BB186)*293</f>
        <v>1679593.2</v>
      </c>
      <c r="N201" s="4">
        <f t="shared" si="2"/>
        <v>13558399.214059019</v>
      </c>
      <c r="O201" s="9">
        <f>N201/Processed!$V$20</f>
        <v>124.95089387248076</v>
      </c>
      <c r="P201" s="9">
        <f>Raw!Z186*-293/Processed!$V$20</f>
        <v>41.887725242070253</v>
      </c>
      <c r="Q201" s="12">
        <f>((L201*Processed!$V$21)+(Table3[[#This Row],[Natural Gas kWh]]*Processed!$V$22))/Processed!$V$20</f>
        <v>21.551226368056657</v>
      </c>
      <c r="R201" s="10">
        <f>1-(O201/Processed!$V$23)</f>
        <v>0.42135868962452616</v>
      </c>
      <c r="S201" s="11">
        <f>1-(Processed!Q201/Processed!$V$24)</f>
        <v>0.44524742695059027</v>
      </c>
    </row>
    <row r="202" spans="2:19">
      <c r="B202" s="1" t="s">
        <v>153</v>
      </c>
      <c r="C202">
        <v>72</v>
      </c>
      <c r="D202">
        <f>VLOOKUP(MID($B202,2,1),Table2[],2,FALSE)</f>
        <v>10</v>
      </c>
      <c r="E202">
        <f>VLOOKUP(MID($B202,3,1),Table2[],3,FALSE)</f>
        <v>5.5</v>
      </c>
      <c r="F202" t="str">
        <f>VLOOKUP(MID($B202,4,1),Table2[],4,FALSE)</f>
        <v>Current</v>
      </c>
      <c r="G202" s="7" t="str">
        <f>VLOOKUP(MID($B202,5,1),Table2[],5,FALSE)</f>
        <v>Current</v>
      </c>
      <c r="H202" s="7" t="str">
        <f>VLOOKUP(MID($B202,6,1),Table2[],6,FALSE)</f>
        <v>None</v>
      </c>
      <c r="I202" t="s">
        <v>19</v>
      </c>
      <c r="J202" t="s">
        <v>20</v>
      </c>
      <c r="K202" t="s">
        <v>18</v>
      </c>
      <c r="L202" s="4">
        <f>SUM(Raw!AE187:AP187)*293</f>
        <v>13155056.908130189</v>
      </c>
      <c r="M202" s="4">
        <f>SUM(Raw!AQ187:BB187)*293</f>
        <v>2253257.9</v>
      </c>
      <c r="N202" s="4">
        <f t="shared" si="2"/>
        <v>15408314.80813019</v>
      </c>
      <c r="O202" s="9">
        <f>N202/Processed!$V$20</f>
        <v>141.999263921074</v>
      </c>
      <c r="P202" s="9">
        <f>Raw!Z187*-293/Processed!$V$20</f>
        <v>68.966005634098721</v>
      </c>
      <c r="Q202" s="12">
        <f>((L202*Processed!$V$21)+(Table3[[#This Row],[Natural Gas kWh]]*Processed!$V$22))/Processed!$V$20</f>
        <v>24.555184350077194</v>
      </c>
      <c r="R202" s="10">
        <f>1-(O202/Processed!$V$23)</f>
        <v>0.34240854465996395</v>
      </c>
      <c r="S202" s="11">
        <f>1-(Processed!Q202/Processed!$V$24)</f>
        <v>0.36792220232540451</v>
      </c>
    </row>
    <row r="203" spans="2:19">
      <c r="B203" s="1" t="s">
        <v>155</v>
      </c>
      <c r="C203">
        <v>72</v>
      </c>
      <c r="D203">
        <f>VLOOKUP(MID($B203,2,1),Table2[],2,FALSE)</f>
        <v>10</v>
      </c>
      <c r="E203">
        <f>VLOOKUP(MID($B203,3,1),Table2[],3,FALSE)</f>
        <v>5.5</v>
      </c>
      <c r="F203" t="str">
        <f>VLOOKUP(MID($B203,4,1),Table2[],4,FALSE)</f>
        <v>Current</v>
      </c>
      <c r="G203" s="7" t="str">
        <f>VLOOKUP(MID($B203,5,1),Table2[],5,FALSE)</f>
        <v>Current</v>
      </c>
      <c r="H203" s="7">
        <f>VLOOKUP(MID($B203,6,1),Table2[],6,FALSE)</f>
        <v>0.75</v>
      </c>
      <c r="I203" t="s">
        <v>19</v>
      </c>
      <c r="J203" t="s">
        <v>20</v>
      </c>
      <c r="K203" t="s">
        <v>18</v>
      </c>
      <c r="L203" s="4">
        <f>SUM(Raw!AE188:AP188)*293</f>
        <v>12234396.984544966</v>
      </c>
      <c r="M203" s="4">
        <f>SUM(Raw!AQ188:BB188)*293</f>
        <v>1626179.3</v>
      </c>
      <c r="N203" s="4">
        <f t="shared" si="2"/>
        <v>13860576.284544967</v>
      </c>
      <c r="O203" s="9">
        <f>N203/Processed!$V$20</f>
        <v>127.73568391066132</v>
      </c>
      <c r="P203" s="9">
        <f>Raw!Z188*-293/Processed!$V$20</f>
        <v>37.459915791102837</v>
      </c>
      <c r="Q203" s="12">
        <f>((L203*Processed!$V$21)+(Table3[[#This Row],[Natural Gas kWh]]*Processed!$V$22))/Processed!$V$20</f>
        <v>22.014795685555885</v>
      </c>
      <c r="R203" s="10">
        <f>1-(O203/Processed!$V$23)</f>
        <v>0.40846246690155885</v>
      </c>
      <c r="S203" s="11">
        <f>1-(Processed!Q203/Processed!$V$24)</f>
        <v>0.43331463633916456</v>
      </c>
    </row>
    <row r="204" spans="2:19">
      <c r="B204" s="1" t="s">
        <v>157</v>
      </c>
      <c r="C204">
        <v>72</v>
      </c>
      <c r="D204">
        <f>VLOOKUP(MID($B204,2,1),Table2[],2,FALSE)</f>
        <v>10</v>
      </c>
      <c r="E204">
        <f>VLOOKUP(MID($B204,3,1),Table2[],3,FALSE)</f>
        <v>5.5</v>
      </c>
      <c r="F204" t="str">
        <f>VLOOKUP(MID($B204,4,1),Table2[],4,FALSE)</f>
        <v>Current</v>
      </c>
      <c r="G204" s="7">
        <f>VLOOKUP(MID($B204,5,1),Table2[],5,FALSE)</f>
        <v>0.25</v>
      </c>
      <c r="H204" s="7" t="str">
        <f>VLOOKUP(MID($B204,6,1),Table2[],6,FALSE)</f>
        <v>None</v>
      </c>
      <c r="I204" t="s">
        <v>19</v>
      </c>
      <c r="J204" t="s">
        <v>20</v>
      </c>
      <c r="K204" t="s">
        <v>18</v>
      </c>
      <c r="L204" s="4">
        <f>SUM(Raw!AE189:AP189)*293</f>
        <v>12707492.945277998</v>
      </c>
      <c r="M204" s="4">
        <f>SUM(Raw!AQ189:BB189)*293</f>
        <v>2279598.6</v>
      </c>
      <c r="N204" s="4">
        <f t="shared" si="2"/>
        <v>14987091.545277998</v>
      </c>
      <c r="O204" s="9">
        <f>N204/Processed!$V$20</f>
        <v>138.11737326552458</v>
      </c>
      <c r="P204" s="9">
        <f>Raw!Z189*-293/Processed!$V$20</f>
        <v>71.098785058084999</v>
      </c>
      <c r="Q204" s="12">
        <f>((L204*Processed!$V$21)+(Table3[[#This Row],[Natural Gas kWh]]*Processed!$V$22))/Processed!$V$20</f>
        <v>23.900117927719549</v>
      </c>
      <c r="R204" s="10">
        <f>1-(O204/Processed!$V$23)</f>
        <v>0.36038538520945074</v>
      </c>
      <c r="S204" s="11">
        <f>1-(Processed!Q204/Processed!$V$24)</f>
        <v>0.38478434172828369</v>
      </c>
    </row>
    <row r="205" spans="2:19">
      <c r="B205" s="1" t="s">
        <v>159</v>
      </c>
      <c r="C205">
        <v>72</v>
      </c>
      <c r="D205">
        <f>VLOOKUP(MID($B205,2,1),Table2[],2,FALSE)</f>
        <v>10</v>
      </c>
      <c r="E205">
        <f>VLOOKUP(MID($B205,3,1),Table2[],3,FALSE)</f>
        <v>5.5</v>
      </c>
      <c r="F205" t="str">
        <f>VLOOKUP(MID($B205,4,1),Table2[],4,FALSE)</f>
        <v>Current</v>
      </c>
      <c r="G205" s="7">
        <f>VLOOKUP(MID($B205,5,1),Table2[],5,FALSE)</f>
        <v>0.25</v>
      </c>
      <c r="H205" s="7">
        <f>VLOOKUP(MID($B205,6,1),Table2[],6,FALSE)</f>
        <v>0.75</v>
      </c>
      <c r="I205" t="s">
        <v>19</v>
      </c>
      <c r="J205" t="s">
        <v>20</v>
      </c>
      <c r="K205" t="s">
        <v>18</v>
      </c>
      <c r="L205" s="4">
        <f>SUM(Raw!AE190:AP190)*293</f>
        <v>11803970.020270407</v>
      </c>
      <c r="M205" s="4">
        <f>SUM(Raw!AQ190:BB190)*293</f>
        <v>1650176</v>
      </c>
      <c r="N205" s="4">
        <f t="shared" si="2"/>
        <v>13454146.020270407</v>
      </c>
      <c r="O205" s="9">
        <f>N205/Processed!$V$20</f>
        <v>123.99012191501836</v>
      </c>
      <c r="P205" s="9">
        <f>Raw!Z190*-293/Processed!$V$20</f>
        <v>39.854389387633525</v>
      </c>
      <c r="Q205" s="12">
        <f>((L205*Processed!$V$21)+(Table3[[#This Row],[Natural Gas kWh]]*Processed!$V$22))/Processed!$V$20</f>
        <v>21.382473100758464</v>
      </c>
      <c r="R205" s="10">
        <f>1-(O205/Processed!$V$23)</f>
        <v>0.42580797627793276</v>
      </c>
      <c r="S205" s="11">
        <f>1-(Processed!Q205/Processed!$V$24)</f>
        <v>0.44959132402843482</v>
      </c>
    </row>
    <row r="206" spans="2:19">
      <c r="B206" s="1" t="s">
        <v>161</v>
      </c>
      <c r="C206">
        <v>72</v>
      </c>
      <c r="D206">
        <f>VLOOKUP(MID($B206,2,1),Table2[],2,FALSE)</f>
        <v>10</v>
      </c>
      <c r="E206">
        <f>VLOOKUP(MID($B206,3,1),Table2[],3,FALSE)</f>
        <v>5.5</v>
      </c>
      <c r="F206" t="str">
        <f>VLOOKUP(MID($B206,4,1),Table2[],4,FALSE)</f>
        <v>Improved</v>
      </c>
      <c r="G206" s="7" t="str">
        <f>VLOOKUP(MID($B206,5,1),Table2[],5,FALSE)</f>
        <v>Current</v>
      </c>
      <c r="H206" s="7" t="str">
        <f>VLOOKUP(MID($B206,6,1),Table2[],6,FALSE)</f>
        <v>None</v>
      </c>
      <c r="I206" t="s">
        <v>19</v>
      </c>
      <c r="J206" t="s">
        <v>20</v>
      </c>
      <c r="K206" t="s">
        <v>18</v>
      </c>
      <c r="L206" s="4">
        <f>SUM(Raw!AE191:AP191)*293</f>
        <v>13073608.914890373</v>
      </c>
      <c r="M206" s="4">
        <f>SUM(Raw!AQ191:BB191)*293</f>
        <v>2227356.6999999997</v>
      </c>
      <c r="N206" s="4">
        <f t="shared" si="2"/>
        <v>15300965.614890372</v>
      </c>
      <c r="O206" s="9">
        <f>N206/Processed!$V$20</f>
        <v>141.00995998924287</v>
      </c>
      <c r="P206" s="9">
        <f>Raw!Z191*-293/Processed!$V$20</f>
        <v>66.884581625808707</v>
      </c>
      <c r="Q206" s="12">
        <f>((L206*Processed!$V$21)+(Table3[[#This Row],[Natural Gas kWh]]*Processed!$V$22))/Processed!$V$20</f>
        <v>24.382228699072122</v>
      </c>
      <c r="R206" s="10">
        <f>1-(O206/Processed!$V$23)</f>
        <v>0.34698996145285699</v>
      </c>
      <c r="S206" s="11">
        <f>1-(Processed!Q206/Processed!$V$24)</f>
        <v>0.37237427344098217</v>
      </c>
    </row>
    <row r="207" spans="2:19">
      <c r="B207" s="1" t="s">
        <v>163</v>
      </c>
      <c r="C207">
        <v>72</v>
      </c>
      <c r="D207">
        <f>VLOOKUP(MID($B207,2,1),Table2[],2,FALSE)</f>
        <v>10</v>
      </c>
      <c r="E207">
        <f>VLOOKUP(MID($B207,3,1),Table2[],3,FALSE)</f>
        <v>5.5</v>
      </c>
      <c r="F207" t="str">
        <f>VLOOKUP(MID($B207,4,1),Table2[],4,FALSE)</f>
        <v>Improved</v>
      </c>
      <c r="G207" s="7" t="str">
        <f>VLOOKUP(MID($B207,5,1),Table2[],5,FALSE)</f>
        <v>Current</v>
      </c>
      <c r="H207" s="7">
        <f>VLOOKUP(MID($B207,6,1),Table2[],6,FALSE)</f>
        <v>0.75</v>
      </c>
      <c r="I207" t="s">
        <v>19</v>
      </c>
      <c r="J207" t="s">
        <v>20</v>
      </c>
      <c r="K207" t="s">
        <v>18</v>
      </c>
      <c r="L207" s="4">
        <f>SUM(Raw!AE192:AP192)*293</f>
        <v>12160566.990672855</v>
      </c>
      <c r="M207" s="4">
        <f>SUM(Raw!AQ192:BB192)*293</f>
        <v>1597260.2</v>
      </c>
      <c r="N207" s="4">
        <f t="shared" si="2"/>
        <v>13757827.190672854</v>
      </c>
      <c r="O207" s="9">
        <f>N207/Processed!$V$20</f>
        <v>126.78877337047047</v>
      </c>
      <c r="P207" s="9">
        <f>Raw!Z192*-293/Processed!$V$20</f>
        <v>35.510346049801939</v>
      </c>
      <c r="Q207" s="12">
        <f>((L207*Processed!$V$21)+(Table3[[#This Row],[Natural Gas kWh]]*Processed!$V$22))/Processed!$V$20</f>
        <v>21.848490666551431</v>
      </c>
      <c r="R207" s="10">
        <f>1-(O207/Processed!$V$23)</f>
        <v>0.41284756202815764</v>
      </c>
      <c r="S207" s="11">
        <f>1-(Processed!Q207/Processed!$V$24)</f>
        <v>0.43759551277877629</v>
      </c>
    </row>
    <row r="208" spans="2:19">
      <c r="B208" s="1" t="s">
        <v>165</v>
      </c>
      <c r="C208">
        <v>72</v>
      </c>
      <c r="D208">
        <f>VLOOKUP(MID($B208,2,1),Table2[],2,FALSE)</f>
        <v>10</v>
      </c>
      <c r="E208">
        <f>VLOOKUP(MID($B208,3,1),Table2[],3,FALSE)</f>
        <v>5.5</v>
      </c>
      <c r="F208" t="str">
        <f>VLOOKUP(MID($B208,4,1),Table2[],4,FALSE)</f>
        <v>Improved</v>
      </c>
      <c r="G208" s="7">
        <f>VLOOKUP(MID($B208,5,1),Table2[],5,FALSE)</f>
        <v>0.25</v>
      </c>
      <c r="H208" s="7" t="str">
        <f>VLOOKUP(MID($B208,6,1),Table2[],6,FALSE)</f>
        <v>None</v>
      </c>
      <c r="I208" t="s">
        <v>19</v>
      </c>
      <c r="J208" t="s">
        <v>20</v>
      </c>
      <c r="K208" t="s">
        <v>18</v>
      </c>
      <c r="L208" s="4">
        <f>SUM(Raw!AE193:AP193)*293</f>
        <v>12642842.950643949</v>
      </c>
      <c r="M208" s="4">
        <f>SUM(Raw!AQ193:BB193)*293</f>
        <v>2251324.1</v>
      </c>
      <c r="N208" s="4">
        <f t="shared" si="2"/>
        <v>14894167.050643949</v>
      </c>
      <c r="O208" s="9">
        <f>N208/Processed!$V$20</f>
        <v>137.26100383106117</v>
      </c>
      <c r="P208" s="9">
        <f>Raw!Z193*-293/Processed!$V$20</f>
        <v>69.346830653959202</v>
      </c>
      <c r="Q208" s="12">
        <f>((L208*Processed!$V$21)+(Table3[[#This Row],[Natural Gas kWh]]*Processed!$V$22))/Processed!$V$20</f>
        <v>23.749323706210316</v>
      </c>
      <c r="R208" s="10">
        <f>1-(O208/Processed!$V$23)</f>
        <v>0.36435118902538122</v>
      </c>
      <c r="S208" s="11">
        <f>1-(Processed!Q208/Processed!$V$24)</f>
        <v>0.38866595296258544</v>
      </c>
    </row>
    <row r="209" spans="2:19">
      <c r="B209" s="1" t="s">
        <v>167</v>
      </c>
      <c r="C209">
        <v>72</v>
      </c>
      <c r="D209">
        <f>VLOOKUP(MID($B209,2,1),Table2[],2,FALSE)</f>
        <v>10</v>
      </c>
      <c r="E209">
        <f>VLOOKUP(MID($B209,3,1),Table2[],3,FALSE)</f>
        <v>5.5</v>
      </c>
      <c r="F209" t="str">
        <f>VLOOKUP(MID($B209,4,1),Table2[],4,FALSE)</f>
        <v>Improved</v>
      </c>
      <c r="G209" s="7">
        <f>VLOOKUP(MID($B209,5,1),Table2[],5,FALSE)</f>
        <v>0.25</v>
      </c>
      <c r="H209" s="7">
        <f>VLOOKUP(MID($B209,6,1),Table2[],6,FALSE)</f>
        <v>0.75</v>
      </c>
      <c r="I209" t="s">
        <v>19</v>
      </c>
      <c r="J209" t="s">
        <v>20</v>
      </c>
      <c r="K209" t="s">
        <v>18</v>
      </c>
      <c r="L209" s="4">
        <f>SUM(Raw!AE194:AP194)*293</f>
        <v>11727031.026656346</v>
      </c>
      <c r="M209" s="4">
        <f>SUM(Raw!AQ194:BB194)*293</f>
        <v>1620202.0999999999</v>
      </c>
      <c r="N209" s="4">
        <f t="shared" si="2"/>
        <v>13347233.126656346</v>
      </c>
      <c r="O209" s="9">
        <f>N209/Processed!$V$20</f>
        <v>123.00483881391906</v>
      </c>
      <c r="P209" s="9">
        <f>Raw!Z194*-293/Processed!$V$20</f>
        <v>37.84374615181563</v>
      </c>
      <c r="Q209" s="12">
        <f>((L209*Processed!$V$21)+(Table3[[#This Row],[Natural Gas kWh]]*Processed!$V$22))/Processed!$V$20</f>
        <v>21.209450330818829</v>
      </c>
      <c r="R209" s="10">
        <f>1-(O209/Processed!$V$23)</f>
        <v>0.43037077280576508</v>
      </c>
      <c r="S209" s="11">
        <f>1-(Processed!Q209/Processed!$V$24)</f>
        <v>0.45404512286015308</v>
      </c>
    </row>
    <row r="210" spans="2:19">
      <c r="B210" s="1" t="s">
        <v>169</v>
      </c>
      <c r="C210">
        <v>72</v>
      </c>
      <c r="D210">
        <f>VLOOKUP(MID($B210,2,1),Table2[],2,FALSE)</f>
        <v>15</v>
      </c>
      <c r="E210">
        <f>VLOOKUP(MID($B210,3,1),Table2[],3,FALSE)</f>
        <v>2.8</v>
      </c>
      <c r="F210" t="str">
        <f>VLOOKUP(MID($B210,4,1),Table2[],4,FALSE)</f>
        <v>Current</v>
      </c>
      <c r="G210" s="7" t="str">
        <f>VLOOKUP(MID($B210,5,1),Table2[],5,FALSE)</f>
        <v>Current</v>
      </c>
      <c r="H210" s="7" t="str">
        <f>VLOOKUP(MID($B210,6,1),Table2[],6,FALSE)</f>
        <v>None</v>
      </c>
      <c r="I210" t="s">
        <v>19</v>
      </c>
      <c r="J210" t="s">
        <v>20</v>
      </c>
      <c r="K210" t="s">
        <v>18</v>
      </c>
      <c r="L210" s="4">
        <f>SUM(Raw!AE195:AP195)*293</f>
        <v>13492899.880089218</v>
      </c>
      <c r="M210" s="4">
        <f>SUM(Raw!AQ195:BB195)*293</f>
        <v>2407668.9</v>
      </c>
      <c r="N210" s="4">
        <f t="shared" si="2"/>
        <v>15900568.780089218</v>
      </c>
      <c r="O210" s="9">
        <f>N210/Processed!$V$20</f>
        <v>146.53575623388193</v>
      </c>
      <c r="P210" s="9">
        <f>Raw!Z195*-293/Processed!$V$20</f>
        <v>78.266315074167807</v>
      </c>
      <c r="Q210" s="12">
        <f>((L210*Processed!$V$21)+(Table3[[#This Row],[Natural Gas kWh]]*Processed!$V$22))/Processed!$V$20</f>
        <v>25.354848324102054</v>
      </c>
      <c r="R210" s="10">
        <f>1-(O210/Processed!$V$23)</f>
        <v>0.32140027673136162</v>
      </c>
      <c r="S210" s="11">
        <f>1-(Processed!Q210/Processed!$V$24)</f>
        <v>0.34733796087254987</v>
      </c>
    </row>
    <row r="211" spans="2:19">
      <c r="B211" s="1" t="s">
        <v>171</v>
      </c>
      <c r="C211">
        <v>72</v>
      </c>
      <c r="D211">
        <f>VLOOKUP(MID($B211,2,1),Table2[],2,FALSE)</f>
        <v>15</v>
      </c>
      <c r="E211">
        <f>VLOOKUP(MID($B211,3,1),Table2[],3,FALSE)</f>
        <v>2.8</v>
      </c>
      <c r="F211" t="str">
        <f>VLOOKUP(MID($B211,4,1),Table2[],4,FALSE)</f>
        <v>Current</v>
      </c>
      <c r="G211" s="7" t="str">
        <f>VLOOKUP(MID($B211,5,1),Table2[],5,FALSE)</f>
        <v>Current</v>
      </c>
      <c r="H211" s="7">
        <f>VLOOKUP(MID($B211,6,1),Table2[],6,FALSE)</f>
        <v>0.75</v>
      </c>
      <c r="I211" t="s">
        <v>19</v>
      </c>
      <c r="J211" t="s">
        <v>20</v>
      </c>
      <c r="K211" t="s">
        <v>18</v>
      </c>
      <c r="L211" s="4">
        <f>SUM(Raw!AE196:AP196)*293</f>
        <v>12607473.953579577</v>
      </c>
      <c r="M211" s="4">
        <f>SUM(Raw!AQ196:BB196)*293</f>
        <v>1775052.5999999999</v>
      </c>
      <c r="N211" s="4">
        <f t="shared" ref="N211:N233" si="3">M211+L211</f>
        <v>14382526.553579576</v>
      </c>
      <c r="O211" s="9">
        <f>N211/Processed!$V$20</f>
        <v>132.54585004039367</v>
      </c>
      <c r="P211" s="9">
        <f>Raw!Z196*-293/Processed!$V$20</f>
        <v>47.458644303472944</v>
      </c>
      <c r="Q211" s="12">
        <f>((L211*Processed!$V$21)+(Table3[[#This Row],[Natural Gas kWh]]*Processed!$V$22))/Processed!$V$20</f>
        <v>22.859963526659005</v>
      </c>
      <c r="R211" s="10">
        <f>1-(O211/Processed!$V$23)</f>
        <v>0.38618682927968939</v>
      </c>
      <c r="S211" s="11">
        <f>1-(Processed!Q211/Processed!$V$24)</f>
        <v>0.41155907466006147</v>
      </c>
    </row>
    <row r="212" spans="2:19">
      <c r="B212" s="1" t="s">
        <v>173</v>
      </c>
      <c r="C212">
        <v>72</v>
      </c>
      <c r="D212">
        <f>VLOOKUP(MID($B212,2,1),Table2[],2,FALSE)</f>
        <v>15</v>
      </c>
      <c r="E212">
        <f>VLOOKUP(MID($B212,3,1),Table2[],3,FALSE)</f>
        <v>2.8</v>
      </c>
      <c r="F212" t="str">
        <f>VLOOKUP(MID($B212,4,1),Table2[],4,FALSE)</f>
        <v>Current</v>
      </c>
      <c r="G212" s="7">
        <f>VLOOKUP(MID($B212,5,1),Table2[],5,FALSE)</f>
        <v>0.25</v>
      </c>
      <c r="H212" s="7" t="str">
        <f>VLOOKUP(MID($B212,6,1),Table2[],6,FALSE)</f>
        <v>None</v>
      </c>
      <c r="I212" t="s">
        <v>19</v>
      </c>
      <c r="J212" t="s">
        <v>20</v>
      </c>
      <c r="K212" t="s">
        <v>18</v>
      </c>
      <c r="L212" s="4">
        <f>SUM(Raw!AE197:AP197)*293</f>
        <v>13050712.916790741</v>
      </c>
      <c r="M212" s="4">
        <f>SUM(Raw!AQ197:BB197)*293</f>
        <v>2431460.5</v>
      </c>
      <c r="N212" s="4">
        <f t="shared" si="3"/>
        <v>15482173.416790741</v>
      </c>
      <c r="O212" s="9">
        <f>N212/Processed!$V$20</f>
        <v>142.67992680956192</v>
      </c>
      <c r="P212" s="9">
        <f>Raw!Z197*-293/Processed!$V$20</f>
        <v>80.51612727732801</v>
      </c>
      <c r="Q212" s="12">
        <f>((L212*Processed!$V$21)+(Table3[[#This Row],[Natural Gas kWh]]*Processed!$V$22))/Processed!$V$20</f>
        <v>24.703742473399945</v>
      </c>
      <c r="R212" s="10">
        <f>1-(O212/Processed!$V$23)</f>
        <v>0.33925642902867803</v>
      </c>
      <c r="S212" s="11">
        <f>1-(Processed!Q212/Processed!$V$24)</f>
        <v>0.36409815074925667</v>
      </c>
    </row>
    <row r="213" spans="2:19">
      <c r="B213" s="1" t="s">
        <v>175</v>
      </c>
      <c r="C213">
        <v>72</v>
      </c>
      <c r="D213">
        <f>VLOOKUP(MID($B213,2,1),Table2[],2,FALSE)</f>
        <v>15</v>
      </c>
      <c r="E213">
        <f>VLOOKUP(MID($B213,3,1),Table2[],3,FALSE)</f>
        <v>2.8</v>
      </c>
      <c r="F213" t="str">
        <f>VLOOKUP(MID($B213,4,1),Table2[],4,FALSE)</f>
        <v>Current</v>
      </c>
      <c r="G213" s="7">
        <f>VLOOKUP(MID($B213,5,1),Table2[],5,FALSE)</f>
        <v>0.25</v>
      </c>
      <c r="H213" s="7">
        <f>VLOOKUP(MID($B213,6,1),Table2[],6,FALSE)</f>
        <v>0.75</v>
      </c>
      <c r="I213" t="s">
        <v>19</v>
      </c>
      <c r="J213" t="s">
        <v>20</v>
      </c>
      <c r="K213" t="s">
        <v>18</v>
      </c>
      <c r="L213" s="4">
        <f>SUM(Raw!AE198:AP198)*293</f>
        <v>12188119.988385959</v>
      </c>
      <c r="M213" s="4">
        <f>SUM(Raw!AQ198:BB198)*293</f>
        <v>1801627.7</v>
      </c>
      <c r="N213" s="4">
        <f t="shared" si="3"/>
        <v>13989747.688385958</v>
      </c>
      <c r="O213" s="9">
        <f>N213/Processed!$V$20</f>
        <v>128.92609600266988</v>
      </c>
      <c r="P213" s="9">
        <f>Raw!Z198*-293/Processed!$V$20</f>
        <v>50.102293869321365</v>
      </c>
      <c r="Q213" s="12">
        <f>((L213*Processed!$V$21)+(Table3[[#This Row],[Natural Gas kWh]]*Processed!$V$22))/Processed!$V$20</f>
        <v>22.249503532794101</v>
      </c>
      <c r="R213" s="10">
        <f>1-(O213/Processed!$V$23)</f>
        <v>0.40294972832515763</v>
      </c>
      <c r="S213" s="11">
        <f>1-(Processed!Q213/Processed!$V$24)</f>
        <v>0.42727299490555792</v>
      </c>
    </row>
    <row r="214" spans="2:19">
      <c r="B214" s="1" t="s">
        <v>177</v>
      </c>
      <c r="C214">
        <v>72</v>
      </c>
      <c r="D214">
        <f>VLOOKUP(MID($B214,2,1),Table2[],2,FALSE)</f>
        <v>15</v>
      </c>
      <c r="E214">
        <f>VLOOKUP(MID($B214,3,1),Table2[],3,FALSE)</f>
        <v>2.8</v>
      </c>
      <c r="F214" t="str">
        <f>VLOOKUP(MID($B214,4,1),Table2[],4,FALSE)</f>
        <v>Improved</v>
      </c>
      <c r="G214" s="7" t="str">
        <f>VLOOKUP(MID($B214,5,1),Table2[],5,FALSE)</f>
        <v>Current</v>
      </c>
      <c r="H214" s="7" t="str">
        <f>VLOOKUP(MID($B214,6,1),Table2[],6,FALSE)</f>
        <v>None</v>
      </c>
      <c r="I214" t="s">
        <v>19</v>
      </c>
      <c r="J214" t="s">
        <v>20</v>
      </c>
      <c r="K214" t="s">
        <v>18</v>
      </c>
      <c r="L214" s="4">
        <f>SUM(Raw!AE199:AP199)*293</f>
        <v>13422152.885961218</v>
      </c>
      <c r="M214" s="4">
        <f>SUM(Raw!AQ199:BB199)*293</f>
        <v>2377577.8000000003</v>
      </c>
      <c r="N214" s="4">
        <f t="shared" si="3"/>
        <v>15799730.685961219</v>
      </c>
      <c r="O214" s="9">
        <f>N214/Processed!$V$20</f>
        <v>145.60645700033922</v>
      </c>
      <c r="P214" s="9">
        <f>Raw!Z199*-293/Processed!$V$20</f>
        <v>76.400935379977412</v>
      </c>
      <c r="Q214" s="12">
        <f>((L214*Processed!$V$21)+(Table3[[#This Row],[Natural Gas kWh]]*Processed!$V$22))/Processed!$V$20</f>
        <v>25.191321209915849</v>
      </c>
      <c r="R214" s="10">
        <f>1-(O214/Processed!$V$23)</f>
        <v>0.32570381478189259</v>
      </c>
      <c r="S214" s="11">
        <f>1-(Processed!Q214/Processed!$V$24)</f>
        <v>0.3515473309477769</v>
      </c>
    </row>
    <row r="215" spans="2:19">
      <c r="B215" s="1" t="s">
        <v>179</v>
      </c>
      <c r="C215">
        <v>72</v>
      </c>
      <c r="D215">
        <f>VLOOKUP(MID($B215,2,1),Table2[],2,FALSE)</f>
        <v>15</v>
      </c>
      <c r="E215">
        <f>VLOOKUP(MID($B215,3,1),Table2[],3,FALSE)</f>
        <v>2.8</v>
      </c>
      <c r="F215" t="str">
        <f>VLOOKUP(MID($B215,4,1),Table2[],4,FALSE)</f>
        <v>Improved</v>
      </c>
      <c r="G215" s="7" t="str">
        <f>VLOOKUP(MID($B215,5,1),Table2[],5,FALSE)</f>
        <v>Current</v>
      </c>
      <c r="H215" s="7">
        <f>VLOOKUP(MID($B215,6,1),Table2[],6,FALSE)</f>
        <v>0.75</v>
      </c>
      <c r="I215" t="s">
        <v>19</v>
      </c>
      <c r="J215" t="s">
        <v>20</v>
      </c>
      <c r="K215" t="s">
        <v>18</v>
      </c>
      <c r="L215" s="4">
        <f>SUM(Raw!AE200:AP200)*293</f>
        <v>12529555.96004677</v>
      </c>
      <c r="M215" s="4">
        <f>SUM(Raw!AQ200:BB200)*293</f>
        <v>1748243.0999999999</v>
      </c>
      <c r="N215" s="4">
        <f t="shared" si="3"/>
        <v>14277799.06004677</v>
      </c>
      <c r="O215" s="9">
        <f>N215/Processed!$V$20</f>
        <v>131.58070705239405</v>
      </c>
      <c r="P215" s="9">
        <f>Raw!Z200*-293/Processed!$V$20</f>
        <v>45.472265212218218</v>
      </c>
      <c r="Q215" s="12">
        <f>((L215*Processed!$V$21)+(Table3[[#This Row],[Natural Gas kWh]]*Processed!$V$22))/Processed!$V$20</f>
        <v>22.690947822688543</v>
      </c>
      <c r="R215" s="10">
        <f>1-(O215/Processed!$V$23)</f>
        <v>0.39065635795585674</v>
      </c>
      <c r="S215" s="11">
        <f>1-(Processed!Q215/Processed!$V$24)</f>
        <v>0.41590972715018359</v>
      </c>
    </row>
    <row r="216" spans="2:19">
      <c r="B216" s="1" t="s">
        <v>181</v>
      </c>
      <c r="C216">
        <v>72</v>
      </c>
      <c r="D216">
        <f>VLOOKUP(MID($B216,2,1),Table2[],2,FALSE)</f>
        <v>15</v>
      </c>
      <c r="E216">
        <f>VLOOKUP(MID($B216,3,1),Table2[],3,FALSE)</f>
        <v>2.8</v>
      </c>
      <c r="F216" t="str">
        <f>VLOOKUP(MID($B216,4,1),Table2[],4,FALSE)</f>
        <v>Improved</v>
      </c>
      <c r="G216" s="7">
        <f>VLOOKUP(MID($B216,5,1),Table2[],5,FALSE)</f>
        <v>0.25</v>
      </c>
      <c r="H216" s="7" t="str">
        <f>VLOOKUP(MID($B216,6,1),Table2[],6,FALSE)</f>
        <v>None</v>
      </c>
      <c r="I216" t="s">
        <v>19</v>
      </c>
      <c r="J216" t="s">
        <v>20</v>
      </c>
      <c r="K216" t="s">
        <v>18</v>
      </c>
      <c r="L216" s="4">
        <f>SUM(Raw!AE201:AP201)*293</f>
        <v>12987354.922049452</v>
      </c>
      <c r="M216" s="4">
        <f>SUM(Raw!AQ201:BB201)*293</f>
        <v>2396417.6999999997</v>
      </c>
      <c r="N216" s="4">
        <f t="shared" si="3"/>
        <v>15383772.622049451</v>
      </c>
      <c r="O216" s="9">
        <f>N216/Processed!$V$20</f>
        <v>141.77308913156099</v>
      </c>
      <c r="P216" s="9">
        <f>Raw!Z201*-293/Processed!$V$20</f>
        <v>78.746084123543994</v>
      </c>
      <c r="Q216" s="12">
        <f>((L216*Processed!$V$21)+(Table3[[#This Row],[Natural Gas kWh]]*Processed!$V$22))/Processed!$V$20</f>
        <v>24.543121150512913</v>
      </c>
      <c r="R216" s="10">
        <f>1-(O216/Processed!$V$23)</f>
        <v>0.34345594874425389</v>
      </c>
      <c r="S216" s="11">
        <f>1-(Processed!Q216/Processed!$V$24)</f>
        <v>0.3682327225196248</v>
      </c>
    </row>
    <row r="217" spans="2:19">
      <c r="B217" s="1" t="s">
        <v>183</v>
      </c>
      <c r="C217">
        <v>72</v>
      </c>
      <c r="D217">
        <f>VLOOKUP(MID($B217,2,1),Table2[],2,FALSE)</f>
        <v>15</v>
      </c>
      <c r="E217">
        <f>VLOOKUP(MID($B217,3,1),Table2[],3,FALSE)</f>
        <v>2.8</v>
      </c>
      <c r="F217" t="str">
        <f>VLOOKUP(MID($B217,4,1),Table2[],4,FALSE)</f>
        <v>Improved</v>
      </c>
      <c r="G217" s="7">
        <f>VLOOKUP(MID($B217,5,1),Table2[],5,FALSE)</f>
        <v>0.25</v>
      </c>
      <c r="H217" s="7">
        <f>VLOOKUP(MID($B217,6,1),Table2[],6,FALSE)</f>
        <v>0.75</v>
      </c>
      <c r="I217" t="s">
        <v>19</v>
      </c>
      <c r="J217" t="s">
        <v>20</v>
      </c>
      <c r="K217" t="s">
        <v>18</v>
      </c>
      <c r="L217" s="4">
        <f>SUM(Raw!AE202:AP202)*293</f>
        <v>12109846.994882619</v>
      </c>
      <c r="M217" s="4">
        <f>SUM(Raw!AQ202:BB202)*293</f>
        <v>1771331.5</v>
      </c>
      <c r="N217" s="4">
        <f t="shared" si="3"/>
        <v>13881178.494882619</v>
      </c>
      <c r="O217" s="9">
        <f>N217/Processed!$V$20</f>
        <v>127.92554884654322</v>
      </c>
      <c r="P217" s="9">
        <f>Raw!Z202*-293/Processed!$V$20</f>
        <v>48.080822765742695</v>
      </c>
      <c r="Q217" s="12">
        <f>((L217*Processed!$V$21)+(Table3[[#This Row],[Natural Gas kWh]]*Processed!$V$22))/Processed!$V$20</f>
        <v>22.073826468739032</v>
      </c>
      <c r="R217" s="10">
        <f>1-(O217/Processed!$V$23)</f>
        <v>0.40758321192475822</v>
      </c>
      <c r="S217" s="11">
        <f>1-(Processed!Q217/Processed!$V$24)</f>
        <v>0.43179511822447803</v>
      </c>
    </row>
    <row r="218" spans="2:19">
      <c r="B218" s="1" t="s">
        <v>185</v>
      </c>
      <c r="C218">
        <v>72</v>
      </c>
      <c r="D218">
        <f>VLOOKUP(MID($B218,2,1),Table2[],2,FALSE)</f>
        <v>15</v>
      </c>
      <c r="E218">
        <f>VLOOKUP(MID($B218,3,1),Table2[],3,FALSE)</f>
        <v>4</v>
      </c>
      <c r="F218" t="str">
        <f>VLOOKUP(MID($B218,4,1),Table2[],4,FALSE)</f>
        <v>Current</v>
      </c>
      <c r="G218" s="7" t="str">
        <f>VLOOKUP(MID($B218,5,1),Table2[],5,FALSE)</f>
        <v>Current</v>
      </c>
      <c r="H218" s="7" t="str">
        <f>VLOOKUP(MID($B218,6,1),Table2[],6,FALSE)</f>
        <v>None</v>
      </c>
      <c r="I218" t="s">
        <v>19</v>
      </c>
      <c r="J218" t="s">
        <v>20</v>
      </c>
      <c r="K218" t="s">
        <v>18</v>
      </c>
      <c r="L218" s="4">
        <f>SUM(Raw!AE203:AP203)*293</f>
        <v>13215793.903089017</v>
      </c>
      <c r="M218" s="4">
        <f>SUM(Raw!AQ203:BB203)*293</f>
        <v>2288359.3000000003</v>
      </c>
      <c r="N218" s="4">
        <f t="shared" si="3"/>
        <v>15504153.203089017</v>
      </c>
      <c r="O218" s="9">
        <f>N218/Processed!$V$20</f>
        <v>142.88248714885682</v>
      </c>
      <c r="P218" s="9">
        <f>Raw!Z203*-293/Processed!$V$20</f>
        <v>70.752852234534913</v>
      </c>
      <c r="Q218" s="12">
        <f>((L218*Processed!$V$21)+(Table3[[#This Row],[Natural Gas kWh]]*Processed!$V$22))/Processed!$V$20</f>
        <v>24.711802017292744</v>
      </c>
      <c r="R218" s="10">
        <f>1-(O218/Processed!$V$23)</f>
        <v>0.33831838227665301</v>
      </c>
      <c r="S218" s="11">
        <f>1-(Processed!Q218/Processed!$V$24)</f>
        <v>0.36389068911177125</v>
      </c>
    </row>
    <row r="219" spans="2:19">
      <c r="B219" s="1" t="s">
        <v>187</v>
      </c>
      <c r="C219">
        <v>72</v>
      </c>
      <c r="D219">
        <f>VLOOKUP(MID($B219,2,1),Table2[],2,FALSE)</f>
        <v>15</v>
      </c>
      <c r="E219">
        <f>VLOOKUP(MID($B219,3,1),Table2[],3,FALSE)</f>
        <v>4</v>
      </c>
      <c r="F219" t="str">
        <f>VLOOKUP(MID($B219,4,1),Table2[],4,FALSE)</f>
        <v>Current</v>
      </c>
      <c r="G219" s="7" t="str">
        <f>VLOOKUP(MID($B219,5,1),Table2[],5,FALSE)</f>
        <v>Current</v>
      </c>
      <c r="H219" s="7">
        <f>VLOOKUP(MID($B219,6,1),Table2[],6,FALSE)</f>
        <v>0.75</v>
      </c>
      <c r="I219" t="s">
        <v>19</v>
      </c>
      <c r="J219" t="s">
        <v>20</v>
      </c>
      <c r="K219" t="s">
        <v>18</v>
      </c>
      <c r="L219" s="4">
        <f>SUM(Raw!AE204:AP204)*293</f>
        <v>12306424.978566643</v>
      </c>
      <c r="M219" s="4">
        <f>SUM(Raw!AQ204:BB204)*293</f>
        <v>1657149.4000000001</v>
      </c>
      <c r="N219" s="4">
        <f t="shared" si="3"/>
        <v>13963574.378566643</v>
      </c>
      <c r="O219" s="9">
        <f>N219/Processed!$V$20</f>
        <v>128.68488917538207</v>
      </c>
      <c r="P219" s="9">
        <f>Raw!Z204*-293/Processed!$V$20</f>
        <v>39.477433777873081</v>
      </c>
      <c r="Q219" s="12">
        <f>((L219*Processed!$V$21)+(Table3[[#This Row],[Natural Gas kWh]]*Processed!$V$22))/Processed!$V$20</f>
        <v>22.181868838026308</v>
      </c>
      <c r="R219" s="10">
        <f>1-(O219/Processed!$V$23)</f>
        <v>0.40406674502097872</v>
      </c>
      <c r="S219" s="11">
        <f>1-(Processed!Q219/Processed!$V$24)</f>
        <v>0.42901398728849982</v>
      </c>
    </row>
    <row r="220" spans="2:19">
      <c r="B220" s="1" t="s">
        <v>189</v>
      </c>
      <c r="C220">
        <v>72</v>
      </c>
      <c r="D220">
        <f>VLOOKUP(MID($B220,2,1),Table2[],2,FALSE)</f>
        <v>15</v>
      </c>
      <c r="E220">
        <f>VLOOKUP(MID($B220,3,1),Table2[],3,FALSE)</f>
        <v>4</v>
      </c>
      <c r="F220" t="str">
        <f>VLOOKUP(MID($B220,4,1),Table2[],4,FALSE)</f>
        <v>Current</v>
      </c>
      <c r="G220" s="7">
        <f>VLOOKUP(MID($B220,5,1),Table2[],5,FALSE)</f>
        <v>0.25</v>
      </c>
      <c r="H220" s="7" t="str">
        <f>VLOOKUP(MID($B220,6,1),Table2[],6,FALSE)</f>
        <v>None</v>
      </c>
      <c r="I220" t="s">
        <v>19</v>
      </c>
      <c r="J220" t="s">
        <v>20</v>
      </c>
      <c r="K220" t="s">
        <v>18</v>
      </c>
      <c r="L220" s="4">
        <f>SUM(Raw!AE205:AP205)*293</f>
        <v>12780383.939228047</v>
      </c>
      <c r="M220" s="4">
        <f>SUM(Raw!AQ205:BB205)*293</f>
        <v>2312033.6999999997</v>
      </c>
      <c r="N220" s="4">
        <f t="shared" si="3"/>
        <v>15092417.639228046</v>
      </c>
      <c r="O220" s="9">
        <f>N220/Processed!$V$20</f>
        <v>139.08803280868872</v>
      </c>
      <c r="P220" s="9">
        <f>Raw!Z205*-293/Processed!$V$20</f>
        <v>73.149083671941469</v>
      </c>
      <c r="Q220" s="12">
        <f>((L220*Processed!$V$21)+(Table3[[#This Row],[Natural Gas kWh]]*Processed!$V$22))/Processed!$V$20</f>
        <v>24.071108329165263</v>
      </c>
      <c r="R220" s="10">
        <f>1-(O220/Processed!$V$23)</f>
        <v>0.35589030964353952</v>
      </c>
      <c r="S220" s="11">
        <f>1-(Processed!Q220/Processed!$V$24)</f>
        <v>0.38038285832549412</v>
      </c>
    </row>
    <row r="221" spans="2:19">
      <c r="B221" s="1" t="s">
        <v>191</v>
      </c>
      <c r="C221">
        <v>72</v>
      </c>
      <c r="D221">
        <f>VLOOKUP(MID($B221,2,1),Table2[],2,FALSE)</f>
        <v>15</v>
      </c>
      <c r="E221">
        <f>VLOOKUP(MID($B221,3,1),Table2[],3,FALSE)</f>
        <v>4</v>
      </c>
      <c r="F221" t="str">
        <f>VLOOKUP(MID($B221,4,1),Table2[],4,FALSE)</f>
        <v>Current</v>
      </c>
      <c r="G221" s="7">
        <f>VLOOKUP(MID($B221,5,1),Table2[],5,FALSE)</f>
        <v>0.25</v>
      </c>
      <c r="H221" s="7">
        <f>VLOOKUP(MID($B221,6,1),Table2[],6,FALSE)</f>
        <v>0.75</v>
      </c>
      <c r="I221" t="s">
        <v>19</v>
      </c>
      <c r="J221" t="s">
        <v>20</v>
      </c>
      <c r="K221" t="s">
        <v>18</v>
      </c>
      <c r="L221" s="4">
        <f>SUM(Raw!AE206:AP206)*293</f>
        <v>11877654.014154635</v>
      </c>
      <c r="M221" s="4">
        <f>SUM(Raw!AQ206:BB206)*293</f>
        <v>1680325.7</v>
      </c>
      <c r="N221" s="4">
        <f t="shared" si="3"/>
        <v>13557979.714154635</v>
      </c>
      <c r="O221" s="9">
        <f>N221/Processed!$V$20</f>
        <v>124.9470278638757</v>
      </c>
      <c r="P221" s="9">
        <f>Raw!Z206*-293/Processed!$V$20</f>
        <v>41.941905084120101</v>
      </c>
      <c r="Q221" s="12">
        <f>((L221*Processed!$V$21)+(Table3[[#This Row],[Natural Gas kWh]]*Processed!$V$22))/Processed!$V$20</f>
        <v>21.550704157413758</v>
      </c>
      <c r="R221" s="10">
        <f>1-(O221/Processed!$V$23)</f>
        <v>0.42137659291609797</v>
      </c>
      <c r="S221" s="11">
        <f>1-(Processed!Q221/Processed!$V$24)</f>
        <v>0.44526086923423913</v>
      </c>
    </row>
    <row r="222" spans="2:19">
      <c r="B222" s="1" t="s">
        <v>193</v>
      </c>
      <c r="C222">
        <v>72</v>
      </c>
      <c r="D222">
        <f>VLOOKUP(MID($B222,2,1),Table2[],2,FALSE)</f>
        <v>15</v>
      </c>
      <c r="E222">
        <f>VLOOKUP(MID($B222,3,1),Table2[],3,FALSE)</f>
        <v>4</v>
      </c>
      <c r="F222" t="str">
        <f>VLOOKUP(MID($B222,4,1),Table2[],4,FALSE)</f>
        <v>Improved</v>
      </c>
      <c r="G222" s="7" t="str">
        <f>VLOOKUP(MID($B222,5,1),Table2[],5,FALSE)</f>
        <v>Current</v>
      </c>
      <c r="H222" s="7" t="str">
        <f>VLOOKUP(MID($B222,6,1),Table2[],6,FALSE)</f>
        <v>None</v>
      </c>
      <c r="I222" t="s">
        <v>19</v>
      </c>
      <c r="J222" t="s">
        <v>20</v>
      </c>
      <c r="K222" t="s">
        <v>18</v>
      </c>
      <c r="L222" s="4">
        <f>SUM(Raw!AE207:AP207)*293</f>
        <v>13147368.908768291</v>
      </c>
      <c r="M222" s="4">
        <f>SUM(Raw!AQ207:BB207)*293</f>
        <v>2254840.1</v>
      </c>
      <c r="N222" s="4">
        <f t="shared" si="3"/>
        <v>15402209.00876829</v>
      </c>
      <c r="O222" s="9">
        <f>N222/Processed!$V$20</f>
        <v>141.94299436623714</v>
      </c>
      <c r="P222" s="9">
        <f>Raw!Z207*-293/Processed!$V$20</f>
        <v>68.942964687564384</v>
      </c>
      <c r="Q222" s="12">
        <f>((L222*Processed!$V$21)+(Table3[[#This Row],[Natural Gas kWh]]*Processed!$V$22))/Processed!$V$20</f>
        <v>24.545910149126044</v>
      </c>
      <c r="R222" s="10">
        <f>1-(O222/Processed!$V$23)</f>
        <v>0.34266912614070377</v>
      </c>
      <c r="S222" s="11">
        <f>1-(Processed!Q222/Processed!$V$24)</f>
        <v>0.36816093058860233</v>
      </c>
    </row>
    <row r="223" spans="2:19">
      <c r="B223" s="1" t="s">
        <v>195</v>
      </c>
      <c r="C223">
        <v>72</v>
      </c>
      <c r="D223">
        <f>VLOOKUP(MID($B223,2,1),Table2[],2,FALSE)</f>
        <v>15</v>
      </c>
      <c r="E223">
        <f>VLOOKUP(MID($B223,3,1),Table2[],3,FALSE)</f>
        <v>4</v>
      </c>
      <c r="F223" t="str">
        <f>VLOOKUP(MID($B223,4,1),Table2[],4,FALSE)</f>
        <v>Improved</v>
      </c>
      <c r="G223" s="7" t="str">
        <f>VLOOKUP(MID($B223,5,1),Table2[],5,FALSE)</f>
        <v>Current</v>
      </c>
      <c r="H223" s="7">
        <f>VLOOKUP(MID($B223,6,1),Table2[],6,FALSE)</f>
        <v>0.75</v>
      </c>
      <c r="I223" t="s">
        <v>19</v>
      </c>
      <c r="J223" t="s">
        <v>20</v>
      </c>
      <c r="K223" t="s">
        <v>18</v>
      </c>
      <c r="L223" s="4">
        <f>SUM(Raw!AE208:AP208)*293</f>
        <v>12230067.984904274</v>
      </c>
      <c r="M223" s="4">
        <f>SUM(Raw!AQ208:BB208)*293</f>
        <v>1627380.5999999999</v>
      </c>
      <c r="N223" s="4">
        <f t="shared" si="3"/>
        <v>13857448.584904274</v>
      </c>
      <c r="O223" s="9">
        <f>N223/Processed!$V$20</f>
        <v>127.70685979509287</v>
      </c>
      <c r="P223" s="9">
        <f>Raw!Z208*-293/Processed!$V$20</f>
        <v>37.507590811847024</v>
      </c>
      <c r="Q223" s="12">
        <f>((L223*Processed!$V$21)+(Table3[[#This Row],[Natural Gas kWh]]*Processed!$V$22))/Processed!$V$20</f>
        <v>22.010117003653981</v>
      </c>
      <c r="R223" s="10">
        <f>1-(O223/Processed!$V$23)</f>
        <v>0.40859594993226023</v>
      </c>
      <c r="S223" s="11">
        <f>1-(Processed!Q223/Processed!$V$24)</f>
        <v>0.43343507082299548</v>
      </c>
    </row>
    <row r="224" spans="2:19">
      <c r="B224" s="1" t="s">
        <v>197</v>
      </c>
      <c r="C224">
        <v>72</v>
      </c>
      <c r="D224">
        <f>VLOOKUP(MID($B224,2,1),Table2[],2,FALSE)</f>
        <v>15</v>
      </c>
      <c r="E224">
        <f>VLOOKUP(MID($B224,3,1),Table2[],3,FALSE)</f>
        <v>4</v>
      </c>
      <c r="F224" t="str">
        <f>VLOOKUP(MID($B224,4,1),Table2[],4,FALSE)</f>
        <v>Improved</v>
      </c>
      <c r="G224" s="7">
        <f>VLOOKUP(MID($B224,5,1),Table2[],5,FALSE)</f>
        <v>0.25</v>
      </c>
      <c r="H224" s="7" t="str">
        <f>VLOOKUP(MID($B224,6,1),Table2[],6,FALSE)</f>
        <v>None</v>
      </c>
      <c r="I224" t="s">
        <v>19</v>
      </c>
      <c r="J224" t="s">
        <v>20</v>
      </c>
      <c r="K224" t="s">
        <v>18</v>
      </c>
      <c r="L224" s="4">
        <f>SUM(Raw!AE209:AP209)*293</f>
        <v>12702498.945692502</v>
      </c>
      <c r="M224" s="4">
        <f>SUM(Raw!AQ209:BB209)*293</f>
        <v>2283524.8000000003</v>
      </c>
      <c r="N224" s="4">
        <f t="shared" si="3"/>
        <v>14986023.745692503</v>
      </c>
      <c r="O224" s="9">
        <f>N224/Processed!$V$20</f>
        <v>138.10753268548427</v>
      </c>
      <c r="P224" s="9">
        <f>Raw!Z209*-293/Processed!$V$20</f>
        <v>71.167789088166444</v>
      </c>
      <c r="Q224" s="12">
        <f>((L224*Processed!$V$21)+(Table3[[#This Row],[Natural Gas kWh]]*Processed!$V$22))/Processed!$V$20</f>
        <v>23.899168687107672</v>
      </c>
      <c r="R224" s="10">
        <f>1-(O224/Processed!$V$23)</f>
        <v>0.36043095644109946</v>
      </c>
      <c r="S224" s="11">
        <f>1-(Processed!Q224/Processed!$V$24)</f>
        <v>0.38480877623901122</v>
      </c>
    </row>
    <row r="225" spans="1:19">
      <c r="B225" s="1" t="s">
        <v>199</v>
      </c>
      <c r="C225">
        <v>72</v>
      </c>
      <c r="D225">
        <f>VLOOKUP(MID($B225,2,1),Table2[],2,FALSE)</f>
        <v>15</v>
      </c>
      <c r="E225">
        <f>VLOOKUP(MID($B225,3,1),Table2[],3,FALSE)</f>
        <v>4</v>
      </c>
      <c r="F225" t="str">
        <f>VLOOKUP(MID($B225,4,1),Table2[],4,FALSE)</f>
        <v>Improved</v>
      </c>
      <c r="G225" s="7">
        <f>VLOOKUP(MID($B225,5,1),Table2[],5,FALSE)</f>
        <v>0.25</v>
      </c>
      <c r="H225" s="7">
        <f>VLOOKUP(MID($B225,6,1),Table2[],6,FALSE)</f>
        <v>0.75</v>
      </c>
      <c r="I225" t="s">
        <v>19</v>
      </c>
      <c r="J225" t="s">
        <v>20</v>
      </c>
      <c r="K225" t="s">
        <v>18</v>
      </c>
      <c r="L225" s="4">
        <f>SUM(Raw!AE210:AP210)*293</f>
        <v>11801436.02048073</v>
      </c>
      <c r="M225" s="4">
        <f>SUM(Raw!AQ210:BB210)*293</f>
        <v>1651435.9000000001</v>
      </c>
      <c r="N225" s="4">
        <f t="shared" si="3"/>
        <v>13452871.92048073</v>
      </c>
      <c r="O225" s="9">
        <f>N225/Processed!$V$20</f>
        <v>123.97838012271018</v>
      </c>
      <c r="P225" s="9">
        <f>Raw!Z210*-293/Processed!$V$20</f>
        <v>39.92038807686265</v>
      </c>
      <c r="Q225" s="12">
        <f>((L225*Processed!$V$21)+(Table3[[#This Row],[Natural Gas kWh]]*Processed!$V$22))/Processed!$V$20</f>
        <v>21.380709214676408</v>
      </c>
      <c r="R225" s="10">
        <f>1-(O225/Processed!$V$23)</f>
        <v>0.42586235192805255</v>
      </c>
      <c r="S225" s="11">
        <f>1-(Processed!Q225/Processed!$V$24)</f>
        <v>0.44963672842101432</v>
      </c>
    </row>
    <row r="226" spans="1:19">
      <c r="B226" s="1" t="s">
        <v>201</v>
      </c>
      <c r="C226">
        <v>72</v>
      </c>
      <c r="D226">
        <f>VLOOKUP(MID($B226,2,1),Table2[],2,FALSE)</f>
        <v>15</v>
      </c>
      <c r="E226">
        <f>VLOOKUP(MID($B226,3,1),Table2[],3,FALSE)</f>
        <v>5.5</v>
      </c>
      <c r="F226" t="str">
        <f>VLOOKUP(MID($B226,4,1),Table2[],4,FALSE)</f>
        <v>Current</v>
      </c>
      <c r="G226" s="7" t="str">
        <f>VLOOKUP(MID($B226,5,1),Table2[],5,FALSE)</f>
        <v>Current</v>
      </c>
      <c r="H226" s="7" t="str">
        <f>VLOOKUP(MID($B226,6,1),Table2[],6,FALSE)</f>
        <v>None</v>
      </c>
      <c r="I226" t="s">
        <v>19</v>
      </c>
      <c r="J226" t="s">
        <v>20</v>
      </c>
      <c r="K226" t="s">
        <v>18</v>
      </c>
      <c r="L226" s="4">
        <f>SUM(Raw!AE211:AP211)*293</f>
        <v>13077216.914590908</v>
      </c>
      <c r="M226" s="4">
        <f>SUM(Raw!AQ211:BB211)*293</f>
        <v>2228323.6</v>
      </c>
      <c r="N226" s="4">
        <f t="shared" si="3"/>
        <v>15305540.514590908</v>
      </c>
      <c r="O226" s="9">
        <f>N226/Processed!$V$20</f>
        <v>141.0521211469086</v>
      </c>
      <c r="P226" s="9">
        <f>Raw!Z211*-293/Processed!$V$20</f>
        <v>67.014856266204291</v>
      </c>
      <c r="Q226" s="12">
        <f>((L226*Processed!$V$21)+(Table3[[#This Row],[Natural Gas kWh]]*Processed!$V$22))/Processed!$V$20</f>
        <v>24.389574310157641</v>
      </c>
      <c r="R226" s="10">
        <f>1-(O226/Processed!$V$23)</f>
        <v>0.34679471525042849</v>
      </c>
      <c r="S226" s="11">
        <f>1-(Processed!Q226/Processed!$V$24)</f>
        <v>0.37218518922921995</v>
      </c>
    </row>
    <row r="227" spans="1:19">
      <c r="B227" s="1" t="s">
        <v>203</v>
      </c>
      <c r="C227">
        <v>72</v>
      </c>
      <c r="D227">
        <f>VLOOKUP(MID($B227,2,1),Table2[],2,FALSE)</f>
        <v>15</v>
      </c>
      <c r="E227">
        <f>VLOOKUP(MID($B227,3,1),Table2[],3,FALSE)</f>
        <v>5.5</v>
      </c>
      <c r="F227" t="str">
        <f>VLOOKUP(MID($B227,4,1),Table2[],4,FALSE)</f>
        <v>Current</v>
      </c>
      <c r="G227" s="7" t="str">
        <f>VLOOKUP(MID($B227,5,1),Table2[],5,FALSE)</f>
        <v>Current</v>
      </c>
      <c r="H227" s="7">
        <f>VLOOKUP(MID($B227,6,1),Table2[],6,FALSE)</f>
        <v>0.75</v>
      </c>
      <c r="I227" t="s">
        <v>19</v>
      </c>
      <c r="J227" t="s">
        <v>20</v>
      </c>
      <c r="K227" t="s">
        <v>18</v>
      </c>
      <c r="L227" s="4">
        <f>SUM(Raw!AE212:AP212)*293</f>
        <v>12158815.990818189</v>
      </c>
      <c r="M227" s="4">
        <f>SUM(Raw!AQ212:BB212)*293</f>
        <v>1598959.5999999999</v>
      </c>
      <c r="N227" s="4">
        <f t="shared" si="3"/>
        <v>13757775.590818189</v>
      </c>
      <c r="O227" s="9">
        <f>N227/Processed!$V$20</f>
        <v>126.7882978388194</v>
      </c>
      <c r="P227" s="9">
        <f>Raw!Z212*-293/Processed!$V$20</f>
        <v>35.561110118106811</v>
      </c>
      <c r="Q227" s="12">
        <f>((L227*Processed!$V$21)+(Table3[[#This Row],[Natural Gas kWh]]*Processed!$V$22))/Processed!$V$20</f>
        <v>21.848723051273055</v>
      </c>
      <c r="R227" s="10">
        <f>1-(O227/Processed!$V$23)</f>
        <v>0.4128497641913369</v>
      </c>
      <c r="S227" s="11">
        <f>1-(Processed!Q227/Processed!$V$24)</f>
        <v>0.43758953093718378</v>
      </c>
    </row>
    <row r="228" spans="1:19">
      <c r="B228" s="1" t="s">
        <v>205</v>
      </c>
      <c r="C228">
        <v>72</v>
      </c>
      <c r="D228">
        <f>VLOOKUP(MID($B228,2,1),Table2[],2,FALSE)</f>
        <v>15</v>
      </c>
      <c r="E228">
        <f>VLOOKUP(MID($B228,3,1),Table2[],3,FALSE)</f>
        <v>5.5</v>
      </c>
      <c r="F228" t="str">
        <f>VLOOKUP(MID($B228,4,1),Table2[],4,FALSE)</f>
        <v>Current</v>
      </c>
      <c r="G228" s="7">
        <f>VLOOKUP(MID($B228,5,1),Table2[],5,FALSE)</f>
        <v>0.25</v>
      </c>
      <c r="H228" s="7" t="str">
        <f>VLOOKUP(MID($B228,6,1),Table2[],6,FALSE)</f>
        <v>None</v>
      </c>
      <c r="I228" t="s">
        <v>19</v>
      </c>
      <c r="J228" t="s">
        <v>20</v>
      </c>
      <c r="K228" t="s">
        <v>18</v>
      </c>
      <c r="L228" s="4">
        <f>SUM(Raw!AE213:AP213)*293</f>
        <v>12644378.95051646</v>
      </c>
      <c r="M228" s="4">
        <f>SUM(Raw!AQ213:BB213)*293</f>
        <v>2250708.8000000003</v>
      </c>
      <c r="N228" s="4">
        <f t="shared" si="3"/>
        <v>14895087.750516461</v>
      </c>
      <c r="O228" s="9">
        <f>N228/Processed!$V$20</f>
        <v>137.26948877609357</v>
      </c>
      <c r="P228" s="9">
        <f>Raw!Z213*-293/Processed!$V$20</f>
        <v>69.381109901146985</v>
      </c>
      <c r="Q228" s="12">
        <f>((L228*Processed!$V$21)+(Table3[[#This Row],[Natural Gas kWh]]*Processed!$V$22))/Processed!$V$20</f>
        <v>23.75065273777706</v>
      </c>
      <c r="R228" s="10">
        <f>1-(O228/Processed!$V$23)</f>
        <v>0.36431189567132949</v>
      </c>
      <c r="S228" s="11">
        <f>1-(Processed!Q228/Processed!$V$24)</f>
        <v>0.38863174220962304</v>
      </c>
    </row>
    <row r="229" spans="1:19">
      <c r="B229" s="1" t="s">
        <v>207</v>
      </c>
      <c r="C229">
        <v>72</v>
      </c>
      <c r="D229">
        <f>VLOOKUP(MID($B229,2,1),Table2[],2,FALSE)</f>
        <v>15</v>
      </c>
      <c r="E229">
        <f>VLOOKUP(MID($B229,3,1),Table2[],3,FALSE)</f>
        <v>5.5</v>
      </c>
      <c r="F229" t="str">
        <f>VLOOKUP(MID($B229,4,1),Table2[],4,FALSE)</f>
        <v>Current</v>
      </c>
      <c r="G229" s="7">
        <f>VLOOKUP(MID($B229,5,1),Table2[],5,FALSE)</f>
        <v>0.25</v>
      </c>
      <c r="H229" s="7">
        <f>VLOOKUP(MID($B229,6,1),Table2[],6,FALSE)</f>
        <v>0.75</v>
      </c>
      <c r="I229" t="s">
        <v>19</v>
      </c>
      <c r="J229" t="s">
        <v>20</v>
      </c>
      <c r="K229" t="s">
        <v>18</v>
      </c>
      <c r="L229" s="4">
        <f>SUM(Raw!AE214:AP214)*293</f>
        <v>11725876.026752209</v>
      </c>
      <c r="M229" s="4">
        <f>SUM(Raw!AQ214:BB214)*293</f>
        <v>1621462</v>
      </c>
      <c r="N229" s="4">
        <f t="shared" si="3"/>
        <v>13347338.026752209</v>
      </c>
      <c r="O229" s="9">
        <f>N229/Processed!$V$20</f>
        <v>123.00580554756796</v>
      </c>
      <c r="P229" s="9">
        <f>Raw!Z214*-293/Processed!$V$20</f>
        <v>37.899408412668635</v>
      </c>
      <c r="Q229" s="12">
        <f>((L229*Processed!$V$21)+(Table3[[#This Row],[Natural Gas kWh]]*Processed!$V$22))/Processed!$V$20</f>
        <v>21.209846894149472</v>
      </c>
      <c r="R229" s="10">
        <f>1-(O229/Processed!$V$23)</f>
        <v>0.43036629591081832</v>
      </c>
      <c r="S229" s="11">
        <f>1-(Processed!Q229/Processed!$V$24)</f>
        <v>0.45403491487828274</v>
      </c>
    </row>
    <row r="230" spans="1:19">
      <c r="B230" s="1" t="s">
        <v>209</v>
      </c>
      <c r="C230">
        <v>72</v>
      </c>
      <c r="D230">
        <f>VLOOKUP(MID($B230,2,1),Table2[],2,FALSE)</f>
        <v>15</v>
      </c>
      <c r="E230">
        <f>VLOOKUP(MID($B230,3,1),Table2[],3,FALSE)</f>
        <v>5.5</v>
      </c>
      <c r="F230" t="str">
        <f>VLOOKUP(MID($B230,4,1),Table2[],4,FALSE)</f>
        <v>Improved</v>
      </c>
      <c r="G230" s="7" t="str">
        <f>VLOOKUP(MID($B230,5,1),Table2[],5,FALSE)</f>
        <v>Current</v>
      </c>
      <c r="H230" s="7" t="str">
        <f>VLOOKUP(MID($B230,6,1),Table2[],6,FALSE)</f>
        <v>None</v>
      </c>
      <c r="I230" t="s">
        <v>19</v>
      </c>
      <c r="J230" t="s">
        <v>20</v>
      </c>
      <c r="K230" t="s">
        <v>18</v>
      </c>
      <c r="L230" s="4">
        <f>SUM(Raw!AE215:AP215)*293</f>
        <v>13013877.919848043</v>
      </c>
      <c r="M230" s="4">
        <f>SUM(Raw!AQ215:BB215)*293</f>
        <v>2180593.9</v>
      </c>
      <c r="N230" s="4">
        <f t="shared" si="3"/>
        <v>15194471.819848044</v>
      </c>
      <c r="O230" s="9">
        <f>N230/Processed!$V$20</f>
        <v>140.02853919816496</v>
      </c>
      <c r="P230" s="9">
        <f>Raw!Z215*-293/Processed!$V$20</f>
        <v>65.251863377438568</v>
      </c>
      <c r="Q230" s="12">
        <f>((L230*Processed!$V$21)+(Table3[[#This Row],[Natural Gas kWh]]*Processed!$V$22))/Processed!$V$20</f>
        <v>24.206768073842646</v>
      </c>
      <c r="R230" s="10">
        <f>1-(O230/Processed!$V$23)</f>
        <v>0.35153487181707277</v>
      </c>
      <c r="S230" s="11">
        <f>1-(Processed!Q230/Processed!$V$24)</f>
        <v>0.3768908253834361</v>
      </c>
    </row>
    <row r="231" spans="1:19">
      <c r="B231" s="1" t="s">
        <v>211</v>
      </c>
      <c r="C231">
        <v>72</v>
      </c>
      <c r="D231">
        <f>VLOOKUP(MID($B231,2,1),Table2[],2,FALSE)</f>
        <v>15</v>
      </c>
      <c r="E231">
        <f>VLOOKUP(MID($B231,3,1),Table2[],3,FALSE)</f>
        <v>5.5</v>
      </c>
      <c r="F231" t="str">
        <f>VLOOKUP(MID($B231,4,1),Table2[],4,FALSE)</f>
        <v>Improved</v>
      </c>
      <c r="G231" s="7" t="str">
        <f>VLOOKUP(MID($B231,5,1),Table2[],5,FALSE)</f>
        <v>Current</v>
      </c>
      <c r="H231" s="7">
        <f>VLOOKUP(MID($B231,6,1),Table2[],6,FALSE)</f>
        <v>0.75</v>
      </c>
      <c r="I231" t="s">
        <v>19</v>
      </c>
      <c r="J231" t="s">
        <v>20</v>
      </c>
      <c r="K231" t="s">
        <v>18</v>
      </c>
      <c r="L231" s="4">
        <f>SUM(Raw!AE216:AP216)*293</f>
        <v>12083482.997070828</v>
      </c>
      <c r="M231" s="4">
        <f>SUM(Raw!AQ216:BB216)*293</f>
        <v>1557675.9000000001</v>
      </c>
      <c r="N231" s="4">
        <f t="shared" si="3"/>
        <v>13641158.897070829</v>
      </c>
      <c r="O231" s="9">
        <f>N231/Processed!$V$20</f>
        <v>125.71358688702233</v>
      </c>
      <c r="P231" s="9">
        <f>Raw!Z216*-293/Processed!$V$20</f>
        <v>33.624306999941304</v>
      </c>
      <c r="Q231" s="12">
        <f>((L231*Processed!$V$21)+(Table3[[#This Row],[Natural Gas kWh]]*Processed!$V$22))/Processed!$V$20</f>
        <v>21.658412979654621</v>
      </c>
      <c r="R231" s="10">
        <f>1-(O231/Processed!$V$23)</f>
        <v>0.41782669660173954</v>
      </c>
      <c r="S231" s="11">
        <f>1-(Processed!Q231/Processed!$V$24)</f>
        <v>0.44248832417078032</v>
      </c>
    </row>
    <row r="232" spans="1:19">
      <c r="B232" s="1" t="s">
        <v>213</v>
      </c>
      <c r="C232">
        <v>72</v>
      </c>
      <c r="D232">
        <f>VLOOKUP(MID($B232,2,1),Table2[],2,FALSE)</f>
        <v>15</v>
      </c>
      <c r="E232">
        <f>VLOOKUP(MID($B232,3,1),Table2[],3,FALSE)</f>
        <v>5.5</v>
      </c>
      <c r="F232" t="str">
        <f>VLOOKUP(MID($B232,4,1),Table2[],4,FALSE)</f>
        <v>Improved</v>
      </c>
      <c r="G232" s="7">
        <f>VLOOKUP(MID($B232,5,1),Table2[],5,FALSE)</f>
        <v>0.25</v>
      </c>
      <c r="H232" s="7" t="str">
        <f>VLOOKUP(MID($B232,6,1),Table2[],6,FALSE)</f>
        <v>None</v>
      </c>
      <c r="I232" t="s">
        <v>19</v>
      </c>
      <c r="J232" t="s">
        <v>20</v>
      </c>
      <c r="K232" t="s">
        <v>18</v>
      </c>
      <c r="L232" s="4">
        <f>SUM(Raw!AE217:AP217)*293</f>
        <v>12570956.956610488</v>
      </c>
      <c r="M232" s="4">
        <f>SUM(Raw!AQ217:BB217)*293</f>
        <v>2219445.6999999997</v>
      </c>
      <c r="N232" s="4">
        <f t="shared" si="3"/>
        <v>14790402.656610487</v>
      </c>
      <c r="O232" s="9">
        <f>N232/Processed!$V$20</f>
        <v>136.3047365326936</v>
      </c>
      <c r="P232" s="9">
        <f>Raw!Z217*-293/Processed!$V$20</f>
        <v>67.465122751202884</v>
      </c>
      <c r="Q232" s="12">
        <f>((L232*Processed!$V$21)+(Table3[[#This Row],[Natural Gas kWh]]*Processed!$V$22))/Processed!$V$20</f>
        <v>23.580882594603182</v>
      </c>
      <c r="R232" s="10">
        <f>1-(O232/Processed!$V$23)</f>
        <v>0.36877961482889199</v>
      </c>
      <c r="S232" s="11">
        <f>1-(Processed!Q232/Processed!$V$24)</f>
        <v>0.39300181480522578</v>
      </c>
    </row>
    <row r="233" spans="1:19">
      <c r="A233" t="s">
        <v>72</v>
      </c>
      <c r="B233" s="1" t="s">
        <v>215</v>
      </c>
      <c r="C233">
        <v>72</v>
      </c>
      <c r="D233">
        <f>VLOOKUP(MID($B233,2,1),Table2[],2,FALSE)</f>
        <v>15</v>
      </c>
      <c r="E233">
        <f>VLOOKUP(MID($B233,3,1),Table2[],3,FALSE)</f>
        <v>5.5</v>
      </c>
      <c r="F233" t="str">
        <f>VLOOKUP(MID($B233,4,1),Table2[],4,FALSE)</f>
        <v>Improved</v>
      </c>
      <c r="G233" s="7">
        <f>VLOOKUP(MID($B233,5,1),Table2[],5,FALSE)</f>
        <v>0.25</v>
      </c>
      <c r="H233" s="7">
        <f>VLOOKUP(MID($B233,6,1),Table2[],6,FALSE)</f>
        <v>0.75</v>
      </c>
      <c r="I233" t="s">
        <v>19</v>
      </c>
      <c r="J233" t="s">
        <v>20</v>
      </c>
      <c r="K233" t="s">
        <v>18</v>
      </c>
      <c r="L233" s="4">
        <f>SUM(Raw!AE218:AP218)*293</f>
        <v>11649227.033114078</v>
      </c>
      <c r="M233" s="4">
        <f>SUM(Raw!AQ218:BB218)*293</f>
        <v>1593128.9000000001</v>
      </c>
      <c r="N233" s="4">
        <f t="shared" si="3"/>
        <v>13242355.933114078</v>
      </c>
      <c r="O233" s="9">
        <f>N233/Processed!$V$20</f>
        <v>122.03831622721464</v>
      </c>
      <c r="P233" s="9">
        <f>Raw!Z218*-293/Processed!$V$20</f>
        <v>35.895739835809863</v>
      </c>
      <c r="Q233" s="12">
        <f>((L233*Processed!$V$21)+(Table3[[#This Row],[Natural Gas kWh]]*Processed!$V$22))/Processed!$V$20</f>
        <v>21.040151491173368</v>
      </c>
      <c r="R233" s="10">
        <f>1-(O233/Processed!$V$23)</f>
        <v>0.43484669033420564</v>
      </c>
      <c r="S233" s="11">
        <f>1-(Processed!Q233/Processed!$V$24)</f>
        <v>0.45840306357794014</v>
      </c>
    </row>
    <row r="234" spans="1:19">
      <c r="A234" t="s">
        <v>72</v>
      </c>
      <c r="B234" t="str">
        <f>B18</f>
        <v>1AAAAA</v>
      </c>
      <c r="C234">
        <f t="shared" ref="C234:J234" si="4">C18</f>
        <v>1</v>
      </c>
      <c r="D234">
        <f t="shared" si="4"/>
        <v>5</v>
      </c>
      <c r="E234">
        <f t="shared" si="4"/>
        <v>2.8</v>
      </c>
      <c r="F234" t="str">
        <f t="shared" si="4"/>
        <v>Current</v>
      </c>
      <c r="G234" t="str">
        <f t="shared" si="4"/>
        <v>Current</v>
      </c>
      <c r="H234" t="str">
        <f t="shared" si="4"/>
        <v>None</v>
      </c>
      <c r="I234" t="str">
        <f t="shared" si="4"/>
        <v>Current</v>
      </c>
      <c r="J234" t="str">
        <f t="shared" si="4"/>
        <v>Current</v>
      </c>
      <c r="K234" t="s">
        <v>21</v>
      </c>
      <c r="L234" s="4">
        <f>L18-200000</f>
        <v>11627263.018337088</v>
      </c>
      <c r="M234" s="4">
        <f>M18</f>
        <v>11604177.1</v>
      </c>
      <c r="N234" s="4">
        <f>Table3[[#This Row],[Natural Gas kWh]]+Table3[[#This Row],[Electricity kWh]]</f>
        <v>23231440.118337087</v>
      </c>
      <c r="O234" s="9">
        <f>Table3[[#This Row],[Total Energy kWh]]/$V$20</f>
        <v>214.0952750322663</v>
      </c>
      <c r="P234" s="9">
        <f>P18</f>
        <v>100.94387728636197</v>
      </c>
      <c r="Q234" s="12">
        <f>((L234*Processed!$V$21)+(Table3[[#This Row],[Natural Gas kWh]]*Processed!$V$22))/Processed!$V$20</f>
        <v>38.535021963989358</v>
      </c>
      <c r="R234" s="10">
        <f>1-(O234/Processed!$V$23)</f>
        <v>8.5355402395212998E-3</v>
      </c>
      <c r="S234" s="11">
        <f>1-(Processed!Q234/Processed!$V$24)</f>
        <v>8.0656097267709503E-3</v>
      </c>
    </row>
    <row r="235" spans="1:19">
      <c r="B235" t="str">
        <f t="shared" ref="B235:J235" si="5">B19</f>
        <v>1AAAAB</v>
      </c>
      <c r="C235">
        <f t="shared" si="5"/>
        <v>2</v>
      </c>
      <c r="D235">
        <f t="shared" si="5"/>
        <v>5</v>
      </c>
      <c r="E235">
        <f t="shared" si="5"/>
        <v>2.8</v>
      </c>
      <c r="F235" t="str">
        <f t="shared" si="5"/>
        <v>Current</v>
      </c>
      <c r="G235" t="str">
        <f t="shared" si="5"/>
        <v>Current</v>
      </c>
      <c r="H235">
        <f t="shared" si="5"/>
        <v>0.75</v>
      </c>
      <c r="I235" t="str">
        <f t="shared" si="5"/>
        <v>Current</v>
      </c>
      <c r="J235" t="str">
        <f t="shared" si="5"/>
        <v>Current</v>
      </c>
      <c r="K235" t="s">
        <v>21</v>
      </c>
      <c r="L235" s="4">
        <f t="shared" ref="L235:L298" si="6">L19-200000</f>
        <v>11988437.988359561</v>
      </c>
      <c r="M235" s="4">
        <f t="shared" ref="M235:M298" si="7">M19</f>
        <v>7677596.1999999993</v>
      </c>
      <c r="N235" s="4">
        <f>Table3[[#This Row],[Natural Gas kWh]]+Table3[[#This Row],[Electricity kWh]]</f>
        <v>19666034.188359559</v>
      </c>
      <c r="O235" s="9">
        <f>Table3[[#This Row],[Total Energy kWh]]/$V$20</f>
        <v>181.23736526464523</v>
      </c>
      <c r="P235" s="9">
        <f t="shared" ref="P235:P298" si="8">P19</f>
        <v>65.586922429549105</v>
      </c>
      <c r="Q235" s="12">
        <f>((L235*Processed!$V$21)+(Table3[[#This Row],[Natural Gas kWh]]*Processed!$V$22))/Processed!$V$20</f>
        <v>32.225449102883104</v>
      </c>
      <c r="R235" s="10">
        <f>1-(O235/Processed!$V$23)</f>
        <v>0.1606988691672766</v>
      </c>
      <c r="S235" s="11">
        <f>1-(Processed!Q235/Processed!$V$24)</f>
        <v>0.1704810435291606</v>
      </c>
    </row>
    <row r="236" spans="1:19">
      <c r="B236" t="str">
        <f t="shared" ref="B236:J236" si="9">B20</f>
        <v>1AAABA</v>
      </c>
      <c r="C236">
        <f t="shared" si="9"/>
        <v>3</v>
      </c>
      <c r="D236">
        <f t="shared" si="9"/>
        <v>5</v>
      </c>
      <c r="E236">
        <f t="shared" si="9"/>
        <v>2.8</v>
      </c>
      <c r="F236" t="str">
        <f t="shared" si="9"/>
        <v>Current</v>
      </c>
      <c r="G236">
        <f t="shared" si="9"/>
        <v>0.25</v>
      </c>
      <c r="H236" t="str">
        <f t="shared" si="9"/>
        <v>None</v>
      </c>
      <c r="I236" t="str">
        <f t="shared" si="9"/>
        <v>Current</v>
      </c>
      <c r="J236" t="str">
        <f t="shared" si="9"/>
        <v>Current</v>
      </c>
      <c r="K236" t="s">
        <v>21</v>
      </c>
      <c r="L236" s="4">
        <f t="shared" si="6"/>
        <v>11103698.061792981</v>
      </c>
      <c r="M236" s="4">
        <f t="shared" si="7"/>
        <v>11891141.299999999</v>
      </c>
      <c r="N236" s="4">
        <f>Table3[[#This Row],[Natural Gas kWh]]+Table3[[#This Row],[Electricity kWh]]</f>
        <v>22994839.361792982</v>
      </c>
      <c r="O236" s="9">
        <f>Table3[[#This Row],[Total Energy kWh]]/$V$20</f>
        <v>211.91482027840155</v>
      </c>
      <c r="P236" s="9">
        <f t="shared" si="8"/>
        <v>103.68770758083693</v>
      </c>
      <c r="Q236" s="12">
        <f>((L236*Processed!$V$21)+(Table3[[#This Row],[Natural Gas kWh]]*Processed!$V$22))/Processed!$V$20</f>
        <v>38.217236494659787</v>
      </c>
      <c r="R236" s="10">
        <f>1-(O236/Processed!$V$23)</f>
        <v>1.8633116630438318E-2</v>
      </c>
      <c r="S236" s="11">
        <f>1-(Processed!Q236/Processed!$V$24)</f>
        <v>1.6245761694809069E-2</v>
      </c>
    </row>
    <row r="237" spans="1:19">
      <c r="B237" t="str">
        <f t="shared" ref="B237:J237" si="10">B21</f>
        <v>1AAABB</v>
      </c>
      <c r="C237">
        <f t="shared" si="10"/>
        <v>4</v>
      </c>
      <c r="D237">
        <f t="shared" si="10"/>
        <v>5</v>
      </c>
      <c r="E237">
        <f t="shared" si="10"/>
        <v>2.8</v>
      </c>
      <c r="F237" t="str">
        <f t="shared" si="10"/>
        <v>Current</v>
      </c>
      <c r="G237">
        <f t="shared" si="10"/>
        <v>0.25</v>
      </c>
      <c r="H237">
        <f t="shared" si="10"/>
        <v>0.75</v>
      </c>
      <c r="I237" t="str">
        <f t="shared" si="10"/>
        <v>Current</v>
      </c>
      <c r="J237" t="str">
        <f t="shared" si="10"/>
        <v>Current</v>
      </c>
      <c r="K237" t="s">
        <v>21</v>
      </c>
      <c r="L237" s="4">
        <f t="shared" si="6"/>
        <v>11466316.031695688</v>
      </c>
      <c r="M237" s="4">
        <f t="shared" si="7"/>
        <v>7972383.5</v>
      </c>
      <c r="N237" s="4">
        <f>Table3[[#This Row],[Natural Gas kWh]]+Table3[[#This Row],[Electricity kWh]]</f>
        <v>19438699.531695686</v>
      </c>
      <c r="O237" s="9">
        <f>Table3[[#This Row],[Total Energy kWh]]/$V$20</f>
        <v>179.1423046229074</v>
      </c>
      <c r="P237" s="9">
        <f t="shared" si="8"/>
        <v>68.326645694880881</v>
      </c>
      <c r="Q237" s="12">
        <f>((L237*Processed!$V$21)+(Table3[[#This Row],[Natural Gas kWh]]*Processed!$V$22))/Processed!$V$20</f>
        <v>31.923622548172276</v>
      </c>
      <c r="R237" s="10">
        <f>1-(O237/Processed!$V$23)</f>
        <v>0.17040098971623774</v>
      </c>
      <c r="S237" s="11">
        <f>1-(Processed!Q237/Processed!$V$24)</f>
        <v>0.17825039525796293</v>
      </c>
    </row>
    <row r="238" spans="1:19">
      <c r="B238" t="str">
        <f t="shared" ref="B238:J238" si="11">B22</f>
        <v>1AABAA</v>
      </c>
      <c r="C238">
        <f t="shared" si="11"/>
        <v>5</v>
      </c>
      <c r="D238">
        <f t="shared" si="11"/>
        <v>5</v>
      </c>
      <c r="E238">
        <f t="shared" si="11"/>
        <v>2.8</v>
      </c>
      <c r="F238" t="str">
        <f t="shared" si="11"/>
        <v>Improved</v>
      </c>
      <c r="G238" t="str">
        <f t="shared" si="11"/>
        <v>Current</v>
      </c>
      <c r="H238" t="str">
        <f t="shared" si="11"/>
        <v>None</v>
      </c>
      <c r="I238" t="str">
        <f t="shared" si="11"/>
        <v>Current</v>
      </c>
      <c r="J238" t="str">
        <f t="shared" si="11"/>
        <v>Current</v>
      </c>
      <c r="K238" t="s">
        <v>21</v>
      </c>
      <c r="L238" s="4">
        <f t="shared" si="6"/>
        <v>11628447.018238815</v>
      </c>
      <c r="M238" s="4">
        <f t="shared" si="7"/>
        <v>11403970.200000001</v>
      </c>
      <c r="N238" s="4">
        <f>Table3[[#This Row],[Natural Gas kWh]]+Table3[[#This Row],[Electricity kWh]]</f>
        <v>23032417.218238816</v>
      </c>
      <c r="O238" s="9">
        <f>Table3[[#This Row],[Total Energy kWh]]/$V$20</f>
        <v>212.26112862045494</v>
      </c>
      <c r="P238" s="9">
        <f t="shared" si="8"/>
        <v>98.976326804058843</v>
      </c>
      <c r="Q238" s="12">
        <f>((L238*Processed!$V$21)+(Table3[[#This Row],[Natural Gas kWh]]*Processed!$V$22))/Processed!$V$20</f>
        <v>38.186315916670026</v>
      </c>
      <c r="R238" s="10">
        <f>1-(O238/Processed!$V$23)</f>
        <v>1.702938010139643E-2</v>
      </c>
      <c r="S238" s="11">
        <f>1-(Processed!Q238/Processed!$V$24)</f>
        <v>1.704169181530657E-2</v>
      </c>
    </row>
    <row r="239" spans="1:19">
      <c r="B239" t="str">
        <f t="shared" ref="B239:J239" si="12">B23</f>
        <v>1AABAB</v>
      </c>
      <c r="C239">
        <f t="shared" si="12"/>
        <v>6</v>
      </c>
      <c r="D239">
        <f t="shared" si="12"/>
        <v>5</v>
      </c>
      <c r="E239">
        <f t="shared" si="12"/>
        <v>2.8</v>
      </c>
      <c r="F239" t="str">
        <f t="shared" si="12"/>
        <v>Improved</v>
      </c>
      <c r="G239" t="str">
        <f t="shared" si="12"/>
        <v>Current</v>
      </c>
      <c r="H239">
        <f t="shared" si="12"/>
        <v>0.75</v>
      </c>
      <c r="I239" t="str">
        <f t="shared" si="12"/>
        <v>Current</v>
      </c>
      <c r="J239" t="str">
        <f t="shared" si="12"/>
        <v>Current</v>
      </c>
      <c r="K239" t="s">
        <v>21</v>
      </c>
      <c r="L239" s="4">
        <f t="shared" si="6"/>
        <v>11989692.988255396</v>
      </c>
      <c r="M239" s="4">
        <f t="shared" si="7"/>
        <v>7470796.7999999998</v>
      </c>
      <c r="N239" s="4">
        <f>Table3[[#This Row],[Natural Gas kWh]]+Table3[[#This Row],[Electricity kWh]]</f>
        <v>19460489.788255397</v>
      </c>
      <c r="O239" s="9">
        <f>Table3[[#This Row],[Total Energy kWh]]/$V$20</f>
        <v>179.34311830244732</v>
      </c>
      <c r="P239" s="9">
        <f t="shared" si="8"/>
        <v>63.620184712382127</v>
      </c>
      <c r="Q239" s="12">
        <f>((L239*Processed!$V$21)+(Table3[[#This Row],[Natural Gas kWh]]*Processed!$V$22))/Processed!$V$20</f>
        <v>31.865310864618412</v>
      </c>
      <c r="R239" s="10">
        <f>1-(O239/Processed!$V$23)</f>
        <v>0.16947103165776334</v>
      </c>
      <c r="S239" s="11">
        <f>1-(Processed!Q239/Processed!$V$24)</f>
        <v>0.17975140294717251</v>
      </c>
    </row>
    <row r="240" spans="1:19">
      <c r="B240" t="str">
        <f t="shared" ref="B240:J240" si="13">B24</f>
        <v>1AABBA</v>
      </c>
      <c r="C240">
        <f t="shared" si="13"/>
        <v>7</v>
      </c>
      <c r="D240">
        <f t="shared" si="13"/>
        <v>5</v>
      </c>
      <c r="E240">
        <f t="shared" si="13"/>
        <v>2.8</v>
      </c>
      <c r="F240" t="str">
        <f t="shared" si="13"/>
        <v>Improved</v>
      </c>
      <c r="G240">
        <f t="shared" si="13"/>
        <v>0.25</v>
      </c>
      <c r="H240" t="str">
        <f t="shared" si="13"/>
        <v>None</v>
      </c>
      <c r="I240" t="str">
        <f t="shared" si="13"/>
        <v>Current</v>
      </c>
      <c r="J240" t="str">
        <f t="shared" si="13"/>
        <v>Current</v>
      </c>
      <c r="K240" t="s">
        <v>21</v>
      </c>
      <c r="L240" s="4">
        <f t="shared" si="6"/>
        <v>11103910.061775386</v>
      </c>
      <c r="M240" s="4">
        <f t="shared" si="7"/>
        <v>11684224.700000001</v>
      </c>
      <c r="N240" s="4">
        <f>Table3[[#This Row],[Natural Gas kWh]]+Table3[[#This Row],[Electricity kWh]]</f>
        <v>22788134.761775389</v>
      </c>
      <c r="O240" s="9">
        <f>Table3[[#This Row],[Total Energy kWh]]/$V$20</f>
        <v>210.00988119732108</v>
      </c>
      <c r="P240" s="9">
        <f t="shared" si="8"/>
        <v>101.69297672025948</v>
      </c>
      <c r="Q240" s="12">
        <f>((L240*Processed!$V$21)+(Table3[[#This Row],[Natural Gas kWh]]*Processed!$V$22))/Processed!$V$20</f>
        <v>37.85525899445387</v>
      </c>
      <c r="R240" s="10">
        <f>1-(O240/Processed!$V$23)</f>
        <v>2.7454793786159892E-2</v>
      </c>
      <c r="S240" s="11">
        <f>1-(Processed!Q240/Processed!$V$24)</f>
        <v>2.5563465763978166E-2</v>
      </c>
    </row>
    <row r="241" spans="2:19">
      <c r="B241" t="str">
        <f t="shared" ref="B241:J241" si="14">B25</f>
        <v>1AABBB</v>
      </c>
      <c r="C241">
        <f t="shared" si="14"/>
        <v>8</v>
      </c>
      <c r="D241">
        <f t="shared" si="14"/>
        <v>5</v>
      </c>
      <c r="E241">
        <f t="shared" si="14"/>
        <v>2.8</v>
      </c>
      <c r="F241" t="str">
        <f t="shared" si="14"/>
        <v>Improved</v>
      </c>
      <c r="G241">
        <f t="shared" si="14"/>
        <v>0.25</v>
      </c>
      <c r="H241">
        <f t="shared" si="14"/>
        <v>0.75</v>
      </c>
      <c r="I241" t="str">
        <f t="shared" si="14"/>
        <v>Current</v>
      </c>
      <c r="J241" t="str">
        <f t="shared" si="14"/>
        <v>Current</v>
      </c>
      <c r="K241" t="s">
        <v>21</v>
      </c>
      <c r="L241" s="4">
        <f t="shared" si="6"/>
        <v>11466718.031662323</v>
      </c>
      <c r="M241" s="4">
        <f t="shared" si="7"/>
        <v>7766375.1999999993</v>
      </c>
      <c r="N241" s="4">
        <f>Table3[[#This Row],[Natural Gas kWh]]+Table3[[#This Row],[Electricity kWh]]</f>
        <v>19233093.231662322</v>
      </c>
      <c r="O241" s="9">
        <f>Table3[[#This Row],[Total Energy kWh]]/$V$20</f>
        <v>177.24748720608852</v>
      </c>
      <c r="P241" s="9">
        <f t="shared" si="8"/>
        <v>66.332676295328014</v>
      </c>
      <c r="Q241" s="12">
        <f>((L241*Processed!$V$21)+(Table3[[#This Row],[Natural Gas kWh]]*Processed!$V$22))/Processed!$V$20</f>
        <v>31.563533144307581</v>
      </c>
      <c r="R241" s="10">
        <f>1-(O241/Processed!$V$23)</f>
        <v>0.17917579395340721</v>
      </c>
      <c r="S241" s="11">
        <f>1-(Processed!Q241/Processed!$V$24)</f>
        <v>0.18751949762412123</v>
      </c>
    </row>
    <row r="242" spans="2:19">
      <c r="B242" t="str">
        <f t="shared" ref="B242:J242" si="15">B26</f>
        <v>1ABAAA</v>
      </c>
      <c r="C242">
        <f t="shared" si="15"/>
        <v>9</v>
      </c>
      <c r="D242">
        <f t="shared" si="15"/>
        <v>5</v>
      </c>
      <c r="E242">
        <f t="shared" si="15"/>
        <v>4</v>
      </c>
      <c r="F242" t="str">
        <f t="shared" si="15"/>
        <v>Current</v>
      </c>
      <c r="G242" t="str">
        <f t="shared" si="15"/>
        <v>Current</v>
      </c>
      <c r="H242" t="str">
        <f t="shared" si="15"/>
        <v>None</v>
      </c>
      <c r="I242" t="str">
        <f t="shared" si="15"/>
        <v>Current</v>
      </c>
      <c r="J242" t="str">
        <f t="shared" si="15"/>
        <v>Current</v>
      </c>
      <c r="K242" t="s">
        <v>21</v>
      </c>
      <c r="L242" s="4">
        <f t="shared" si="6"/>
        <v>11640697.017222067</v>
      </c>
      <c r="M242" s="4">
        <f t="shared" si="7"/>
        <v>10787908.4</v>
      </c>
      <c r="N242" s="4">
        <f>Table3[[#This Row],[Natural Gas kWh]]+Table3[[#This Row],[Electricity kWh]]</f>
        <v>22428605.417222068</v>
      </c>
      <c r="O242" s="9">
        <f>Table3[[#This Row],[Total Energy kWh]]/$V$20</f>
        <v>206.69654661658811</v>
      </c>
      <c r="P242" s="9">
        <f t="shared" si="8"/>
        <v>92.911346447878998</v>
      </c>
      <c r="Q242" s="12">
        <f>((L242*Processed!$V$21)+(Table3[[#This Row],[Natural Gas kWh]]*Processed!$V$22))/Processed!$V$20</f>
        <v>37.126787475993709</v>
      </c>
      <c r="R242" s="10">
        <f>1-(O242/Processed!$V$23)</f>
        <v>4.2798679724777799E-2</v>
      </c>
      <c r="S242" s="11">
        <f>1-(Processed!Q242/Processed!$V$24)</f>
        <v>4.4315134107918763E-2</v>
      </c>
    </row>
    <row r="243" spans="2:19">
      <c r="B243" t="str">
        <f t="shared" ref="B243:J243" si="16">B27</f>
        <v>1ABAAB</v>
      </c>
      <c r="C243">
        <f t="shared" si="16"/>
        <v>10</v>
      </c>
      <c r="D243">
        <f t="shared" si="16"/>
        <v>5</v>
      </c>
      <c r="E243">
        <f t="shared" si="16"/>
        <v>4</v>
      </c>
      <c r="F243" t="str">
        <f t="shared" si="16"/>
        <v>Current</v>
      </c>
      <c r="G243" t="str">
        <f t="shared" si="16"/>
        <v>Current</v>
      </c>
      <c r="H243">
        <f t="shared" si="16"/>
        <v>0.75</v>
      </c>
      <c r="I243" t="str">
        <f t="shared" si="16"/>
        <v>Current</v>
      </c>
      <c r="J243" t="str">
        <f t="shared" si="16"/>
        <v>Current</v>
      </c>
      <c r="K243" t="s">
        <v>21</v>
      </c>
      <c r="L243" s="4">
        <f t="shared" si="6"/>
        <v>12001176.987302227</v>
      </c>
      <c r="M243" s="4">
        <f t="shared" si="7"/>
        <v>6831881</v>
      </c>
      <c r="N243" s="4">
        <f>Table3[[#This Row],[Natural Gas kWh]]+Table3[[#This Row],[Electricity kWh]]</f>
        <v>18833057.987302229</v>
      </c>
      <c r="O243" s="9">
        <f>Table3[[#This Row],[Total Energy kWh]]/$V$20</f>
        <v>173.56086015121767</v>
      </c>
      <c r="P243" s="9">
        <f t="shared" si="8"/>
        <v>57.560607489217084</v>
      </c>
      <c r="Q243" s="12">
        <f>((L243*Processed!$V$21)+(Table3[[#This Row],[Natural Gas kWh]]*Processed!$V$22))/Processed!$V$20</f>
        <v>30.764565141307671</v>
      </c>
      <c r="R243" s="10">
        <f>1-(O243/Processed!$V$23)</f>
        <v>0.19624837858071864</v>
      </c>
      <c r="S243" s="11">
        <f>1-(Processed!Q243/Processed!$V$24)</f>
        <v>0.20808582400753795</v>
      </c>
    </row>
    <row r="244" spans="2:19">
      <c r="B244" t="str">
        <f t="shared" ref="B244:J244" si="17">B28</f>
        <v>1ABABA</v>
      </c>
      <c r="C244">
        <f t="shared" si="17"/>
        <v>11</v>
      </c>
      <c r="D244">
        <f t="shared" si="17"/>
        <v>5</v>
      </c>
      <c r="E244">
        <f t="shared" si="17"/>
        <v>4</v>
      </c>
      <c r="F244" t="str">
        <f t="shared" si="17"/>
        <v>Current</v>
      </c>
      <c r="G244">
        <f t="shared" si="17"/>
        <v>0.25</v>
      </c>
      <c r="H244" t="str">
        <f t="shared" si="17"/>
        <v>None</v>
      </c>
      <c r="I244" t="str">
        <f t="shared" si="17"/>
        <v>Current</v>
      </c>
      <c r="J244" t="str">
        <f t="shared" si="17"/>
        <v>Current</v>
      </c>
      <c r="K244" t="s">
        <v>21</v>
      </c>
      <c r="L244" s="4">
        <f t="shared" si="6"/>
        <v>11113475.060981493</v>
      </c>
      <c r="M244" s="4">
        <f t="shared" si="7"/>
        <v>11053923.1</v>
      </c>
      <c r="N244" s="4">
        <f>Table3[[#This Row],[Natural Gas kWh]]+Table3[[#This Row],[Electricity kWh]]</f>
        <v>22167398.160981491</v>
      </c>
      <c r="O244" s="9">
        <f>Table3[[#This Row],[Total Energy kWh]]/$V$20</f>
        <v>204.28932437464417</v>
      </c>
      <c r="P244" s="9">
        <f t="shared" si="8"/>
        <v>95.517665522008542</v>
      </c>
      <c r="Q244" s="12">
        <f>((L244*Processed!$V$21)+(Table3[[#This Row],[Natural Gas kWh]]*Processed!$V$22))/Processed!$V$20</f>
        <v>36.766590224239827</v>
      </c>
      <c r="R244" s="10">
        <f>1-(O244/Processed!$V$23)</f>
        <v>5.3946404957259775E-2</v>
      </c>
      <c r="S244" s="11">
        <f>1-(Processed!Q244/Processed!$V$24)</f>
        <v>5.3587012598878658E-2</v>
      </c>
    </row>
    <row r="245" spans="2:19">
      <c r="B245" t="str">
        <f t="shared" ref="B245:J245" si="18">B29</f>
        <v>1ABABB</v>
      </c>
      <c r="C245">
        <f t="shared" si="18"/>
        <v>12</v>
      </c>
      <c r="D245">
        <f t="shared" si="18"/>
        <v>5</v>
      </c>
      <c r="E245">
        <f t="shared" si="18"/>
        <v>4</v>
      </c>
      <c r="F245" t="str">
        <f t="shared" si="18"/>
        <v>Current</v>
      </c>
      <c r="G245">
        <f t="shared" si="18"/>
        <v>0.25</v>
      </c>
      <c r="H245">
        <f t="shared" si="18"/>
        <v>0.75</v>
      </c>
      <c r="I245" t="str">
        <f t="shared" si="18"/>
        <v>Current</v>
      </c>
      <c r="J245" t="str">
        <f t="shared" si="18"/>
        <v>Current</v>
      </c>
      <c r="K245" t="s">
        <v>21</v>
      </c>
      <c r="L245" s="4">
        <f t="shared" si="6"/>
        <v>11476213.030874237</v>
      </c>
      <c r="M245" s="4">
        <f t="shared" si="7"/>
        <v>7115885.8999999994</v>
      </c>
      <c r="N245" s="4">
        <f>Table3[[#This Row],[Natural Gas kWh]]+Table3[[#This Row],[Electricity kWh]]</f>
        <v>18592098.930874236</v>
      </c>
      <c r="O245" s="9">
        <f>Table3[[#This Row],[Total Energy kWh]]/$V$20</f>
        <v>171.34024037066661</v>
      </c>
      <c r="P245" s="9">
        <f t="shared" si="8"/>
        <v>60.161418121892275</v>
      </c>
      <c r="Q245" s="12">
        <f>((L245*Processed!$V$21)+(Table3[[#This Row],[Natural Gas kWh]]*Processed!$V$22))/Processed!$V$20</f>
        <v>30.439406173728795</v>
      </c>
      <c r="R245" s="10">
        <f>1-(O245/Processed!$V$23)</f>
        <v>0.20653195719180983</v>
      </c>
      <c r="S245" s="11">
        <f>1-(Processed!Q245/Processed!$V$24)</f>
        <v>0.21645577803399807</v>
      </c>
    </row>
    <row r="246" spans="2:19">
      <c r="B246" t="str">
        <f t="shared" ref="B246:J246" si="19">B30</f>
        <v>1ABBAA</v>
      </c>
      <c r="C246">
        <f t="shared" si="19"/>
        <v>13</v>
      </c>
      <c r="D246">
        <f t="shared" si="19"/>
        <v>5</v>
      </c>
      <c r="E246">
        <f t="shared" si="19"/>
        <v>4</v>
      </c>
      <c r="F246" t="str">
        <f t="shared" si="19"/>
        <v>Improved</v>
      </c>
      <c r="G246" t="str">
        <f t="shared" si="19"/>
        <v>Current</v>
      </c>
      <c r="H246" t="str">
        <f t="shared" si="19"/>
        <v>None</v>
      </c>
      <c r="I246" t="str">
        <f t="shared" si="19"/>
        <v>Current</v>
      </c>
      <c r="J246" t="str">
        <f t="shared" si="19"/>
        <v>Current</v>
      </c>
      <c r="K246" t="s">
        <v>21</v>
      </c>
      <c r="L246" s="4">
        <f t="shared" si="6"/>
        <v>11643899.0169563</v>
      </c>
      <c r="M246" s="4">
        <f t="shared" si="7"/>
        <v>10587906.6</v>
      </c>
      <c r="N246" s="4">
        <f>Table3[[#This Row],[Natural Gas kWh]]+Table3[[#This Row],[Electricity kWh]]</f>
        <v>22231805.616956301</v>
      </c>
      <c r="O246" s="9">
        <f>Table3[[#This Row],[Total Energy kWh]]/$V$20</f>
        <v>204.88288774957118</v>
      </c>
      <c r="P246" s="9">
        <f t="shared" si="8"/>
        <v>90.940715018664378</v>
      </c>
      <c r="Q246" s="12">
        <f>((L246*Processed!$V$21)+(Table3[[#This Row],[Natural Gas kWh]]*Processed!$V$22))/Processed!$V$20</f>
        <v>36.781602114319021</v>
      </c>
      <c r="R246" s="10">
        <f>1-(O246/Processed!$V$23)</f>
        <v>5.1197642796268927E-2</v>
      </c>
      <c r="S246" s="11">
        <f>1-(Processed!Q246/Processed!$V$24)</f>
        <v>5.3200589826200018E-2</v>
      </c>
    </row>
    <row r="247" spans="2:19">
      <c r="B247" t="str">
        <f t="shared" ref="B247:J247" si="20">B31</f>
        <v>1ABBAB</v>
      </c>
      <c r="C247">
        <f t="shared" si="20"/>
        <v>14</v>
      </c>
      <c r="D247">
        <f t="shared" si="20"/>
        <v>5</v>
      </c>
      <c r="E247">
        <f t="shared" si="20"/>
        <v>4</v>
      </c>
      <c r="F247" t="str">
        <f t="shared" si="20"/>
        <v>Improved</v>
      </c>
      <c r="G247" t="str">
        <f t="shared" si="20"/>
        <v>Current</v>
      </c>
      <c r="H247">
        <f t="shared" si="20"/>
        <v>0.75</v>
      </c>
      <c r="I247" t="str">
        <f t="shared" si="20"/>
        <v>Current</v>
      </c>
      <c r="J247" t="str">
        <f t="shared" si="20"/>
        <v>Current</v>
      </c>
      <c r="K247" t="s">
        <v>21</v>
      </c>
      <c r="L247" s="4">
        <f t="shared" si="6"/>
        <v>12004442.987031147</v>
      </c>
      <c r="M247" s="4">
        <f t="shared" si="7"/>
        <v>6622093</v>
      </c>
      <c r="N247" s="4">
        <f>Table3[[#This Row],[Natural Gas kWh]]+Table3[[#This Row],[Electricity kWh]]</f>
        <v>18626535.987031147</v>
      </c>
      <c r="O247" s="9">
        <f>Table3[[#This Row],[Total Energy kWh]]/$V$20</f>
        <v>171.65760386477888</v>
      </c>
      <c r="P247" s="9">
        <f t="shared" si="8"/>
        <v>55.592830188736414</v>
      </c>
      <c r="Q247" s="12">
        <f>((L247*Processed!$V$21)+(Table3[[#This Row],[Natural Gas kWh]]*Processed!$V$22))/Processed!$V$20</f>
        <v>30.402344473776601</v>
      </c>
      <c r="R247" s="10">
        <f>1-(O247/Processed!$V$23)</f>
        <v>0.20506226279901996</v>
      </c>
      <c r="S247" s="11">
        <f>1-(Processed!Q247/Processed!$V$24)</f>
        <v>0.21740978747452533</v>
      </c>
    </row>
    <row r="248" spans="2:19">
      <c r="B248" t="str">
        <f t="shared" ref="B248:J248" si="21">B32</f>
        <v>1ABBBA</v>
      </c>
      <c r="C248">
        <f t="shared" si="21"/>
        <v>15</v>
      </c>
      <c r="D248">
        <f t="shared" si="21"/>
        <v>5</v>
      </c>
      <c r="E248">
        <f t="shared" si="21"/>
        <v>4</v>
      </c>
      <c r="F248" t="str">
        <f t="shared" si="21"/>
        <v>Improved</v>
      </c>
      <c r="G248">
        <f t="shared" si="21"/>
        <v>0.25</v>
      </c>
      <c r="H248" t="str">
        <f t="shared" si="21"/>
        <v>None</v>
      </c>
      <c r="I248" t="str">
        <f t="shared" si="21"/>
        <v>Current</v>
      </c>
      <c r="J248" t="str">
        <f t="shared" si="21"/>
        <v>Current</v>
      </c>
      <c r="K248" t="s">
        <v>21</v>
      </c>
      <c r="L248" s="4">
        <f t="shared" si="6"/>
        <v>11115829.060786109</v>
      </c>
      <c r="M248" s="4">
        <f t="shared" si="7"/>
        <v>10850551.799999999</v>
      </c>
      <c r="N248" s="4">
        <f>Table3[[#This Row],[Natural Gas kWh]]+Table3[[#This Row],[Electricity kWh]]</f>
        <v>21966380.86078611</v>
      </c>
      <c r="O248" s="9">
        <f>Table3[[#This Row],[Total Energy kWh]]/$V$20</f>
        <v>202.43679805891207</v>
      </c>
      <c r="P248" s="9">
        <f t="shared" si="8"/>
        <v>93.513092372656047</v>
      </c>
      <c r="Q248" s="12">
        <f>((L248*Processed!$V$21)+(Table3[[#This Row],[Natural Gas kWh]]*Processed!$V$22))/Processed!$V$20</f>
        <v>36.414176346511738</v>
      </c>
      <c r="R248" s="10">
        <f>1-(O248/Processed!$V$23)</f>
        <v>6.2525361230547749E-2</v>
      </c>
      <c r="S248" s="11">
        <f>1-(Processed!Q248/Processed!$V$24)</f>
        <v>6.2658538372360906E-2</v>
      </c>
    </row>
    <row r="249" spans="2:19">
      <c r="B249" t="str">
        <f t="shared" ref="B249:J249" si="22">B33</f>
        <v>1ABBBB</v>
      </c>
      <c r="C249">
        <f t="shared" si="22"/>
        <v>16</v>
      </c>
      <c r="D249">
        <f t="shared" si="22"/>
        <v>5</v>
      </c>
      <c r="E249">
        <f t="shared" si="22"/>
        <v>4</v>
      </c>
      <c r="F249" t="str">
        <f t="shared" si="22"/>
        <v>Improved</v>
      </c>
      <c r="G249">
        <f t="shared" si="22"/>
        <v>0.25</v>
      </c>
      <c r="H249">
        <f t="shared" si="22"/>
        <v>0.75</v>
      </c>
      <c r="I249" t="str">
        <f t="shared" si="22"/>
        <v>Current</v>
      </c>
      <c r="J249" t="str">
        <f t="shared" si="22"/>
        <v>Current</v>
      </c>
      <c r="K249" t="s">
        <v>21</v>
      </c>
      <c r="L249" s="4">
        <f t="shared" si="6"/>
        <v>11478725.03066574</v>
      </c>
      <c r="M249" s="4">
        <f t="shared" si="7"/>
        <v>6907445.6999999993</v>
      </c>
      <c r="N249" s="4">
        <f>Table3[[#This Row],[Natural Gas kWh]]+Table3[[#This Row],[Electricity kWh]]</f>
        <v>18386170.73066574</v>
      </c>
      <c r="O249" s="9">
        <f>Table3[[#This Row],[Total Energy kWh]]/$V$20</f>
        <v>169.44245640049689</v>
      </c>
      <c r="P249" s="9">
        <f t="shared" si="8"/>
        <v>58.158732423802803</v>
      </c>
      <c r="Q249" s="12">
        <f>((L249*Processed!$V$21)+(Table3[[#This Row],[Natural Gas kWh]]*Processed!$V$22))/Processed!$V$20</f>
        <v>30.078364219872192</v>
      </c>
      <c r="R249" s="10">
        <f>1-(O249/Processed!$V$23)</f>
        <v>0.21532049938846898</v>
      </c>
      <c r="S249" s="11">
        <f>1-(Processed!Q249/Processed!$V$24)</f>
        <v>0.22574940009801236</v>
      </c>
    </row>
    <row r="250" spans="2:19">
      <c r="B250" t="str">
        <f t="shared" ref="B250:J250" si="23">B34</f>
        <v>1ACAAA</v>
      </c>
      <c r="C250">
        <f t="shared" si="23"/>
        <v>17</v>
      </c>
      <c r="D250">
        <f t="shared" si="23"/>
        <v>5</v>
      </c>
      <c r="E250">
        <f t="shared" si="23"/>
        <v>5.5</v>
      </c>
      <c r="F250" t="str">
        <f t="shared" si="23"/>
        <v>Current</v>
      </c>
      <c r="G250" t="str">
        <f t="shared" si="23"/>
        <v>Current</v>
      </c>
      <c r="H250" t="str">
        <f t="shared" si="23"/>
        <v>None</v>
      </c>
      <c r="I250" t="str">
        <f t="shared" si="23"/>
        <v>Current</v>
      </c>
      <c r="J250" t="str">
        <f t="shared" si="23"/>
        <v>Current</v>
      </c>
      <c r="K250" t="s">
        <v>21</v>
      </c>
      <c r="L250" s="4">
        <f t="shared" si="6"/>
        <v>11650580.016401777</v>
      </c>
      <c r="M250" s="4">
        <f t="shared" si="7"/>
        <v>10383832.1</v>
      </c>
      <c r="N250" s="4">
        <f>Table3[[#This Row],[Natural Gas kWh]]+Table3[[#This Row],[Electricity kWh]]</f>
        <v>22034412.116401777</v>
      </c>
      <c r="O250" s="9">
        <f>Table3[[#This Row],[Total Energy kWh]]/$V$20</f>
        <v>203.06375748577642</v>
      </c>
      <c r="P250" s="9">
        <f t="shared" si="8"/>
        <v>88.925816241801357</v>
      </c>
      <c r="Q250" s="12">
        <f>((L250*Processed!$V$21)+(Table3[[#This Row],[Natural Gas kWh]]*Processed!$V$22))/Processed!$V$20</f>
        <v>36.434735955033126</v>
      </c>
      <c r="R250" s="10">
        <f>1-(O250/Processed!$V$23)</f>
        <v>5.962194363128448E-2</v>
      </c>
      <c r="S250" s="11">
        <f>1-(Processed!Q250/Processed!$V$24)</f>
        <v>6.2129311147267385E-2</v>
      </c>
    </row>
    <row r="251" spans="2:19">
      <c r="B251" t="str">
        <f t="shared" ref="B251:J251" si="24">B35</f>
        <v>1ACAAB</v>
      </c>
      <c r="C251">
        <f t="shared" si="24"/>
        <v>18</v>
      </c>
      <c r="D251">
        <f t="shared" si="24"/>
        <v>5</v>
      </c>
      <c r="E251">
        <f t="shared" si="24"/>
        <v>5.5</v>
      </c>
      <c r="F251" t="str">
        <f t="shared" si="24"/>
        <v>Current</v>
      </c>
      <c r="G251" t="str">
        <f t="shared" si="24"/>
        <v>Current</v>
      </c>
      <c r="H251">
        <f t="shared" si="24"/>
        <v>0.75</v>
      </c>
      <c r="I251" t="str">
        <f t="shared" si="24"/>
        <v>Current</v>
      </c>
      <c r="J251" t="str">
        <f t="shared" si="24"/>
        <v>Current</v>
      </c>
      <c r="K251" t="s">
        <v>21</v>
      </c>
      <c r="L251" s="4">
        <f t="shared" si="6"/>
        <v>12010641.986516632</v>
      </c>
      <c r="M251" s="4">
        <f t="shared" si="7"/>
        <v>6406679.3999999994</v>
      </c>
      <c r="N251" s="4">
        <f>Table3[[#This Row],[Natural Gas kWh]]+Table3[[#This Row],[Electricity kWh]]</f>
        <v>18417321.386516631</v>
      </c>
      <c r="O251" s="9">
        <f>Table3[[#This Row],[Total Energy kWh]]/$V$20</f>
        <v>169.72953323249095</v>
      </c>
      <c r="P251" s="9">
        <f t="shared" si="8"/>
        <v>53.580172591484725</v>
      </c>
      <c r="Q251" s="12">
        <f>((L251*Processed!$V$21)+(Table3[[#This Row],[Natural Gas kWh]]*Processed!$V$22))/Processed!$V$20</f>
        <v>30.034868484353897</v>
      </c>
      <c r="R251" s="10">
        <f>1-(O251/Processed!$V$23)</f>
        <v>0.21399106100595522</v>
      </c>
      <c r="S251" s="11">
        <f>1-(Processed!Q251/Processed!$V$24)</f>
        <v>0.22686902878101001</v>
      </c>
    </row>
    <row r="252" spans="2:19">
      <c r="B252" t="str">
        <f t="shared" ref="B252:J252" si="25">B36</f>
        <v>1ACABA</v>
      </c>
      <c r="C252">
        <f t="shared" si="25"/>
        <v>19</v>
      </c>
      <c r="D252">
        <f t="shared" si="25"/>
        <v>5</v>
      </c>
      <c r="E252">
        <f t="shared" si="25"/>
        <v>5.5</v>
      </c>
      <c r="F252" t="str">
        <f t="shared" si="25"/>
        <v>Current</v>
      </c>
      <c r="G252">
        <f t="shared" si="25"/>
        <v>0.25</v>
      </c>
      <c r="H252" t="str">
        <f t="shared" si="25"/>
        <v>None</v>
      </c>
      <c r="I252" t="str">
        <f t="shared" si="25"/>
        <v>Current</v>
      </c>
      <c r="J252" t="str">
        <f t="shared" si="25"/>
        <v>Current</v>
      </c>
      <c r="K252" t="s">
        <v>21</v>
      </c>
      <c r="L252" s="4">
        <f t="shared" si="6"/>
        <v>11121347.060328115</v>
      </c>
      <c r="M252" s="4">
        <f t="shared" si="7"/>
        <v>10642932</v>
      </c>
      <c r="N252" s="4">
        <f>Table3[[#This Row],[Natural Gas kWh]]+Table3[[#This Row],[Electricity kWh]]</f>
        <v>21764279.060328115</v>
      </c>
      <c r="O252" s="9">
        <f>Table3[[#This Row],[Total Energy kWh]]/$V$20</f>
        <v>200.57427725378051</v>
      </c>
      <c r="P252" s="9">
        <f t="shared" si="8"/>
        <v>91.447637444150885</v>
      </c>
      <c r="Q252" s="12">
        <f>((L252*Processed!$V$21)+(Table3[[#This Row],[Natural Gas kWh]]*Processed!$V$22))/Processed!$V$20</f>
        <v>36.059280342829979</v>
      </c>
      <c r="R252" s="10">
        <f>1-(O252/Processed!$V$23)</f>
        <v>7.1150601481992481E-2</v>
      </c>
      <c r="S252" s="11">
        <f>1-(Processed!Q252/Processed!$V$24)</f>
        <v>7.1793956832779671E-2</v>
      </c>
    </row>
    <row r="253" spans="2:19">
      <c r="B253" t="str">
        <f t="shared" ref="B253:J253" si="26">B37</f>
        <v>1ACABB</v>
      </c>
      <c r="C253">
        <f t="shared" si="26"/>
        <v>20</v>
      </c>
      <c r="D253">
        <f t="shared" si="26"/>
        <v>5</v>
      </c>
      <c r="E253">
        <f t="shared" si="26"/>
        <v>5.5</v>
      </c>
      <c r="F253" t="str">
        <f t="shared" si="26"/>
        <v>Current</v>
      </c>
      <c r="G253">
        <f t="shared" si="26"/>
        <v>0.25</v>
      </c>
      <c r="H253">
        <f t="shared" si="26"/>
        <v>0.75</v>
      </c>
      <c r="I253" t="str">
        <f t="shared" si="26"/>
        <v>Current</v>
      </c>
      <c r="J253" t="str">
        <f t="shared" si="26"/>
        <v>Current</v>
      </c>
      <c r="K253" t="s">
        <v>21</v>
      </c>
      <c r="L253" s="4">
        <f t="shared" si="6"/>
        <v>11483878.030238044</v>
      </c>
      <c r="M253" s="4">
        <f t="shared" si="7"/>
        <v>6689688.1000000006</v>
      </c>
      <c r="N253" s="4">
        <f>Table3[[#This Row],[Natural Gas kWh]]+Table3[[#This Row],[Electricity kWh]]</f>
        <v>18173566.130238045</v>
      </c>
      <c r="O253" s="9">
        <f>Table3[[#This Row],[Total Energy kWh]]/$V$20</f>
        <v>167.48314435742799</v>
      </c>
      <c r="P253" s="9">
        <f t="shared" si="8"/>
        <v>56.095567278804168</v>
      </c>
      <c r="Q253" s="12">
        <f>((L253*Processed!$V$21)+(Table3[[#This Row],[Natural Gas kWh]]*Processed!$V$22))/Processed!$V$20</f>
        <v>29.705145155992835</v>
      </c>
      <c r="R253" s="10">
        <f>1-(O253/Processed!$V$23)</f>
        <v>0.22439397499875857</v>
      </c>
      <c r="S253" s="11">
        <f>1-(Processed!Q253/Processed!$V$24)</f>
        <v>0.23535647453833508</v>
      </c>
    </row>
    <row r="254" spans="2:19">
      <c r="B254" t="str">
        <f t="shared" ref="B254:J254" si="27">B38</f>
        <v>1ACBAA</v>
      </c>
      <c r="C254">
        <f t="shared" si="27"/>
        <v>21</v>
      </c>
      <c r="D254">
        <f t="shared" si="27"/>
        <v>5</v>
      </c>
      <c r="E254">
        <f t="shared" si="27"/>
        <v>5.5</v>
      </c>
      <c r="F254" t="str">
        <f t="shared" si="27"/>
        <v>Improved</v>
      </c>
      <c r="G254" t="str">
        <f t="shared" si="27"/>
        <v>Current</v>
      </c>
      <c r="H254" t="str">
        <f t="shared" si="27"/>
        <v>None</v>
      </c>
      <c r="I254" t="str">
        <f t="shared" si="27"/>
        <v>Current</v>
      </c>
      <c r="J254" t="str">
        <f t="shared" si="27"/>
        <v>Current</v>
      </c>
      <c r="K254" t="s">
        <v>21</v>
      </c>
      <c r="L254" s="4">
        <f t="shared" si="6"/>
        <v>11655250.016014166</v>
      </c>
      <c r="M254" s="4">
        <f t="shared" si="7"/>
        <v>10181164</v>
      </c>
      <c r="N254" s="4">
        <f>Table3[[#This Row],[Natural Gas kWh]]+Table3[[#This Row],[Electricity kWh]]</f>
        <v>21836414.016014166</v>
      </c>
      <c r="O254" s="9">
        <f>Table3[[#This Row],[Total Energy kWh]]/$V$20</f>
        <v>201.23905537766683</v>
      </c>
      <c r="P254" s="9">
        <f t="shared" si="8"/>
        <v>86.961187393642135</v>
      </c>
      <c r="Q254" s="12">
        <f>((L254*Processed!$V$21)+(Table3[[#This Row],[Natural Gas kWh]]*Processed!$V$22))/Processed!$V$20</f>
        <v>36.087181802988027</v>
      </c>
      <c r="R254" s="10">
        <f>1-(O254/Processed!$V$23)</f>
        <v>6.8072047397320534E-2</v>
      </c>
      <c r="S254" s="11">
        <f>1-(Processed!Q254/Processed!$V$24)</f>
        <v>7.1075742168325351E-2</v>
      </c>
    </row>
    <row r="255" spans="2:19">
      <c r="B255" t="str">
        <f t="shared" ref="B255:J255" si="28">B39</f>
        <v>1ACBAB</v>
      </c>
      <c r="C255">
        <f t="shared" si="28"/>
        <v>22</v>
      </c>
      <c r="D255">
        <f t="shared" si="28"/>
        <v>5</v>
      </c>
      <c r="E255">
        <f t="shared" si="28"/>
        <v>5.5</v>
      </c>
      <c r="F255" t="str">
        <f t="shared" si="28"/>
        <v>Improved</v>
      </c>
      <c r="G255" t="str">
        <f t="shared" si="28"/>
        <v>Current</v>
      </c>
      <c r="H255">
        <f t="shared" si="28"/>
        <v>0.75</v>
      </c>
      <c r="I255" t="str">
        <f t="shared" si="28"/>
        <v>Current</v>
      </c>
      <c r="J255" t="str">
        <f t="shared" si="28"/>
        <v>Current</v>
      </c>
      <c r="K255" t="s">
        <v>21</v>
      </c>
      <c r="L255" s="4">
        <f t="shared" si="6"/>
        <v>12015403.986121384</v>
      </c>
      <c r="M255" s="4">
        <f t="shared" si="7"/>
        <v>6196276.1000000006</v>
      </c>
      <c r="N255" s="4">
        <f>Table3[[#This Row],[Natural Gas kWh]]+Table3[[#This Row],[Electricity kWh]]</f>
        <v>18211680.086121384</v>
      </c>
      <c r="O255" s="9">
        <f>Table3[[#This Row],[Total Energy kWh]]/$V$20</f>
        <v>167.83439326089007</v>
      </c>
      <c r="P255" s="9">
        <f t="shared" si="8"/>
        <v>51.618735399109362</v>
      </c>
      <c r="Q255" s="12">
        <f>((L255*Processed!$V$21)+(Table3[[#This Row],[Natural Gas kWh]]*Processed!$V$22))/Processed!$V$20</f>
        <v>29.673914181256499</v>
      </c>
      <c r="R255" s="10">
        <f>1-(O255/Processed!$V$23)</f>
        <v>0.22276735897811073</v>
      </c>
      <c r="S255" s="11">
        <f>1-(Processed!Q255/Processed!$V$24)</f>
        <v>0.23616039461684635</v>
      </c>
    </row>
    <row r="256" spans="2:19">
      <c r="B256" t="str">
        <f t="shared" ref="B256:J256" si="29">B40</f>
        <v>1ACBBA</v>
      </c>
      <c r="C256">
        <f t="shared" si="29"/>
        <v>23</v>
      </c>
      <c r="D256">
        <f t="shared" si="29"/>
        <v>5</v>
      </c>
      <c r="E256">
        <f t="shared" si="29"/>
        <v>5.5</v>
      </c>
      <c r="F256" t="str">
        <f t="shared" si="29"/>
        <v>Improved</v>
      </c>
      <c r="G256">
        <f t="shared" si="29"/>
        <v>0.25</v>
      </c>
      <c r="H256" t="str">
        <f t="shared" si="29"/>
        <v>None</v>
      </c>
      <c r="I256" t="str">
        <f t="shared" si="29"/>
        <v>Current</v>
      </c>
      <c r="J256" t="str">
        <f t="shared" si="29"/>
        <v>Current</v>
      </c>
      <c r="K256" t="s">
        <v>21</v>
      </c>
      <c r="L256" s="4">
        <f t="shared" si="6"/>
        <v>11124809.060040768</v>
      </c>
      <c r="M256" s="4">
        <f t="shared" si="7"/>
        <v>10440293.200000001</v>
      </c>
      <c r="N256" s="4">
        <f>Table3[[#This Row],[Natural Gas kWh]]+Table3[[#This Row],[Electricity kWh]]</f>
        <v>21565102.260040767</v>
      </c>
      <c r="O256" s="9">
        <f>Table3[[#This Row],[Total Energy kWh]]/$V$20</f>
        <v>198.73871253543541</v>
      </c>
      <c r="P256" s="9">
        <f t="shared" si="8"/>
        <v>89.443971567508498</v>
      </c>
      <c r="Q256" s="12">
        <f>((L256*Processed!$V$21)+(Table3[[#This Row],[Natural Gas kWh]]*Processed!$V$22))/Processed!$V$20</f>
        <v>35.709884947477654</v>
      </c>
      <c r="R256" s="10">
        <f>1-(O256/Processed!$V$23)</f>
        <v>7.9651009450151133E-2</v>
      </c>
      <c r="S256" s="11">
        <f>1-(Processed!Q256/Processed!$V$24)</f>
        <v>8.0787783507562883E-2</v>
      </c>
    </row>
    <row r="257" spans="2:19">
      <c r="B257" t="str">
        <f t="shared" ref="B257:J257" si="30">B41</f>
        <v>1ACBBB</v>
      </c>
      <c r="C257">
        <f t="shared" si="30"/>
        <v>24</v>
      </c>
      <c r="D257">
        <f t="shared" si="30"/>
        <v>5</v>
      </c>
      <c r="E257">
        <f t="shared" si="30"/>
        <v>5.5</v>
      </c>
      <c r="F257" t="str">
        <f t="shared" si="30"/>
        <v>Improved</v>
      </c>
      <c r="G257">
        <f t="shared" si="30"/>
        <v>0.25</v>
      </c>
      <c r="H257">
        <f t="shared" si="30"/>
        <v>0.75</v>
      </c>
      <c r="I257" t="str">
        <f t="shared" si="30"/>
        <v>Current</v>
      </c>
      <c r="J257" t="str">
        <f t="shared" si="30"/>
        <v>Current</v>
      </c>
      <c r="K257" t="s">
        <v>21</v>
      </c>
      <c r="L257" s="4">
        <f t="shared" si="6"/>
        <v>11487454.029941235</v>
      </c>
      <c r="M257" s="4">
        <f t="shared" si="7"/>
        <v>6475446.5</v>
      </c>
      <c r="N257" s="4">
        <f>Table3[[#This Row],[Natural Gas kWh]]+Table3[[#This Row],[Electricity kWh]]</f>
        <v>17962900.529941235</v>
      </c>
      <c r="O257" s="9">
        <f>Table3[[#This Row],[Total Energy kWh]]/$V$20</f>
        <v>165.54170166572922</v>
      </c>
      <c r="P257" s="9">
        <f t="shared" si="8"/>
        <v>54.094331596921066</v>
      </c>
      <c r="Q257" s="12">
        <f>((L257*Processed!$V$21)+(Table3[[#This Row],[Natural Gas kWh]]*Processed!$V$22))/Processed!$V$20</f>
        <v>29.335611933782218</v>
      </c>
      <c r="R257" s="10">
        <f>1-(O257/Processed!$V$23)</f>
        <v>0.23338469854084021</v>
      </c>
      <c r="S257" s="11">
        <f>1-(Processed!Q257/Processed!$V$24)</f>
        <v>0.24486867130837275</v>
      </c>
    </row>
    <row r="258" spans="2:19">
      <c r="B258" t="str">
        <f t="shared" ref="B258:J258" si="31">B42</f>
        <v>1BAAAA</v>
      </c>
      <c r="C258">
        <f t="shared" si="31"/>
        <v>25</v>
      </c>
      <c r="D258">
        <f t="shared" si="31"/>
        <v>10</v>
      </c>
      <c r="E258">
        <f t="shared" si="31"/>
        <v>2.8</v>
      </c>
      <c r="F258" t="str">
        <f t="shared" si="31"/>
        <v>Current</v>
      </c>
      <c r="G258" t="str">
        <f t="shared" si="31"/>
        <v>Current</v>
      </c>
      <c r="H258" t="str">
        <f t="shared" si="31"/>
        <v>None</v>
      </c>
      <c r="I258" t="str">
        <f t="shared" si="31"/>
        <v>Current</v>
      </c>
      <c r="J258" t="str">
        <f t="shared" si="31"/>
        <v>Current</v>
      </c>
      <c r="K258" t="s">
        <v>21</v>
      </c>
      <c r="L258" s="4">
        <f t="shared" si="6"/>
        <v>11627896.01828455</v>
      </c>
      <c r="M258" s="4">
        <f t="shared" si="7"/>
        <v>11032446.200000001</v>
      </c>
      <c r="N258" s="4">
        <f>Table3[[#This Row],[Natural Gas kWh]]+Table3[[#This Row],[Electricity kWh]]</f>
        <v>22660342.218284551</v>
      </c>
      <c r="O258" s="9">
        <f>Table3[[#This Row],[Total Energy kWh]]/$V$20</f>
        <v>208.83217634534557</v>
      </c>
      <c r="P258" s="9">
        <f t="shared" si="8"/>
        <v>95.304170212189788</v>
      </c>
      <c r="Q258" s="12">
        <f>((L258*Processed!$V$21)+(Table3[[#This Row],[Natural Gas kWh]]*Processed!$V$22))/Processed!$V$20</f>
        <v>37.534916542017847</v>
      </c>
      <c r="R258" s="10">
        <f>1-(O258/Processed!$V$23)</f>
        <v>3.2908685772544022E-2</v>
      </c>
      <c r="S258" s="11">
        <f>1-(Processed!Q258/Processed!$V$24)</f>
        <v>3.3809437325450276E-2</v>
      </c>
    </row>
    <row r="259" spans="2:19">
      <c r="B259" t="str">
        <f t="shared" ref="B259:J259" si="32">B43</f>
        <v>1BAAAB</v>
      </c>
      <c r="C259">
        <f t="shared" si="32"/>
        <v>26</v>
      </c>
      <c r="D259">
        <f t="shared" si="32"/>
        <v>10</v>
      </c>
      <c r="E259">
        <f t="shared" si="32"/>
        <v>2.8</v>
      </c>
      <c r="F259" t="str">
        <f t="shared" si="32"/>
        <v>Current</v>
      </c>
      <c r="G259" t="str">
        <f t="shared" si="32"/>
        <v>Current</v>
      </c>
      <c r="H259">
        <f t="shared" si="32"/>
        <v>0.75</v>
      </c>
      <c r="I259" t="str">
        <f t="shared" si="32"/>
        <v>Current</v>
      </c>
      <c r="J259" t="str">
        <f t="shared" si="32"/>
        <v>Current</v>
      </c>
      <c r="K259" t="s">
        <v>21</v>
      </c>
      <c r="L259" s="4">
        <f t="shared" si="6"/>
        <v>11988284.988372263</v>
      </c>
      <c r="M259" s="4">
        <f t="shared" si="7"/>
        <v>7085120.8999999994</v>
      </c>
      <c r="N259" s="4">
        <f>Table3[[#This Row],[Natural Gas kWh]]+Table3[[#This Row],[Electricity kWh]]</f>
        <v>19073405.888372261</v>
      </c>
      <c r="O259" s="9">
        <f>Table3[[#This Row],[Total Energy kWh]]/$V$20</f>
        <v>175.7758476733386</v>
      </c>
      <c r="P259" s="9">
        <f t="shared" si="8"/>
        <v>59.949351226548686</v>
      </c>
      <c r="Q259" s="12">
        <f>((L259*Processed!$V$21)+(Table3[[#This Row],[Natural Gas kWh]]*Processed!$V$22))/Processed!$V$20</f>
        <v>31.187788960744719</v>
      </c>
      <c r="R259" s="10">
        <f>1-(O259/Processed!$V$23)</f>
        <v>0.18599088267538</v>
      </c>
      <c r="S259" s="11">
        <f>1-(Processed!Q259/Processed!$V$24)</f>
        <v>0.19719157145787791</v>
      </c>
    </row>
    <row r="260" spans="2:19">
      <c r="B260" t="str">
        <f t="shared" ref="B260:J260" si="33">B44</f>
        <v>1BAABA</v>
      </c>
      <c r="C260">
        <f t="shared" si="33"/>
        <v>27</v>
      </c>
      <c r="D260">
        <f t="shared" si="33"/>
        <v>10</v>
      </c>
      <c r="E260">
        <f t="shared" si="33"/>
        <v>2.8</v>
      </c>
      <c r="F260" t="str">
        <f t="shared" si="33"/>
        <v>Current</v>
      </c>
      <c r="G260">
        <f t="shared" si="33"/>
        <v>0.25</v>
      </c>
      <c r="H260" t="str">
        <f t="shared" si="33"/>
        <v>None</v>
      </c>
      <c r="I260" t="str">
        <f t="shared" si="33"/>
        <v>Current</v>
      </c>
      <c r="J260" t="str">
        <f t="shared" si="33"/>
        <v>Current</v>
      </c>
      <c r="K260" t="s">
        <v>21</v>
      </c>
      <c r="L260" s="4">
        <f t="shared" si="6"/>
        <v>11102694.061876312</v>
      </c>
      <c r="M260" s="4">
        <f t="shared" si="7"/>
        <v>11305375.700000001</v>
      </c>
      <c r="N260" s="4">
        <f>Table3[[#This Row],[Natural Gas kWh]]+Table3[[#This Row],[Electricity kWh]]</f>
        <v>22408069.761876315</v>
      </c>
      <c r="O260" s="9">
        <f>Table3[[#This Row],[Total Energy kWh]]/$V$20</f>
        <v>206.50729503524741</v>
      </c>
      <c r="P260" s="9">
        <f t="shared" si="8"/>
        <v>97.984639928857618</v>
      </c>
      <c r="Q260" s="12">
        <f>((L260*Processed!$V$21)+(Table3[[#This Row],[Natural Gas kWh]]*Processed!$V$22))/Processed!$V$20</f>
        <v>37.189991750818166</v>
      </c>
      <c r="R260" s="10">
        <f>1-(O260/Processed!$V$23)</f>
        <v>4.3675094287520921E-2</v>
      </c>
      <c r="S260" s="11">
        <f>1-(Processed!Q260/Processed!$V$24)</f>
        <v>4.2688185669450318E-2</v>
      </c>
    </row>
    <row r="261" spans="2:19">
      <c r="B261" t="str">
        <f t="shared" ref="B261:J261" si="34">B45</f>
        <v>1BAABB</v>
      </c>
      <c r="C261">
        <f t="shared" si="34"/>
        <v>28</v>
      </c>
      <c r="D261">
        <f t="shared" si="34"/>
        <v>10</v>
      </c>
      <c r="E261">
        <f t="shared" si="34"/>
        <v>2.8</v>
      </c>
      <c r="F261" t="str">
        <f t="shared" si="34"/>
        <v>Current</v>
      </c>
      <c r="G261">
        <f t="shared" si="34"/>
        <v>0.25</v>
      </c>
      <c r="H261">
        <f t="shared" si="34"/>
        <v>0.75</v>
      </c>
      <c r="I261" t="str">
        <f t="shared" si="34"/>
        <v>Current</v>
      </c>
      <c r="J261" t="str">
        <f t="shared" si="34"/>
        <v>Current</v>
      </c>
      <c r="K261" t="s">
        <v>21</v>
      </c>
      <c r="L261" s="4">
        <f t="shared" si="6"/>
        <v>11465153.031792218</v>
      </c>
      <c r="M261" s="4">
        <f t="shared" si="7"/>
        <v>7377417.6999999993</v>
      </c>
      <c r="N261" s="4">
        <f>Table3[[#This Row],[Natural Gas kWh]]+Table3[[#This Row],[Electricity kWh]]</f>
        <v>18842570.731792219</v>
      </c>
      <c r="O261" s="9">
        <f>Table3[[#This Row],[Total Energy kWh]]/$V$20</f>
        <v>173.64852727979522</v>
      </c>
      <c r="P261" s="9">
        <f t="shared" si="8"/>
        <v>62.625549200872996</v>
      </c>
      <c r="Q261" s="12">
        <f>((L261*Processed!$V$21)+(Table3[[#This Row],[Natural Gas kWh]]*Processed!$V$22))/Processed!$V$20</f>
        <v>30.88001921143908</v>
      </c>
      <c r="R261" s="10">
        <f>1-(O261/Processed!$V$23)</f>
        <v>0.19584239651380575</v>
      </c>
      <c r="S261" s="11">
        <f>1-(Processed!Q261/Processed!$V$24)</f>
        <v>0.20511390763579218</v>
      </c>
    </row>
    <row r="262" spans="2:19">
      <c r="B262" t="str">
        <f t="shared" ref="B262:J262" si="35">B46</f>
        <v>1BABAA</v>
      </c>
      <c r="C262">
        <f t="shared" si="35"/>
        <v>29</v>
      </c>
      <c r="D262">
        <f t="shared" si="35"/>
        <v>10</v>
      </c>
      <c r="E262">
        <f t="shared" si="35"/>
        <v>2.8</v>
      </c>
      <c r="F262" t="str">
        <f t="shared" si="35"/>
        <v>Improved</v>
      </c>
      <c r="G262" t="str">
        <f t="shared" si="35"/>
        <v>Current</v>
      </c>
      <c r="H262" t="str">
        <f t="shared" si="35"/>
        <v>None</v>
      </c>
      <c r="I262" t="str">
        <f t="shared" si="35"/>
        <v>Current</v>
      </c>
      <c r="J262" t="str">
        <f t="shared" si="35"/>
        <v>Current</v>
      </c>
      <c r="K262" t="s">
        <v>21</v>
      </c>
      <c r="L262" s="4">
        <f t="shared" si="6"/>
        <v>11629221.018174574</v>
      </c>
      <c r="M262" s="4">
        <f t="shared" si="7"/>
        <v>10831125.9</v>
      </c>
      <c r="N262" s="4">
        <f>Table3[[#This Row],[Natural Gas kWh]]+Table3[[#This Row],[Electricity kWh]]</f>
        <v>22460346.918174572</v>
      </c>
      <c r="O262" s="9">
        <f>Table3[[#This Row],[Total Energy kWh]]/$V$20</f>
        <v>206.98906853265302</v>
      </c>
      <c r="P262" s="9">
        <f t="shared" si="8"/>
        <v>93.322686613266796</v>
      </c>
      <c r="Q262" s="12">
        <f>((L262*Processed!$V$21)+(Table3[[#This Row],[Natural Gas kWh]]*Processed!$V$22))/Processed!$V$20</f>
        <v>37.184481840102379</v>
      </c>
      <c r="R262" s="10">
        <f>1-(O262/Processed!$V$23)</f>
        <v>4.1444025431563225E-2</v>
      </c>
      <c r="S262" s="11">
        <f>1-(Processed!Q262/Processed!$V$24)</f>
        <v>4.2830016908872781E-2</v>
      </c>
    </row>
    <row r="263" spans="2:19">
      <c r="B263" t="str">
        <f t="shared" ref="B263:J263" si="36">B47</f>
        <v>1BABAB</v>
      </c>
      <c r="C263">
        <f t="shared" si="36"/>
        <v>30</v>
      </c>
      <c r="D263">
        <f t="shared" si="36"/>
        <v>10</v>
      </c>
      <c r="E263">
        <f t="shared" si="36"/>
        <v>2.8</v>
      </c>
      <c r="F263" t="str">
        <f t="shared" si="36"/>
        <v>Improved</v>
      </c>
      <c r="G263" t="str">
        <f t="shared" si="36"/>
        <v>Current</v>
      </c>
      <c r="H263">
        <f t="shared" si="36"/>
        <v>0.75</v>
      </c>
      <c r="I263" t="str">
        <f t="shared" si="36"/>
        <v>Current</v>
      </c>
      <c r="J263" t="str">
        <f t="shared" si="36"/>
        <v>Current</v>
      </c>
      <c r="K263" t="s">
        <v>21</v>
      </c>
      <c r="L263" s="4">
        <f t="shared" si="6"/>
        <v>11989950.988233984</v>
      </c>
      <c r="M263" s="4">
        <f t="shared" si="7"/>
        <v>6877618.2999999998</v>
      </c>
      <c r="N263" s="4">
        <f>Table3[[#This Row],[Natural Gas kWh]]+Table3[[#This Row],[Electricity kWh]]</f>
        <v>18867569.288233984</v>
      </c>
      <c r="O263" s="9">
        <f>Table3[[#This Row],[Total Energy kWh]]/$V$20</f>
        <v>173.87890786703159</v>
      </c>
      <c r="P263" s="9">
        <f t="shared" si="8"/>
        <v>57.969933293171081</v>
      </c>
      <c r="Q263" s="12">
        <f>((L263*Processed!$V$21)+(Table3[[#This Row],[Natural Gas kWh]]*Processed!$V$22))/Processed!$V$20</f>
        <v>30.827063328594324</v>
      </c>
      <c r="R263" s="10">
        <f>1-(O263/Processed!$V$23)</f>
        <v>0.19477551559161266</v>
      </c>
      <c r="S263" s="11">
        <f>1-(Processed!Q263/Processed!$V$24)</f>
        <v>0.20647705104881742</v>
      </c>
    </row>
    <row r="264" spans="2:19">
      <c r="B264" t="str">
        <f t="shared" ref="B264:J264" si="37">B48</f>
        <v>1BABBA</v>
      </c>
      <c r="C264">
        <f t="shared" si="37"/>
        <v>31</v>
      </c>
      <c r="D264">
        <f t="shared" si="37"/>
        <v>10</v>
      </c>
      <c r="E264">
        <f t="shared" si="37"/>
        <v>2.8</v>
      </c>
      <c r="F264" t="str">
        <f t="shared" si="37"/>
        <v>Improved</v>
      </c>
      <c r="G264">
        <f t="shared" si="37"/>
        <v>0.25</v>
      </c>
      <c r="H264" t="str">
        <f t="shared" si="37"/>
        <v>None</v>
      </c>
      <c r="I264" t="str">
        <f t="shared" si="37"/>
        <v>Current</v>
      </c>
      <c r="J264" t="str">
        <f t="shared" si="37"/>
        <v>Current</v>
      </c>
      <c r="K264" t="s">
        <v>21</v>
      </c>
      <c r="L264" s="4">
        <f t="shared" si="6"/>
        <v>11103518.061807923</v>
      </c>
      <c r="M264" s="4">
        <f t="shared" si="7"/>
        <v>11102033.700000001</v>
      </c>
      <c r="N264" s="4">
        <f>Table3[[#This Row],[Natural Gas kWh]]+Table3[[#This Row],[Electricity kWh]]</f>
        <v>22205551.761807926</v>
      </c>
      <c r="O264" s="9">
        <f>Table3[[#This Row],[Total Energy kWh]]/$V$20</f>
        <v>204.64093863621372</v>
      </c>
      <c r="P264" s="9">
        <f t="shared" si="8"/>
        <v>95.971976931173131</v>
      </c>
      <c r="Q264" s="12">
        <f>((L264*Processed!$V$21)+(Table3[[#This Row],[Natural Gas kWh]]*Processed!$V$22))/Processed!$V$20</f>
        <v>36.83523215936161</v>
      </c>
      <c r="R264" s="10">
        <f>1-(O264/Processed!$V$23)</f>
        <v>5.2318096981576523E-2</v>
      </c>
      <c r="S264" s="11">
        <f>1-(Processed!Q264/Processed!$V$24)</f>
        <v>5.1820092727240086E-2</v>
      </c>
    </row>
    <row r="265" spans="2:19">
      <c r="B265" t="str">
        <f t="shared" ref="B265:J265" si="38">B49</f>
        <v>1BABBB</v>
      </c>
      <c r="C265">
        <f t="shared" si="38"/>
        <v>32</v>
      </c>
      <c r="D265">
        <f t="shared" si="38"/>
        <v>10</v>
      </c>
      <c r="E265">
        <f t="shared" si="38"/>
        <v>2.8</v>
      </c>
      <c r="F265" t="str">
        <f t="shared" si="38"/>
        <v>Improved</v>
      </c>
      <c r="G265">
        <f t="shared" si="38"/>
        <v>0.25</v>
      </c>
      <c r="H265">
        <f t="shared" si="38"/>
        <v>0.75</v>
      </c>
      <c r="I265" t="str">
        <f t="shared" si="38"/>
        <v>Current</v>
      </c>
      <c r="J265" t="str">
        <f t="shared" si="38"/>
        <v>Current</v>
      </c>
      <c r="K265" t="s">
        <v>21</v>
      </c>
      <c r="L265" s="4">
        <f t="shared" si="6"/>
        <v>11466149.031709548</v>
      </c>
      <c r="M265" s="4">
        <f t="shared" si="7"/>
        <v>7165871.6999999993</v>
      </c>
      <c r="N265" s="4">
        <f>Table3[[#This Row],[Natural Gas kWh]]+Table3[[#This Row],[Electricity kWh]]</f>
        <v>18632020.731709547</v>
      </c>
      <c r="O265" s="9">
        <f>Table3[[#This Row],[Total Energy kWh]]/$V$20</f>
        <v>171.70814993142056</v>
      </c>
      <c r="P265" s="9">
        <f t="shared" si="8"/>
        <v>60.613860981308605</v>
      </c>
      <c r="Q265" s="12">
        <f>((L265*Processed!$V$21)+(Table3[[#This Row],[Natural Gas kWh]]*Processed!$V$22))/Processed!$V$20</f>
        <v>30.51116393741102</v>
      </c>
      <c r="R265" s="10">
        <f>1-(O265/Processed!$V$23)</f>
        <v>0.20482818650449008</v>
      </c>
      <c r="S265" s="11">
        <f>1-(Processed!Q265/Processed!$V$24)</f>
        <v>0.21460865326443102</v>
      </c>
    </row>
    <row r="266" spans="2:19">
      <c r="B266" t="str">
        <f t="shared" ref="B266:J266" si="39">B50</f>
        <v>1BBAAA</v>
      </c>
      <c r="C266">
        <f t="shared" si="39"/>
        <v>33</v>
      </c>
      <c r="D266">
        <f t="shared" si="39"/>
        <v>10</v>
      </c>
      <c r="E266">
        <f t="shared" si="39"/>
        <v>4</v>
      </c>
      <c r="F266" t="str">
        <f t="shared" si="39"/>
        <v>Current</v>
      </c>
      <c r="G266" t="str">
        <f t="shared" si="39"/>
        <v>Current</v>
      </c>
      <c r="H266" t="str">
        <f t="shared" si="39"/>
        <v>None</v>
      </c>
      <c r="I266" t="str">
        <f t="shared" si="39"/>
        <v>Current</v>
      </c>
      <c r="J266" t="str">
        <f t="shared" si="39"/>
        <v>Current</v>
      </c>
      <c r="K266" t="s">
        <v>21</v>
      </c>
      <c r="L266" s="4">
        <f t="shared" si="6"/>
        <v>11643882.016957711</v>
      </c>
      <c r="M266" s="4">
        <f t="shared" si="7"/>
        <v>10219195.4</v>
      </c>
      <c r="N266" s="4">
        <f>Table3[[#This Row],[Natural Gas kWh]]+Table3[[#This Row],[Electricity kWh]]</f>
        <v>21863077.416957714</v>
      </c>
      <c r="O266" s="9">
        <f>Table3[[#This Row],[Total Energy kWh]]/$V$20</f>
        <v>201.48477876499135</v>
      </c>
      <c r="P266" s="9">
        <f t="shared" si="8"/>
        <v>87.295401278019739</v>
      </c>
      <c r="Q266" s="12">
        <f>((L266*Processed!$V$21)+(Table3[[#This Row],[Natural Gas kWh]]*Processed!$V$22))/Processed!$V$20</f>
        <v>36.135964540605507</v>
      </c>
      <c r="R266" s="10">
        <f>1-(O266/Processed!$V$23)</f>
        <v>6.6934114738939843E-2</v>
      </c>
      <c r="S266" s="11">
        <f>1-(Processed!Q266/Processed!$V$24)</f>
        <v>6.9820020161998952E-2</v>
      </c>
    </row>
    <row r="267" spans="2:19">
      <c r="B267" t="str">
        <f t="shared" ref="B267:J267" si="40">B51</f>
        <v>1BBAAB</v>
      </c>
      <c r="C267">
        <f t="shared" si="40"/>
        <v>34</v>
      </c>
      <c r="D267">
        <f t="shared" si="40"/>
        <v>10</v>
      </c>
      <c r="E267">
        <f t="shared" si="40"/>
        <v>4</v>
      </c>
      <c r="F267" t="str">
        <f t="shared" si="40"/>
        <v>Current</v>
      </c>
      <c r="G267" t="str">
        <f t="shared" si="40"/>
        <v>Current</v>
      </c>
      <c r="H267">
        <f t="shared" si="40"/>
        <v>0.75</v>
      </c>
      <c r="I267" t="str">
        <f t="shared" si="40"/>
        <v>Current</v>
      </c>
      <c r="J267" t="str">
        <f t="shared" si="40"/>
        <v>Current</v>
      </c>
      <c r="K267" t="s">
        <v>21</v>
      </c>
      <c r="L267" s="4">
        <f t="shared" si="6"/>
        <v>12003733.987089993</v>
      </c>
      <c r="M267" s="4">
        <f t="shared" si="7"/>
        <v>6233692.1999999993</v>
      </c>
      <c r="N267" s="4">
        <f>Table3[[#This Row],[Natural Gas kWh]]+Table3[[#This Row],[Electricity kWh]]</f>
        <v>18237426.187089995</v>
      </c>
      <c r="O267" s="9">
        <f>Table3[[#This Row],[Total Energy kWh]]/$V$20</f>
        <v>168.0716630358074</v>
      </c>
      <c r="P267" s="9">
        <f t="shared" si="8"/>
        <v>51.95064599889843</v>
      </c>
      <c r="Q267" s="12">
        <f>((L267*Processed!$V$21)+(Table3[[#This Row],[Natural Gas kWh]]*Processed!$V$22))/Processed!$V$20</f>
        <v>29.721146395675987</v>
      </c>
      <c r="R267" s="10">
        <f>1-(O267/Processed!$V$23)</f>
        <v>0.22166857457396882</v>
      </c>
      <c r="S267" s="11">
        <f>1-(Processed!Q267/Processed!$V$24)</f>
        <v>0.23494458480479452</v>
      </c>
    </row>
    <row r="268" spans="2:19">
      <c r="B268" t="str">
        <f t="shared" ref="B268:J268" si="41">B52</f>
        <v>1BBABA</v>
      </c>
      <c r="C268">
        <f t="shared" si="41"/>
        <v>35</v>
      </c>
      <c r="D268">
        <f t="shared" si="41"/>
        <v>10</v>
      </c>
      <c r="E268">
        <f t="shared" si="41"/>
        <v>4</v>
      </c>
      <c r="F268" t="str">
        <f t="shared" si="41"/>
        <v>Current</v>
      </c>
      <c r="G268">
        <f t="shared" si="41"/>
        <v>0.25</v>
      </c>
      <c r="H268" t="str">
        <f t="shared" si="41"/>
        <v>None</v>
      </c>
      <c r="I268" t="str">
        <f t="shared" si="41"/>
        <v>Current</v>
      </c>
      <c r="J268" t="str">
        <f t="shared" si="41"/>
        <v>Current</v>
      </c>
      <c r="K268" t="s">
        <v>21</v>
      </c>
      <c r="L268" s="4">
        <f t="shared" si="6"/>
        <v>11115082.060848113</v>
      </c>
      <c r="M268" s="4">
        <f t="shared" si="7"/>
        <v>10480434.200000001</v>
      </c>
      <c r="N268" s="4">
        <f>Table3[[#This Row],[Natural Gas kWh]]+Table3[[#This Row],[Electricity kWh]]</f>
        <v>21595516.260848112</v>
      </c>
      <c r="O268" s="9">
        <f>Table3[[#This Row],[Total Energy kWh]]/$V$20</f>
        <v>199.01900053456555</v>
      </c>
      <c r="P268" s="9">
        <f t="shared" si="8"/>
        <v>89.808849109315346</v>
      </c>
      <c r="Q268" s="12">
        <f>((L268*Processed!$V$21)+(Table3[[#This Row],[Natural Gas kWh]]*Processed!$V$22))/Processed!$V$20</f>
        <v>35.764932500263569</v>
      </c>
      <c r="R268" s="10">
        <f>1-(O268/Processed!$V$23)</f>
        <v>7.835300981147153E-2</v>
      </c>
      <c r="S268" s="11">
        <f>1-(Processed!Q268/Processed!$V$24)</f>
        <v>7.9370798180299906E-2</v>
      </c>
    </row>
    <row r="269" spans="2:19">
      <c r="B269" t="str">
        <f t="shared" ref="B269:J269" si="42">B53</f>
        <v>1BBABB</v>
      </c>
      <c r="C269">
        <f t="shared" si="42"/>
        <v>36</v>
      </c>
      <c r="D269">
        <f t="shared" si="42"/>
        <v>10</v>
      </c>
      <c r="E269">
        <f t="shared" si="42"/>
        <v>4</v>
      </c>
      <c r="F269" t="str">
        <f t="shared" si="42"/>
        <v>Current</v>
      </c>
      <c r="G269">
        <f t="shared" si="42"/>
        <v>0.25</v>
      </c>
      <c r="H269">
        <f t="shared" si="42"/>
        <v>0.75</v>
      </c>
      <c r="I269" t="str">
        <f t="shared" si="42"/>
        <v>Current</v>
      </c>
      <c r="J269" t="str">
        <f t="shared" si="42"/>
        <v>Current</v>
      </c>
      <c r="K269" t="s">
        <v>21</v>
      </c>
      <c r="L269" s="4">
        <f t="shared" si="6"/>
        <v>11477331.030781444</v>
      </c>
      <c r="M269" s="4">
        <f t="shared" si="7"/>
        <v>6514386.1999999993</v>
      </c>
      <c r="N269" s="4">
        <f>Table3[[#This Row],[Natural Gas kWh]]+Table3[[#This Row],[Electricity kWh]]</f>
        <v>17991717.230781443</v>
      </c>
      <c r="O269" s="9">
        <f>Table3[[#This Row],[Total Energy kWh]]/$V$20</f>
        <v>165.80726933869656</v>
      </c>
      <c r="P269" s="9">
        <f t="shared" si="8"/>
        <v>54.456530524059914</v>
      </c>
      <c r="Q269" s="12">
        <f>((L269*Processed!$V$21)+(Table3[[#This Row],[Natural Gas kWh]]*Processed!$V$22))/Processed!$V$20</f>
        <v>29.387935613375728</v>
      </c>
      <c r="R269" s="10">
        <f>1-(O269/Processed!$V$23)</f>
        <v>0.23215486799288099</v>
      </c>
      <c r="S269" s="11">
        <f>1-(Processed!Q269/Processed!$V$24)</f>
        <v>0.24352180151125824</v>
      </c>
    </row>
    <row r="270" spans="2:19">
      <c r="B270" t="str">
        <f t="shared" ref="B270:J270" si="43">B54</f>
        <v>1BBBAA</v>
      </c>
      <c r="C270">
        <f t="shared" si="43"/>
        <v>37</v>
      </c>
      <c r="D270">
        <f t="shared" si="43"/>
        <v>10</v>
      </c>
      <c r="E270">
        <f t="shared" si="43"/>
        <v>4</v>
      </c>
      <c r="F270" t="str">
        <f t="shared" si="43"/>
        <v>Improved</v>
      </c>
      <c r="G270" t="str">
        <f t="shared" si="43"/>
        <v>Current</v>
      </c>
      <c r="H270" t="str">
        <f t="shared" si="43"/>
        <v>None</v>
      </c>
      <c r="I270" t="str">
        <f t="shared" si="43"/>
        <v>Current</v>
      </c>
      <c r="J270" t="str">
        <f t="shared" si="43"/>
        <v>Current</v>
      </c>
      <c r="K270" t="s">
        <v>21</v>
      </c>
      <c r="L270" s="4">
        <f t="shared" si="6"/>
        <v>11647414.016664553</v>
      </c>
      <c r="M270" s="4">
        <f t="shared" si="7"/>
        <v>10014945.1</v>
      </c>
      <c r="N270" s="4">
        <f>Table3[[#This Row],[Natural Gas kWh]]+Table3[[#This Row],[Electricity kWh]]</f>
        <v>21662359.116664551</v>
      </c>
      <c r="O270" s="9">
        <f>Table3[[#This Row],[Total Energy kWh]]/$V$20</f>
        <v>199.63500795929107</v>
      </c>
      <c r="P270" s="9">
        <f t="shared" si="8"/>
        <v>85.323400839090709</v>
      </c>
      <c r="Q270" s="12">
        <f>((L270*Processed!$V$21)+(Table3[[#This Row],[Natural Gas kWh]]*Processed!$V$22))/Processed!$V$20</f>
        <v>35.783857086598886</v>
      </c>
      <c r="R270" s="10">
        <f>1-(O270/Processed!$V$23)</f>
        <v>7.5500310383742941E-2</v>
      </c>
      <c r="S270" s="11">
        <f>1-(Processed!Q270/Processed!$V$24)</f>
        <v>7.8883658247559274E-2</v>
      </c>
    </row>
    <row r="271" spans="2:19">
      <c r="B271" t="str">
        <f t="shared" ref="B271:J271" si="44">B55</f>
        <v>1BBBAB</v>
      </c>
      <c r="C271">
        <f t="shared" si="44"/>
        <v>38</v>
      </c>
      <c r="D271">
        <f t="shared" si="44"/>
        <v>10</v>
      </c>
      <c r="E271">
        <f t="shared" si="44"/>
        <v>4</v>
      </c>
      <c r="F271" t="str">
        <f t="shared" si="44"/>
        <v>Improved</v>
      </c>
      <c r="G271" t="str">
        <f t="shared" si="44"/>
        <v>Current</v>
      </c>
      <c r="H271">
        <f t="shared" si="44"/>
        <v>0.75</v>
      </c>
      <c r="I271" t="str">
        <f t="shared" si="44"/>
        <v>Current</v>
      </c>
      <c r="J271" t="str">
        <f t="shared" si="44"/>
        <v>Current</v>
      </c>
      <c r="K271" t="s">
        <v>21</v>
      </c>
      <c r="L271" s="4">
        <f t="shared" si="6"/>
        <v>12007715.986759489</v>
      </c>
      <c r="M271" s="4">
        <f t="shared" si="7"/>
        <v>6019479.8999999994</v>
      </c>
      <c r="N271" s="4">
        <f>Table3[[#This Row],[Natural Gas kWh]]+Table3[[#This Row],[Electricity kWh]]</f>
        <v>18027195.88675949</v>
      </c>
      <c r="O271" s="9">
        <f>Table3[[#This Row],[Total Energy kWh]]/$V$20</f>
        <v>166.13423196222325</v>
      </c>
      <c r="P271" s="9">
        <f t="shared" si="8"/>
        <v>49.9820559332816</v>
      </c>
      <c r="Q271" s="12">
        <f>((L271*Processed!$V$21)+(Table3[[#This Row],[Natural Gas kWh]]*Processed!$V$22))/Processed!$V$20</f>
        <v>29.352300548977652</v>
      </c>
      <c r="R271" s="10">
        <f>1-(O271/Processed!$V$23)</f>
        <v>0.23064072051415729</v>
      </c>
      <c r="S271" s="11">
        <f>1-(Processed!Q271/Processed!$V$24)</f>
        <v>0.24443908776346501</v>
      </c>
    </row>
    <row r="272" spans="2:19">
      <c r="B272" t="str">
        <f t="shared" ref="B272:J272" si="45">B56</f>
        <v>1BBBBA</v>
      </c>
      <c r="C272">
        <f t="shared" si="45"/>
        <v>39</v>
      </c>
      <c r="D272">
        <f t="shared" si="45"/>
        <v>10</v>
      </c>
      <c r="E272">
        <f t="shared" si="45"/>
        <v>4</v>
      </c>
      <c r="F272" t="str">
        <f t="shared" si="45"/>
        <v>Improved</v>
      </c>
      <c r="G272">
        <f t="shared" si="45"/>
        <v>0.25</v>
      </c>
      <c r="H272" t="str">
        <f t="shared" si="45"/>
        <v>None</v>
      </c>
      <c r="I272" t="str">
        <f t="shared" si="45"/>
        <v>Current</v>
      </c>
      <c r="J272" t="str">
        <f t="shared" si="45"/>
        <v>Current</v>
      </c>
      <c r="K272" t="s">
        <v>21</v>
      </c>
      <c r="L272" s="4">
        <f t="shared" si="6"/>
        <v>11118717.060546404</v>
      </c>
      <c r="M272" s="4">
        <f t="shared" si="7"/>
        <v>10273957.1</v>
      </c>
      <c r="N272" s="4">
        <f>Table3[[#This Row],[Natural Gas kWh]]+Table3[[#This Row],[Electricity kWh]]</f>
        <v>21392674.160546403</v>
      </c>
      <c r="O272" s="9">
        <f>Table3[[#This Row],[Total Energy kWh]]/$V$20</f>
        <v>197.14965730698239</v>
      </c>
      <c r="P272" s="9">
        <f t="shared" si="8"/>
        <v>87.791101604151166</v>
      </c>
      <c r="Q272" s="12">
        <f>((L272*Processed!$V$21)+(Table3[[#This Row],[Natural Gas kWh]]*Processed!$V$22))/Processed!$V$20</f>
        <v>35.409087301644171</v>
      </c>
      <c r="R272" s="10">
        <f>1-(O272/Processed!$V$23)</f>
        <v>8.7009844358442834E-2</v>
      </c>
      <c r="S272" s="11">
        <f>1-(Processed!Q272/Processed!$V$24)</f>
        <v>8.853064997574045E-2</v>
      </c>
    </row>
    <row r="273" spans="2:19">
      <c r="B273" t="str">
        <f t="shared" ref="B273:J273" si="46">B57</f>
        <v>1BBBBB</v>
      </c>
      <c r="C273">
        <f t="shared" si="46"/>
        <v>40</v>
      </c>
      <c r="D273">
        <f t="shared" si="46"/>
        <v>10</v>
      </c>
      <c r="E273">
        <f t="shared" si="46"/>
        <v>4</v>
      </c>
      <c r="F273" t="str">
        <f t="shared" si="46"/>
        <v>Improved</v>
      </c>
      <c r="G273">
        <f t="shared" si="46"/>
        <v>0.25</v>
      </c>
      <c r="H273">
        <f t="shared" si="46"/>
        <v>0.75</v>
      </c>
      <c r="I273" t="str">
        <f t="shared" si="46"/>
        <v>Current</v>
      </c>
      <c r="J273" t="str">
        <f t="shared" si="46"/>
        <v>Current</v>
      </c>
      <c r="K273" t="s">
        <v>21</v>
      </c>
      <c r="L273" s="4">
        <f t="shared" si="6"/>
        <v>11480923.030483307</v>
      </c>
      <c r="M273" s="4">
        <f t="shared" si="7"/>
        <v>6299207</v>
      </c>
      <c r="N273" s="4">
        <f>Table3[[#This Row],[Natural Gas kWh]]+Table3[[#This Row],[Electricity kWh]]</f>
        <v>17780130.030483305</v>
      </c>
      <c r="O273" s="9">
        <f>Table3[[#This Row],[Total Energy kWh]]/$V$20</f>
        <v>163.85733340659817</v>
      </c>
      <c r="P273" s="9">
        <f t="shared" si="8"/>
        <v>52.441672250442871</v>
      </c>
      <c r="Q273" s="12">
        <f>((L273*Processed!$V$21)+(Table3[[#This Row],[Natural Gas kWh]]*Processed!$V$22))/Processed!$V$20</f>
        <v>29.016785726447626</v>
      </c>
      <c r="R273" s="10">
        <f>1-(O273/Processed!$V$23)</f>
        <v>0.24118492330444319</v>
      </c>
      <c r="S273" s="11">
        <f>1-(Processed!Q273/Processed!$V$24)</f>
        <v>0.25307561303195858</v>
      </c>
    </row>
    <row r="274" spans="2:19">
      <c r="B274" t="str">
        <f t="shared" ref="B274:J274" si="47">B58</f>
        <v>1BCAAA</v>
      </c>
      <c r="C274">
        <f t="shared" si="47"/>
        <v>41</v>
      </c>
      <c r="D274">
        <f t="shared" si="47"/>
        <v>10</v>
      </c>
      <c r="E274">
        <f t="shared" si="47"/>
        <v>5.5</v>
      </c>
      <c r="F274" t="str">
        <f t="shared" si="47"/>
        <v>Current</v>
      </c>
      <c r="G274" t="str">
        <f t="shared" si="47"/>
        <v>Current</v>
      </c>
      <c r="H274" t="str">
        <f t="shared" si="47"/>
        <v>None</v>
      </c>
      <c r="I274" t="str">
        <f t="shared" si="47"/>
        <v>Current</v>
      </c>
      <c r="J274" t="str">
        <f t="shared" si="47"/>
        <v>Current</v>
      </c>
      <c r="K274" t="s">
        <v>21</v>
      </c>
      <c r="L274" s="4">
        <f t="shared" si="6"/>
        <v>11654763.016054589</v>
      </c>
      <c r="M274" s="4">
        <f t="shared" si="7"/>
        <v>9816437.5999999996</v>
      </c>
      <c r="N274" s="4">
        <f>Table3[[#This Row],[Natural Gas kWh]]+Table3[[#This Row],[Electricity kWh]]</f>
        <v>21471200.616054587</v>
      </c>
      <c r="O274" s="9">
        <f>Table3[[#This Row],[Total Energy kWh]]/$V$20</f>
        <v>197.87333793133004</v>
      </c>
      <c r="P274" s="9">
        <f t="shared" si="8"/>
        <v>83.350179902349268</v>
      </c>
      <c r="Q274" s="12">
        <f>((L274*Processed!$V$21)+(Table3[[#This Row],[Natural Gas kWh]]*Processed!$V$22))/Processed!$V$20</f>
        <v>35.447785249636418</v>
      </c>
      <c r="R274" s="10">
        <f>1-(O274/Processed!$V$23)</f>
        <v>8.3658515754157503E-2</v>
      </c>
      <c r="S274" s="11">
        <f>1-(Processed!Q274/Processed!$V$24)</f>
        <v>8.7534521688013345E-2</v>
      </c>
    </row>
    <row r="275" spans="2:19">
      <c r="B275" t="str">
        <f t="shared" ref="B275:J275" si="48">B59</f>
        <v>1BCAAB</v>
      </c>
      <c r="C275">
        <f t="shared" si="48"/>
        <v>42</v>
      </c>
      <c r="D275">
        <f t="shared" si="48"/>
        <v>10</v>
      </c>
      <c r="E275">
        <f t="shared" si="48"/>
        <v>5.5</v>
      </c>
      <c r="F275" t="str">
        <f t="shared" si="48"/>
        <v>Current</v>
      </c>
      <c r="G275" t="str">
        <f t="shared" si="48"/>
        <v>Current</v>
      </c>
      <c r="H275">
        <f t="shared" si="48"/>
        <v>0.75</v>
      </c>
      <c r="I275" t="str">
        <f t="shared" si="48"/>
        <v>Current</v>
      </c>
      <c r="J275" t="str">
        <f t="shared" si="48"/>
        <v>Current</v>
      </c>
      <c r="K275" t="s">
        <v>21</v>
      </c>
      <c r="L275" s="4">
        <f t="shared" si="6"/>
        <v>12014169.986223808</v>
      </c>
      <c r="M275" s="4">
        <f t="shared" si="7"/>
        <v>5805121.1000000006</v>
      </c>
      <c r="N275" s="4">
        <f>Table3[[#This Row],[Natural Gas kWh]]+Table3[[#This Row],[Electricity kWh]]</f>
        <v>17819291.086223807</v>
      </c>
      <c r="O275" s="9">
        <f>Table3[[#This Row],[Total Energy kWh]]/$V$20</f>
        <v>164.21823212646268</v>
      </c>
      <c r="P275" s="9">
        <f t="shared" si="8"/>
        <v>48.013328156628418</v>
      </c>
      <c r="Q275" s="12">
        <f>((L275*Processed!$V$21)+(Table3[[#This Row],[Natural Gas kWh]]*Processed!$V$22))/Processed!$V$20</f>
        <v>28.987071010545339</v>
      </c>
      <c r="R275" s="10">
        <f>1-(O275/Processed!$V$23)</f>
        <v>0.23951361946896721</v>
      </c>
      <c r="S275" s="11">
        <f>1-(Processed!Q275/Processed!$V$24)</f>
        <v>0.25384050291909099</v>
      </c>
    </row>
    <row r="276" spans="2:19">
      <c r="B276" t="str">
        <f t="shared" ref="B276:J276" si="49">B60</f>
        <v>1BCABA</v>
      </c>
      <c r="C276">
        <f t="shared" si="49"/>
        <v>43</v>
      </c>
      <c r="D276">
        <f t="shared" si="49"/>
        <v>10</v>
      </c>
      <c r="E276">
        <f t="shared" si="49"/>
        <v>5.5</v>
      </c>
      <c r="F276" t="str">
        <f t="shared" si="49"/>
        <v>Current</v>
      </c>
      <c r="G276">
        <f t="shared" si="49"/>
        <v>0.25</v>
      </c>
      <c r="H276" t="str">
        <f t="shared" si="49"/>
        <v>None</v>
      </c>
      <c r="I276" t="str">
        <f t="shared" si="49"/>
        <v>Current</v>
      </c>
      <c r="J276" t="str">
        <f t="shared" si="49"/>
        <v>Current</v>
      </c>
      <c r="K276" t="s">
        <v>21</v>
      </c>
      <c r="L276" s="4">
        <f t="shared" si="6"/>
        <v>11125075.060018692</v>
      </c>
      <c r="M276" s="4">
        <f t="shared" si="7"/>
        <v>10065604.799999999</v>
      </c>
      <c r="N276" s="4">
        <f>Table3[[#This Row],[Natural Gas kWh]]+Table3[[#This Row],[Electricity kWh]]</f>
        <v>21190679.860018693</v>
      </c>
      <c r="O276" s="9">
        <f>Table3[[#This Row],[Total Energy kWh]]/$V$20</f>
        <v>195.28812719493843</v>
      </c>
      <c r="P276" s="9">
        <f t="shared" si="8"/>
        <v>85.7532185852982</v>
      </c>
      <c r="Q276" s="12">
        <f>((L276*Processed!$V$21)+(Table3[[#This Row],[Natural Gas kWh]]*Processed!$V$22))/Processed!$V$20</f>
        <v>35.054224704967346</v>
      </c>
      <c r="R276" s="10">
        <f>1-(O276/Processed!$V$23)</f>
        <v>9.5630496759984029E-2</v>
      </c>
      <c r="S276" s="11">
        <f>1-(Processed!Q276/Processed!$V$24)</f>
        <v>9.7665208502639489E-2</v>
      </c>
    </row>
    <row r="277" spans="2:19">
      <c r="B277" t="str">
        <f t="shared" ref="B277:J277" si="50">B61</f>
        <v>1BCABB</v>
      </c>
      <c r="C277">
        <f t="shared" si="50"/>
        <v>44</v>
      </c>
      <c r="D277">
        <f t="shared" si="50"/>
        <v>10</v>
      </c>
      <c r="E277">
        <f t="shared" si="50"/>
        <v>5.5</v>
      </c>
      <c r="F277" t="str">
        <f t="shared" si="50"/>
        <v>Current</v>
      </c>
      <c r="G277">
        <f t="shared" si="50"/>
        <v>0.25</v>
      </c>
      <c r="H277">
        <f t="shared" si="50"/>
        <v>0.75</v>
      </c>
      <c r="I277" t="str">
        <f t="shared" si="50"/>
        <v>Current</v>
      </c>
      <c r="J277" t="str">
        <f t="shared" si="50"/>
        <v>Current</v>
      </c>
      <c r="K277" t="s">
        <v>21</v>
      </c>
      <c r="L277" s="4">
        <f t="shared" si="6"/>
        <v>11486581.030013693</v>
      </c>
      <c r="M277" s="4">
        <f t="shared" si="7"/>
        <v>6076292.6000000006</v>
      </c>
      <c r="N277" s="4">
        <f>Table3[[#This Row],[Natural Gas kWh]]+Table3[[#This Row],[Electricity kWh]]</f>
        <v>17562873.630013693</v>
      </c>
      <c r="O277" s="9">
        <f>Table3[[#This Row],[Total Energy kWh]]/$V$20</f>
        <v>161.8551515111096</v>
      </c>
      <c r="P277" s="9">
        <f t="shared" si="8"/>
        <v>50.40728061139405</v>
      </c>
      <c r="Q277" s="12">
        <f>((L277*Processed!$V$21)+(Table3[[#This Row],[Natural Gas kWh]]*Processed!$V$22))/Processed!$V$20</f>
        <v>28.635328311484411</v>
      </c>
      <c r="R277" s="10">
        <f>1-(O277/Processed!$V$23)</f>
        <v>0.25045692704695277</v>
      </c>
      <c r="S277" s="11">
        <f>1-(Processed!Q277/Processed!$V$24)</f>
        <v>0.26289475180604138</v>
      </c>
    </row>
    <row r="278" spans="2:19">
      <c r="B278" t="str">
        <f t="shared" ref="B278:J278" si="51">B62</f>
        <v>1BCBAA</v>
      </c>
      <c r="C278">
        <f t="shared" si="51"/>
        <v>45</v>
      </c>
      <c r="D278">
        <f t="shared" si="51"/>
        <v>10</v>
      </c>
      <c r="E278">
        <f t="shared" si="51"/>
        <v>5.5</v>
      </c>
      <c r="F278" t="str">
        <f t="shared" si="51"/>
        <v>Improved</v>
      </c>
      <c r="G278" t="str">
        <f t="shared" si="51"/>
        <v>Current</v>
      </c>
      <c r="H278" t="str">
        <f t="shared" si="51"/>
        <v>None</v>
      </c>
      <c r="I278" t="str">
        <f t="shared" si="51"/>
        <v>Current</v>
      </c>
      <c r="J278" t="str">
        <f t="shared" si="51"/>
        <v>Current</v>
      </c>
      <c r="K278" t="s">
        <v>21</v>
      </c>
      <c r="L278" s="4">
        <f t="shared" si="6"/>
        <v>11659379.01567146</v>
      </c>
      <c r="M278" s="4">
        <f t="shared" si="7"/>
        <v>9619951.7999999989</v>
      </c>
      <c r="N278" s="4">
        <f>Table3[[#This Row],[Natural Gas kWh]]+Table3[[#This Row],[Electricity kWh]]</f>
        <v>21279330.815671459</v>
      </c>
      <c r="O278" s="9">
        <f>Table3[[#This Row],[Total Energy kWh]]/$V$20</f>
        <v>196.10511273848081</v>
      </c>
      <c r="P278" s="9">
        <f t="shared" si="8"/>
        <v>81.400170025775282</v>
      </c>
      <c r="Q278" s="12">
        <f>((L278*Processed!$V$21)+(Table3[[#This Row],[Natural Gas kWh]]*Processed!$V$22))/Processed!$V$20</f>
        <v>35.110971664506032</v>
      </c>
      <c r="R278" s="10">
        <f>1-(O278/Processed!$V$23)</f>
        <v>9.1847077763753004E-2</v>
      </c>
      <c r="S278" s="11">
        <f>1-(Processed!Q278/Processed!$V$24)</f>
        <v>9.6204478552557537E-2</v>
      </c>
    </row>
    <row r="279" spans="2:19">
      <c r="B279" t="str">
        <f t="shared" ref="B279:J279" si="52">B63</f>
        <v>1BCBAB</v>
      </c>
      <c r="C279">
        <f t="shared" si="52"/>
        <v>46</v>
      </c>
      <c r="D279">
        <f t="shared" si="52"/>
        <v>10</v>
      </c>
      <c r="E279">
        <f t="shared" si="52"/>
        <v>5.5</v>
      </c>
      <c r="F279" t="str">
        <f t="shared" si="52"/>
        <v>Improved</v>
      </c>
      <c r="G279" t="str">
        <f t="shared" si="52"/>
        <v>Current</v>
      </c>
      <c r="H279">
        <f t="shared" si="52"/>
        <v>0.75</v>
      </c>
      <c r="I279" t="str">
        <f t="shared" si="52"/>
        <v>Current</v>
      </c>
      <c r="J279" t="str">
        <f t="shared" si="52"/>
        <v>Current</v>
      </c>
      <c r="K279" t="s">
        <v>21</v>
      </c>
      <c r="L279" s="4">
        <f t="shared" si="6"/>
        <v>12018871.985833541</v>
      </c>
      <c r="M279" s="4">
        <f t="shared" si="7"/>
        <v>5593868.1000000006</v>
      </c>
      <c r="N279" s="4">
        <f>Table3[[#This Row],[Natural Gas kWh]]+Table3[[#This Row],[Electricity kWh]]</f>
        <v>17612740.085833542</v>
      </c>
      <c r="O279" s="9">
        <f>Table3[[#This Row],[Total Energy kWh]]/$V$20</f>
        <v>162.31470858201232</v>
      </c>
      <c r="P279" s="9">
        <f t="shared" si="8"/>
        <v>46.067905947716682</v>
      </c>
      <c r="Q279" s="12">
        <f>((L279*Processed!$V$21)+(Table3[[#This Row],[Natural Gas kWh]]*Processed!$V$22))/Processed!$V$20</f>
        <v>28.624534887512372</v>
      </c>
      <c r="R279" s="10">
        <f>1-(O279/Processed!$V$23)</f>
        <v>0.24832874134568961</v>
      </c>
      <c r="S279" s="11">
        <f>1-(Processed!Q279/Processed!$V$24)</f>
        <v>0.26317258656208931</v>
      </c>
    </row>
    <row r="280" spans="2:19">
      <c r="B280" t="str">
        <f t="shared" ref="B280:J280" si="53">B64</f>
        <v>1BCBBA</v>
      </c>
      <c r="C280">
        <f t="shared" si="53"/>
        <v>47</v>
      </c>
      <c r="D280">
        <f t="shared" si="53"/>
        <v>10</v>
      </c>
      <c r="E280">
        <f t="shared" si="53"/>
        <v>5.5</v>
      </c>
      <c r="F280" t="str">
        <f t="shared" si="53"/>
        <v>Improved</v>
      </c>
      <c r="G280">
        <f t="shared" si="53"/>
        <v>0.25</v>
      </c>
      <c r="H280" t="str">
        <f t="shared" si="53"/>
        <v>None</v>
      </c>
      <c r="I280" t="str">
        <f t="shared" si="53"/>
        <v>Current</v>
      </c>
      <c r="J280" t="str">
        <f t="shared" si="53"/>
        <v>Current</v>
      </c>
      <c r="K280" t="s">
        <v>21</v>
      </c>
      <c r="L280" s="4">
        <f t="shared" si="6"/>
        <v>11129175.059678391</v>
      </c>
      <c r="M280" s="4">
        <f t="shared" si="7"/>
        <v>9861032.2000000011</v>
      </c>
      <c r="N280" s="4">
        <f>Table3[[#This Row],[Natural Gas kWh]]+Table3[[#This Row],[Electricity kWh]]</f>
        <v>20990207.259678394</v>
      </c>
      <c r="O280" s="9">
        <f>Table3[[#This Row],[Total Energy kWh]]/$V$20</f>
        <v>193.44062069996173</v>
      </c>
      <c r="P280" s="9">
        <f t="shared" si="8"/>
        <v>83.743488022623239</v>
      </c>
      <c r="Q280" s="12">
        <f>((L280*Processed!$V$21)+(Table3[[#This Row],[Natural Gas kWh]]*Processed!$V$22))/Processed!$V$20</f>
        <v>34.702442779022945</v>
      </c>
      <c r="R280" s="10">
        <f>1-(O280/Processed!$V$23)</f>
        <v>0.1041862064956145</v>
      </c>
      <c r="S280" s="11">
        <f>1-(Processed!Q280/Processed!$V$24)</f>
        <v>0.10672046713326611</v>
      </c>
    </row>
    <row r="281" spans="2:19">
      <c r="B281" t="str">
        <f t="shared" ref="B281:J281" si="54">B65</f>
        <v>1BCBBB</v>
      </c>
      <c r="C281">
        <f t="shared" si="54"/>
        <v>48</v>
      </c>
      <c r="D281">
        <f t="shared" si="54"/>
        <v>10</v>
      </c>
      <c r="E281">
        <f t="shared" si="54"/>
        <v>5.5</v>
      </c>
      <c r="F281" t="str">
        <f t="shared" si="54"/>
        <v>Improved</v>
      </c>
      <c r="G281">
        <f t="shared" si="54"/>
        <v>0.25</v>
      </c>
      <c r="H281">
        <f t="shared" si="54"/>
        <v>0.75</v>
      </c>
      <c r="I281" t="str">
        <f t="shared" si="54"/>
        <v>Current</v>
      </c>
      <c r="J281" t="str">
        <f t="shared" si="54"/>
        <v>Current</v>
      </c>
      <c r="K281" t="s">
        <v>21</v>
      </c>
      <c r="L281" s="4">
        <f t="shared" si="6"/>
        <v>11490789.029664429</v>
      </c>
      <c r="M281" s="4">
        <f t="shared" si="7"/>
        <v>5857275.1000000006</v>
      </c>
      <c r="N281" s="4">
        <f>Table3[[#This Row],[Natural Gas kWh]]+Table3[[#This Row],[Electricity kWh]]</f>
        <v>17348064.129664429</v>
      </c>
      <c r="O281" s="9">
        <f>Table3[[#This Row],[Total Energy kWh]]/$V$20</f>
        <v>159.87551964917785</v>
      </c>
      <c r="P281" s="9">
        <f t="shared" si="8"/>
        <v>48.400725503204548</v>
      </c>
      <c r="Q281" s="12">
        <f>((L281*Processed!$V$21)+(Table3[[#This Row],[Natural Gas kWh]]*Processed!$V$22))/Processed!$V$20</f>
        <v>28.258422659788049</v>
      </c>
      <c r="R281" s="10">
        <f>1-(O281/Processed!$V$23)</f>
        <v>0.25962450271726578</v>
      </c>
      <c r="S281" s="11">
        <f>1-(Processed!Q281/Processed!$V$24)</f>
        <v>0.2725967231233366</v>
      </c>
    </row>
    <row r="282" spans="2:19">
      <c r="B282" t="str">
        <f t="shared" ref="B282:J282" si="55">B66</f>
        <v>1CAAAA</v>
      </c>
      <c r="C282">
        <f t="shared" si="55"/>
        <v>49</v>
      </c>
      <c r="D282">
        <f t="shared" si="55"/>
        <v>15</v>
      </c>
      <c r="E282">
        <f t="shared" si="55"/>
        <v>2.8</v>
      </c>
      <c r="F282" t="str">
        <f t="shared" si="55"/>
        <v>Current</v>
      </c>
      <c r="G282" t="str">
        <f t="shared" si="55"/>
        <v>Current</v>
      </c>
      <c r="H282" t="str">
        <f t="shared" si="55"/>
        <v>None</v>
      </c>
      <c r="I282" t="str">
        <f t="shared" si="55"/>
        <v>Current</v>
      </c>
      <c r="J282" t="str">
        <f t="shared" si="55"/>
        <v>Current</v>
      </c>
      <c r="K282" t="s">
        <v>21</v>
      </c>
      <c r="L282" s="4">
        <f t="shared" si="6"/>
        <v>11627622.018307291</v>
      </c>
      <c r="M282" s="4">
        <f t="shared" si="7"/>
        <v>10836487.799999999</v>
      </c>
      <c r="N282" s="4">
        <f>Table3[[#This Row],[Natural Gas kWh]]+Table3[[#This Row],[Electricity kWh]]</f>
        <v>22464109.818307288</v>
      </c>
      <c r="O282" s="9">
        <f>Table3[[#This Row],[Total Energy kWh]]/$V$20</f>
        <v>207.02374650073116</v>
      </c>
      <c r="P282" s="9">
        <f t="shared" si="8"/>
        <v>93.362533706669709</v>
      </c>
      <c r="Q282" s="12">
        <f>((L282*Processed!$V$21)+(Table3[[#This Row],[Natural Gas kWh]]*Processed!$V$22))/Processed!$V$20</f>
        <v>37.191365373877758</v>
      </c>
      <c r="R282" s="10">
        <f>1-(O282/Processed!$V$23)</f>
        <v>4.1283433504062717E-2</v>
      </c>
      <c r="S282" s="11">
        <f>1-(Processed!Q282/Processed!$V$24)</f>
        <v>4.2652827081790634E-2</v>
      </c>
    </row>
    <row r="283" spans="2:19">
      <c r="B283" t="str">
        <f t="shared" ref="B283:J283" si="56">B67</f>
        <v>1CAAAB</v>
      </c>
      <c r="C283">
        <f t="shared" si="56"/>
        <v>50</v>
      </c>
      <c r="D283">
        <f t="shared" si="56"/>
        <v>15</v>
      </c>
      <c r="E283">
        <f t="shared" si="56"/>
        <v>2.8</v>
      </c>
      <c r="F283" t="str">
        <f t="shared" si="56"/>
        <v>Current</v>
      </c>
      <c r="G283" t="str">
        <f t="shared" si="56"/>
        <v>Current</v>
      </c>
      <c r="H283">
        <f t="shared" si="56"/>
        <v>0.75</v>
      </c>
      <c r="I283" t="str">
        <f t="shared" si="56"/>
        <v>Current</v>
      </c>
      <c r="J283" t="str">
        <f t="shared" si="56"/>
        <v>Current</v>
      </c>
      <c r="K283" t="s">
        <v>21</v>
      </c>
      <c r="L283" s="4">
        <f t="shared" si="6"/>
        <v>11987754.988416253</v>
      </c>
      <c r="M283" s="4">
        <f t="shared" si="7"/>
        <v>6880929.1999999993</v>
      </c>
      <c r="N283" s="4">
        <f>Table3[[#This Row],[Natural Gas kWh]]+Table3[[#This Row],[Electricity kWh]]</f>
        <v>18868684.18841625</v>
      </c>
      <c r="O283" s="9">
        <f>Table3[[#This Row],[Total Energy kWh]]/$V$20</f>
        <v>173.88918251466171</v>
      </c>
      <c r="P283" s="9">
        <f t="shared" si="8"/>
        <v>58.009197139831777</v>
      </c>
      <c r="Q283" s="12">
        <f>((L283*Processed!$V$21)+(Table3[[#This Row],[Natural Gas kWh]]*Processed!$V$22))/Processed!$V$20</f>
        <v>30.829420267597669</v>
      </c>
      <c r="R283" s="10">
        <f>1-(O283/Processed!$V$23)</f>
        <v>0.19472793421476864</v>
      </c>
      <c r="S283" s="11">
        <f>1-(Processed!Q283/Processed!$V$24)</f>
        <v>0.2064163808134305</v>
      </c>
    </row>
    <row r="284" spans="2:19">
      <c r="B284" t="str">
        <f t="shared" ref="B284:J284" si="57">B68</f>
        <v>1CAABA</v>
      </c>
      <c r="C284">
        <f t="shared" si="57"/>
        <v>51</v>
      </c>
      <c r="D284">
        <f t="shared" si="57"/>
        <v>15</v>
      </c>
      <c r="E284">
        <f t="shared" si="57"/>
        <v>2.8</v>
      </c>
      <c r="F284" t="str">
        <f t="shared" si="57"/>
        <v>Current</v>
      </c>
      <c r="G284">
        <f t="shared" si="57"/>
        <v>0.25</v>
      </c>
      <c r="H284" t="str">
        <f t="shared" si="57"/>
        <v>None</v>
      </c>
      <c r="I284" t="str">
        <f t="shared" si="57"/>
        <v>Current</v>
      </c>
      <c r="J284" t="str">
        <f t="shared" si="57"/>
        <v>Current</v>
      </c>
      <c r="K284" t="s">
        <v>21</v>
      </c>
      <c r="L284" s="4">
        <f t="shared" si="6"/>
        <v>11102525.061890341</v>
      </c>
      <c r="M284" s="4">
        <f t="shared" si="7"/>
        <v>11108567.6</v>
      </c>
      <c r="N284" s="4">
        <f>Table3[[#This Row],[Natural Gas kWh]]+Table3[[#This Row],[Electricity kWh]]</f>
        <v>22211092.661890343</v>
      </c>
      <c r="O284" s="9">
        <f>Table3[[#This Row],[Total Energy kWh]]/$V$20</f>
        <v>204.69200221733607</v>
      </c>
      <c r="P284" s="9">
        <f t="shared" si="8"/>
        <v>96.017510680312753</v>
      </c>
      <c r="Q284" s="12">
        <f>((L284*Processed!$V$21)+(Table3[[#This Row],[Natural Gas kWh]]*Processed!$V$22))/Processed!$V$20</f>
        <v>36.845117264666449</v>
      </c>
      <c r="R284" s="10">
        <f>1-(O284/Processed!$V$23)</f>
        <v>5.2081624103493263E-2</v>
      </c>
      <c r="S284" s="11">
        <f>1-(Processed!Q284/Processed!$V$24)</f>
        <v>5.1565639105479955E-2</v>
      </c>
    </row>
    <row r="285" spans="2:19">
      <c r="B285" t="str">
        <f t="shared" ref="B285:J285" si="58">B69</f>
        <v>1CAABB</v>
      </c>
      <c r="C285">
        <f t="shared" si="58"/>
        <v>52</v>
      </c>
      <c r="D285">
        <f t="shared" si="58"/>
        <v>15</v>
      </c>
      <c r="E285">
        <f t="shared" si="58"/>
        <v>2.8</v>
      </c>
      <c r="F285" t="str">
        <f t="shared" si="58"/>
        <v>Current</v>
      </c>
      <c r="G285">
        <f t="shared" si="58"/>
        <v>0.25</v>
      </c>
      <c r="H285">
        <f t="shared" si="58"/>
        <v>0.75</v>
      </c>
      <c r="I285" t="str">
        <f t="shared" si="58"/>
        <v>Current</v>
      </c>
      <c r="J285" t="str">
        <f t="shared" si="58"/>
        <v>Current</v>
      </c>
      <c r="K285" t="s">
        <v>21</v>
      </c>
      <c r="L285" s="4">
        <f t="shared" si="6"/>
        <v>11464716.031828489</v>
      </c>
      <c r="M285" s="4">
        <f t="shared" si="7"/>
        <v>7172317.6999999993</v>
      </c>
      <c r="N285" s="4">
        <f>Table3[[#This Row],[Natural Gas kWh]]+Table3[[#This Row],[Electricity kWh]]</f>
        <v>18637033.731828488</v>
      </c>
      <c r="O285" s="9">
        <f>Table3[[#This Row],[Total Energy kWh]]/$V$20</f>
        <v>171.75434851548314</v>
      </c>
      <c r="P285" s="9">
        <f t="shared" si="8"/>
        <v>60.659205715300295</v>
      </c>
      <c r="Q285" s="12">
        <f>((L285*Processed!$V$21)+(Table3[[#This Row],[Natural Gas kWh]]*Processed!$V$22))/Processed!$V$20</f>
        <v>30.520205791917299</v>
      </c>
      <c r="R285" s="10">
        <f>1-(O285/Processed!$V$23)</f>
        <v>0.20461424318331023</v>
      </c>
      <c r="S285" s="11">
        <f>1-(Processed!Q285/Processed!$V$24)</f>
        <v>0.21437590585753952</v>
      </c>
    </row>
    <row r="286" spans="2:19">
      <c r="B286" t="str">
        <f t="shared" ref="B286:J286" si="59">B70</f>
        <v>1CABAA</v>
      </c>
      <c r="C286">
        <f t="shared" si="59"/>
        <v>53</v>
      </c>
      <c r="D286">
        <f t="shared" si="59"/>
        <v>15</v>
      </c>
      <c r="E286">
        <f t="shared" si="59"/>
        <v>2.8</v>
      </c>
      <c r="F286" t="str">
        <f t="shared" si="59"/>
        <v>Improved</v>
      </c>
      <c r="G286" t="str">
        <f t="shared" si="59"/>
        <v>Current</v>
      </c>
      <c r="H286" t="str">
        <f t="shared" si="59"/>
        <v>None</v>
      </c>
      <c r="I286" t="str">
        <f t="shared" si="59"/>
        <v>Current</v>
      </c>
      <c r="J286" t="str">
        <f t="shared" si="59"/>
        <v>Current</v>
      </c>
      <c r="K286" t="s">
        <v>21</v>
      </c>
      <c r="L286" s="4">
        <f t="shared" si="6"/>
        <v>11629752.0181305</v>
      </c>
      <c r="M286" s="4">
        <f t="shared" si="7"/>
        <v>10637130.6</v>
      </c>
      <c r="N286" s="4">
        <f>Table3[[#This Row],[Natural Gas kWh]]+Table3[[#This Row],[Electricity kWh]]</f>
        <v>22266882.618130498</v>
      </c>
      <c r="O286" s="9">
        <f>Table3[[#This Row],[Total Energy kWh]]/$V$20</f>
        <v>205.20614882057853</v>
      </c>
      <c r="P286" s="9">
        <f t="shared" si="8"/>
        <v>91.376716260426036</v>
      </c>
      <c r="Q286" s="12">
        <f>((L286*Processed!$V$21)+(Table3[[#This Row],[Natural Gas kWh]]*Processed!$V$22))/Processed!$V$20</f>
        <v>36.845629223491571</v>
      </c>
      <c r="R286" s="10">
        <f>1-(O286/Processed!$V$23)</f>
        <v>4.9700637021248384E-2</v>
      </c>
      <c r="S286" s="11">
        <f>1-(Processed!Q286/Processed!$V$24)</f>
        <v>5.1552460715040382E-2</v>
      </c>
    </row>
    <row r="287" spans="2:19">
      <c r="B287" t="str">
        <f t="shared" ref="B287:J287" si="60">B71</f>
        <v>1CABAB</v>
      </c>
      <c r="C287">
        <f t="shared" si="60"/>
        <v>54</v>
      </c>
      <c r="D287">
        <f t="shared" si="60"/>
        <v>15</v>
      </c>
      <c r="E287">
        <f t="shared" si="60"/>
        <v>2.8</v>
      </c>
      <c r="F287" t="str">
        <f t="shared" si="60"/>
        <v>Improved</v>
      </c>
      <c r="G287" t="str">
        <f t="shared" si="60"/>
        <v>Current</v>
      </c>
      <c r="H287">
        <f t="shared" si="60"/>
        <v>0.75</v>
      </c>
      <c r="I287" t="str">
        <f t="shared" si="60"/>
        <v>Current</v>
      </c>
      <c r="J287" t="str">
        <f t="shared" si="60"/>
        <v>Current</v>
      </c>
      <c r="K287" t="s">
        <v>21</v>
      </c>
      <c r="L287" s="4">
        <f t="shared" si="6"/>
        <v>11990153.988217138</v>
      </c>
      <c r="M287" s="4">
        <f t="shared" si="7"/>
        <v>6669266</v>
      </c>
      <c r="N287" s="4">
        <f>Table3[[#This Row],[Natural Gas kWh]]+Table3[[#This Row],[Electricity kWh]]</f>
        <v>18659419.988217138</v>
      </c>
      <c r="O287" s="9">
        <f>Table3[[#This Row],[Total Energy kWh]]/$V$20</f>
        <v>171.96065478380129</v>
      </c>
      <c r="P287" s="9">
        <f t="shared" si="8"/>
        <v>56.025628973848612</v>
      </c>
      <c r="Q287" s="12">
        <f>((L287*Processed!$V$21)+(Table3[[#This Row],[Natural Gas kWh]]*Processed!$V$22))/Processed!$V$20</f>
        <v>30.462557826815825</v>
      </c>
      <c r="R287" s="10">
        <f>1-(O287/Processed!$V$23)</f>
        <v>0.20365884922222255</v>
      </c>
      <c r="S287" s="11">
        <f>1-(Processed!Q287/Processed!$V$24)</f>
        <v>0.21585982869445552</v>
      </c>
    </row>
    <row r="288" spans="2:19">
      <c r="B288" t="str">
        <f t="shared" ref="B288:J288" si="61">B72</f>
        <v>1CABBA</v>
      </c>
      <c r="C288">
        <f t="shared" si="61"/>
        <v>55</v>
      </c>
      <c r="D288">
        <f t="shared" si="61"/>
        <v>15</v>
      </c>
      <c r="E288">
        <f t="shared" si="61"/>
        <v>2.8</v>
      </c>
      <c r="F288" t="str">
        <f t="shared" si="61"/>
        <v>Improved</v>
      </c>
      <c r="G288">
        <f t="shared" si="61"/>
        <v>0.25</v>
      </c>
      <c r="H288" t="str">
        <f t="shared" si="61"/>
        <v>None</v>
      </c>
      <c r="I288" t="str">
        <f t="shared" si="61"/>
        <v>Current</v>
      </c>
      <c r="J288" t="str">
        <f t="shared" si="61"/>
        <v>Current</v>
      </c>
      <c r="K288" t="s">
        <v>21</v>
      </c>
      <c r="L288" s="4">
        <f t="shared" si="6"/>
        <v>11103836.061781529</v>
      </c>
      <c r="M288" s="4">
        <f t="shared" si="7"/>
        <v>10905723.700000001</v>
      </c>
      <c r="N288" s="4">
        <f>Table3[[#This Row],[Natural Gas kWh]]+Table3[[#This Row],[Electricity kWh]]</f>
        <v>22009559.761781529</v>
      </c>
      <c r="O288" s="9">
        <f>Table3[[#This Row],[Total Energy kWh]]/$V$20</f>
        <v>202.83472425879961</v>
      </c>
      <c r="P288" s="9">
        <f t="shared" si="8"/>
        <v>93.997316779090909</v>
      </c>
      <c r="Q288" s="12">
        <f>((L288*Processed!$V$21)+(Table3[[#This Row],[Natural Gas kWh]]*Processed!$V$22))/Processed!$V$20</f>
        <v>36.491992815452001</v>
      </c>
      <c r="R288" s="10">
        <f>1-(O288/Processed!$V$23)</f>
        <v>6.0682584995824351E-2</v>
      </c>
      <c r="S288" s="11">
        <f>1-(Processed!Q288/Processed!$V$24)</f>
        <v>6.0655455780540768E-2</v>
      </c>
    </row>
    <row r="289" spans="2:19">
      <c r="B289" t="str">
        <f t="shared" ref="B289:J289" si="62">B73</f>
        <v>1CABBB</v>
      </c>
      <c r="C289">
        <f t="shared" si="62"/>
        <v>56</v>
      </c>
      <c r="D289">
        <f t="shared" si="62"/>
        <v>15</v>
      </c>
      <c r="E289">
        <f t="shared" si="62"/>
        <v>2.8</v>
      </c>
      <c r="F289" t="str">
        <f t="shared" si="62"/>
        <v>Improved</v>
      </c>
      <c r="G289">
        <f t="shared" si="62"/>
        <v>0.25</v>
      </c>
      <c r="H289">
        <f t="shared" si="62"/>
        <v>0.75</v>
      </c>
      <c r="I289" t="str">
        <f t="shared" si="62"/>
        <v>Current</v>
      </c>
      <c r="J289" t="str">
        <f t="shared" si="62"/>
        <v>Current</v>
      </c>
      <c r="K289" t="s">
        <v>21</v>
      </c>
      <c r="L289" s="4">
        <f t="shared" si="6"/>
        <v>11466154.031709133</v>
      </c>
      <c r="M289" s="4">
        <f t="shared" si="7"/>
        <v>6960068.5</v>
      </c>
      <c r="N289" s="4">
        <f>Table3[[#This Row],[Natural Gas kWh]]+Table3[[#This Row],[Electricity kWh]]</f>
        <v>18426222.531709135</v>
      </c>
      <c r="O289" s="9">
        <f>Table3[[#This Row],[Total Energy kWh]]/$V$20</f>
        <v>169.81156401140024</v>
      </c>
      <c r="P289" s="9">
        <f t="shared" si="8"/>
        <v>58.640432127904425</v>
      </c>
      <c r="Q289" s="12">
        <f>((L289*Processed!$V$21)+(Table3[[#This Row],[Natural Gas kWh]]*Processed!$V$22))/Processed!$V$20</f>
        <v>30.150811691031667</v>
      </c>
      <c r="R289" s="10">
        <f>1-(O289/Processed!$V$23)</f>
        <v>0.21361118059111295</v>
      </c>
      <c r="S289" s="11">
        <f>1-(Processed!Q289/Processed!$V$24)</f>
        <v>0.22388452148970206</v>
      </c>
    </row>
    <row r="290" spans="2:19">
      <c r="B290" t="str">
        <f t="shared" ref="B290:J290" si="63">B74</f>
        <v>1CBAAA</v>
      </c>
      <c r="C290">
        <f t="shared" si="63"/>
        <v>57</v>
      </c>
      <c r="D290">
        <f t="shared" si="63"/>
        <v>15</v>
      </c>
      <c r="E290">
        <f t="shared" si="63"/>
        <v>4</v>
      </c>
      <c r="F290" t="str">
        <f t="shared" si="63"/>
        <v>Current</v>
      </c>
      <c r="G290" t="str">
        <f t="shared" si="63"/>
        <v>Current</v>
      </c>
      <c r="H290" t="str">
        <f t="shared" si="63"/>
        <v>None</v>
      </c>
      <c r="I290" t="str">
        <f t="shared" si="63"/>
        <v>Current</v>
      </c>
      <c r="J290" t="str">
        <f t="shared" si="63"/>
        <v>Current</v>
      </c>
      <c r="K290" t="s">
        <v>21</v>
      </c>
      <c r="L290" s="4">
        <f t="shared" si="6"/>
        <v>11644499.016906502</v>
      </c>
      <c r="M290" s="4">
        <f t="shared" si="7"/>
        <v>10020453.5</v>
      </c>
      <c r="N290" s="4">
        <f>Table3[[#This Row],[Natural Gas kWh]]+Table3[[#This Row],[Electricity kWh]]</f>
        <v>21664952.5169065</v>
      </c>
      <c r="O290" s="9">
        <f>Table3[[#This Row],[Total Energy kWh]]/$V$20</f>
        <v>199.65890810216817</v>
      </c>
      <c r="P290" s="9">
        <f t="shared" si="8"/>
        <v>85.371110962648103</v>
      </c>
      <c r="Q290" s="12">
        <f>((L290*Processed!$V$21)+(Table3[[#This Row],[Natural Gas kWh]]*Processed!$V$22))/Processed!$V$20</f>
        <v>35.788935392254089</v>
      </c>
      <c r="R290" s="10">
        <f>1-(O290/Processed!$V$23)</f>
        <v>7.538963002313126E-2</v>
      </c>
      <c r="S290" s="11">
        <f>1-(Processed!Q290/Processed!$V$24)</f>
        <v>7.8752937003169654E-2</v>
      </c>
    </row>
    <row r="291" spans="2:19">
      <c r="B291" t="str">
        <f t="shared" ref="B291:J291" si="64">B75</f>
        <v>1CBAAB</v>
      </c>
      <c r="C291">
        <f t="shared" si="64"/>
        <v>58</v>
      </c>
      <c r="D291">
        <f t="shared" si="64"/>
        <v>15</v>
      </c>
      <c r="E291">
        <f t="shared" si="64"/>
        <v>4</v>
      </c>
      <c r="F291" t="str">
        <f t="shared" si="64"/>
        <v>Current</v>
      </c>
      <c r="G291" t="str">
        <f t="shared" si="64"/>
        <v>Current</v>
      </c>
      <c r="H291">
        <f t="shared" si="64"/>
        <v>0.75</v>
      </c>
      <c r="I291" t="str">
        <f t="shared" si="64"/>
        <v>Current</v>
      </c>
      <c r="J291" t="str">
        <f t="shared" si="64"/>
        <v>Current</v>
      </c>
      <c r="K291" t="s">
        <v>21</v>
      </c>
      <c r="L291" s="4">
        <f t="shared" si="6"/>
        <v>12004400.987034634</v>
      </c>
      <c r="M291" s="4">
        <f t="shared" si="7"/>
        <v>6024285.1000000006</v>
      </c>
      <c r="N291" s="4">
        <f>Table3[[#This Row],[Natural Gas kWh]]+Table3[[#This Row],[Electricity kWh]]</f>
        <v>18028686.087034635</v>
      </c>
      <c r="O291" s="9">
        <f>Table3[[#This Row],[Total Energy kWh]]/$V$20</f>
        <v>166.14796528379674</v>
      </c>
      <c r="P291" s="9">
        <f t="shared" si="8"/>
        <v>50.029182810096756</v>
      </c>
      <c r="Q291" s="12">
        <f>((L291*Processed!$V$21)+(Table3[[#This Row],[Natural Gas kWh]]*Processed!$V$22))/Processed!$V$20</f>
        <v>29.355520884624084</v>
      </c>
      <c r="R291" s="10">
        <f>1-(O291/Processed!$V$23)</f>
        <v>0.23057712219209014</v>
      </c>
      <c r="S291" s="11">
        <f>1-(Processed!Q291/Processed!$V$24)</f>
        <v>0.24435619273673048</v>
      </c>
    </row>
    <row r="292" spans="2:19">
      <c r="B292" t="str">
        <f t="shared" ref="B292:J292" si="65">B76</f>
        <v>1CBABA</v>
      </c>
      <c r="C292">
        <f t="shared" si="65"/>
        <v>59</v>
      </c>
      <c r="D292">
        <f t="shared" si="65"/>
        <v>15</v>
      </c>
      <c r="E292">
        <f t="shared" si="65"/>
        <v>4</v>
      </c>
      <c r="F292" t="str">
        <f t="shared" si="65"/>
        <v>Current</v>
      </c>
      <c r="G292">
        <f t="shared" si="65"/>
        <v>0.25</v>
      </c>
      <c r="H292" t="str">
        <f t="shared" si="65"/>
        <v>None</v>
      </c>
      <c r="I292" t="str">
        <f t="shared" si="65"/>
        <v>Current</v>
      </c>
      <c r="J292" t="str">
        <f t="shared" si="65"/>
        <v>Current</v>
      </c>
      <c r="K292" t="s">
        <v>21</v>
      </c>
      <c r="L292" s="4">
        <f t="shared" si="6"/>
        <v>11116126.060761459</v>
      </c>
      <c r="M292" s="4">
        <f t="shared" si="7"/>
        <v>10280608.200000001</v>
      </c>
      <c r="N292" s="4">
        <f>Table3[[#This Row],[Natural Gas kWh]]+Table3[[#This Row],[Electricity kWh]]</f>
        <v>21396734.260761462</v>
      </c>
      <c r="O292" s="9">
        <f>Table3[[#This Row],[Total Energy kWh]]/$V$20</f>
        <v>197.1870741983922</v>
      </c>
      <c r="P292" s="9">
        <f t="shared" si="8"/>
        <v>87.843372393206778</v>
      </c>
      <c r="Q292" s="12">
        <f>((L292*Processed!$V$21)+(Table3[[#This Row],[Natural Gas kWh]]*Processed!$V$22))/Processed!$V$20</f>
        <v>35.416674071429078</v>
      </c>
      <c r="R292" s="10">
        <f>1-(O292/Processed!$V$23)</f>
        <v>8.6836568614632292E-2</v>
      </c>
      <c r="S292" s="11">
        <f>1-(Processed!Q292/Processed!$V$24)</f>
        <v>8.8335358070424586E-2</v>
      </c>
    </row>
    <row r="293" spans="2:19">
      <c r="B293" t="str">
        <f t="shared" ref="B293:J293" si="66">B77</f>
        <v>1CBABB</v>
      </c>
      <c r="C293">
        <f t="shared" si="66"/>
        <v>60</v>
      </c>
      <c r="D293">
        <f t="shared" si="66"/>
        <v>15</v>
      </c>
      <c r="E293">
        <f t="shared" si="66"/>
        <v>4</v>
      </c>
      <c r="F293" t="str">
        <f t="shared" si="66"/>
        <v>Current</v>
      </c>
      <c r="G293">
        <f t="shared" si="66"/>
        <v>0.25</v>
      </c>
      <c r="H293">
        <f t="shared" si="66"/>
        <v>0.75</v>
      </c>
      <c r="I293" t="str">
        <f t="shared" si="66"/>
        <v>Current</v>
      </c>
      <c r="J293" t="str">
        <f t="shared" si="66"/>
        <v>Current</v>
      </c>
      <c r="K293" t="s">
        <v>21</v>
      </c>
      <c r="L293" s="4">
        <f t="shared" si="6"/>
        <v>11477995.030726332</v>
      </c>
      <c r="M293" s="4">
        <f t="shared" si="7"/>
        <v>6304100.1000000006</v>
      </c>
      <c r="N293" s="4">
        <f>Table3[[#This Row],[Natural Gas kWh]]+Table3[[#This Row],[Electricity kWh]]</f>
        <v>17782095.130726334</v>
      </c>
      <c r="O293" s="9">
        <f>Table3[[#This Row],[Total Energy kWh]]/$V$20</f>
        <v>163.87544329022373</v>
      </c>
      <c r="P293" s="9">
        <f t="shared" si="8"/>
        <v>52.492919657483199</v>
      </c>
      <c r="Q293" s="12">
        <f>((L293*Processed!$V$21)+(Table3[[#This Row],[Natural Gas kWh]]*Processed!$V$22))/Processed!$V$20</f>
        <v>29.020766278941302</v>
      </c>
      <c r="R293" s="10">
        <f>1-(O293/Processed!$V$23)</f>
        <v>0.24110105734344778</v>
      </c>
      <c r="S293" s="11">
        <f>1-(Processed!Q293/Processed!$V$24)</f>
        <v>0.25297314917675562</v>
      </c>
    </row>
    <row r="294" spans="2:19">
      <c r="B294" t="str">
        <f t="shared" ref="B294:J294" si="67">B78</f>
        <v>1CBBAA</v>
      </c>
      <c r="C294">
        <f t="shared" si="67"/>
        <v>61</v>
      </c>
      <c r="D294">
        <f t="shared" si="67"/>
        <v>15</v>
      </c>
      <c r="E294">
        <f t="shared" si="67"/>
        <v>4</v>
      </c>
      <c r="F294" t="str">
        <f t="shared" si="67"/>
        <v>Improved</v>
      </c>
      <c r="G294" t="str">
        <f t="shared" si="67"/>
        <v>Current</v>
      </c>
      <c r="H294" t="str">
        <f t="shared" si="67"/>
        <v>None</v>
      </c>
      <c r="I294" t="str">
        <f t="shared" si="67"/>
        <v>Current</v>
      </c>
      <c r="J294" t="str">
        <f t="shared" si="67"/>
        <v>Current</v>
      </c>
      <c r="K294" t="s">
        <v>21</v>
      </c>
      <c r="L294" s="4">
        <f t="shared" si="6"/>
        <v>11648761.016552754</v>
      </c>
      <c r="M294" s="4">
        <f t="shared" si="7"/>
        <v>9821067</v>
      </c>
      <c r="N294" s="4">
        <f>Table3[[#This Row],[Natural Gas kWh]]+Table3[[#This Row],[Electricity kWh]]</f>
        <v>21469828.016552754</v>
      </c>
      <c r="O294" s="9">
        <f>Table3[[#This Row],[Total Energy kWh]]/$V$20</f>
        <v>197.86068838974515</v>
      </c>
      <c r="P294" s="9">
        <f t="shared" si="8"/>
        <v>83.401251795323631</v>
      </c>
      <c r="Q294" s="12">
        <f>((L294*Processed!$V$21)+(Table3[[#This Row],[Natural Gas kWh]]*Processed!$V$22))/Processed!$V$20</f>
        <v>35.446488095949128</v>
      </c>
      <c r="R294" s="10">
        <f>1-(O294/Processed!$V$23)</f>
        <v>8.3717095145560694E-2</v>
      </c>
      <c r="S294" s="11">
        <f>1-(Processed!Q294/Processed!$V$24)</f>
        <v>8.7567911868849158E-2</v>
      </c>
    </row>
    <row r="295" spans="2:19">
      <c r="B295" t="str">
        <f t="shared" ref="B295:J295" si="68">B79</f>
        <v>1CBBAB</v>
      </c>
      <c r="C295">
        <f t="shared" si="68"/>
        <v>62</v>
      </c>
      <c r="D295">
        <f t="shared" si="68"/>
        <v>15</v>
      </c>
      <c r="E295">
        <f t="shared" si="68"/>
        <v>4</v>
      </c>
      <c r="F295" t="str">
        <f t="shared" si="68"/>
        <v>Improved</v>
      </c>
      <c r="G295" t="str">
        <f t="shared" si="68"/>
        <v>Current</v>
      </c>
      <c r="H295">
        <f t="shared" si="68"/>
        <v>0.75</v>
      </c>
      <c r="I295" t="str">
        <f t="shared" si="68"/>
        <v>Current</v>
      </c>
      <c r="J295" t="str">
        <f t="shared" si="68"/>
        <v>Current</v>
      </c>
      <c r="K295" t="s">
        <v>21</v>
      </c>
      <c r="L295" s="4">
        <f t="shared" si="6"/>
        <v>12008485.986695578</v>
      </c>
      <c r="M295" s="4">
        <f t="shared" si="7"/>
        <v>5810893.1999999993</v>
      </c>
      <c r="N295" s="4">
        <f>Table3[[#This Row],[Natural Gas kWh]]+Table3[[#This Row],[Electricity kWh]]</f>
        <v>17819379.186695576</v>
      </c>
      <c r="O295" s="9">
        <f>Table3[[#This Row],[Total Energy kWh]]/$V$20</f>
        <v>164.21904403888126</v>
      </c>
      <c r="P295" s="9">
        <f t="shared" si="8"/>
        <v>48.063441472781079</v>
      </c>
      <c r="Q295" s="12">
        <f>((L295*Processed!$V$21)+(Table3[[#This Row],[Natural Gas kWh]]*Processed!$V$22))/Processed!$V$20</f>
        <v>28.98827292091778</v>
      </c>
      <c r="R295" s="10">
        <f>1-(O295/Processed!$V$23)</f>
        <v>0.23950985954335768</v>
      </c>
      <c r="S295" s="11">
        <f>1-(Processed!Q295/Processed!$V$24)</f>
        <v>0.25380956440727265</v>
      </c>
    </row>
    <row r="296" spans="2:19">
      <c r="B296" t="str">
        <f t="shared" ref="B296:J296" si="69">B80</f>
        <v>1CBBBA</v>
      </c>
      <c r="C296">
        <f t="shared" si="69"/>
        <v>63</v>
      </c>
      <c r="D296">
        <f t="shared" si="69"/>
        <v>15</v>
      </c>
      <c r="E296">
        <f t="shared" si="69"/>
        <v>4</v>
      </c>
      <c r="F296" t="str">
        <f t="shared" si="69"/>
        <v>Improved</v>
      </c>
      <c r="G296">
        <f t="shared" si="69"/>
        <v>0.25</v>
      </c>
      <c r="H296" t="str">
        <f t="shared" si="69"/>
        <v>None</v>
      </c>
      <c r="I296" t="str">
        <f t="shared" si="69"/>
        <v>Current</v>
      </c>
      <c r="J296" t="str">
        <f t="shared" si="69"/>
        <v>Current</v>
      </c>
      <c r="K296" t="s">
        <v>21</v>
      </c>
      <c r="L296" s="4">
        <f t="shared" si="6"/>
        <v>11119665.060467724</v>
      </c>
      <c r="M296" s="4">
        <f t="shared" si="7"/>
        <v>10072812.6</v>
      </c>
      <c r="N296" s="4">
        <f>Table3[[#This Row],[Natural Gas kWh]]+Table3[[#This Row],[Electricity kWh]]</f>
        <v>21192477.660467722</v>
      </c>
      <c r="O296" s="9">
        <f>Table3[[#This Row],[Total Energy kWh]]/$V$20</f>
        <v>195.30469528454577</v>
      </c>
      <c r="P296" s="9">
        <f t="shared" si="8"/>
        <v>85.823561922713623</v>
      </c>
      <c r="Q296" s="12">
        <f>((L296*Processed!$V$21)+(Table3[[#This Row],[Natural Gas kWh]]*Processed!$V$22))/Processed!$V$20</f>
        <v>35.058369786669004</v>
      </c>
      <c r="R296" s="10">
        <f>1-(O296/Processed!$V$23)</f>
        <v>9.555377076960736E-2</v>
      </c>
      <c r="S296" s="11">
        <f>1-(Processed!Q296/Processed!$V$24)</f>
        <v>9.7558509482350564E-2</v>
      </c>
    </row>
    <row r="297" spans="2:19">
      <c r="B297" t="str">
        <f t="shared" ref="B297:J297" si="70">B81</f>
        <v>1CBBBB</v>
      </c>
      <c r="C297">
        <f t="shared" si="70"/>
        <v>64</v>
      </c>
      <c r="D297">
        <f t="shared" si="70"/>
        <v>15</v>
      </c>
      <c r="E297">
        <f t="shared" si="70"/>
        <v>4</v>
      </c>
      <c r="F297" t="str">
        <f t="shared" si="70"/>
        <v>Improved</v>
      </c>
      <c r="G297">
        <f t="shared" si="70"/>
        <v>0.25</v>
      </c>
      <c r="H297">
        <f t="shared" si="70"/>
        <v>0.75</v>
      </c>
      <c r="I297" t="str">
        <f t="shared" si="70"/>
        <v>Current</v>
      </c>
      <c r="J297" t="str">
        <f t="shared" si="70"/>
        <v>Current</v>
      </c>
      <c r="K297" t="s">
        <v>21</v>
      </c>
      <c r="L297" s="4">
        <f t="shared" si="6"/>
        <v>11481627.030424874</v>
      </c>
      <c r="M297" s="4">
        <f t="shared" si="7"/>
        <v>6084438</v>
      </c>
      <c r="N297" s="4">
        <f>Table3[[#This Row],[Natural Gas kWh]]+Table3[[#This Row],[Electricity kWh]]</f>
        <v>17566065.030424874</v>
      </c>
      <c r="O297" s="9">
        <f>Table3[[#This Row],[Total Energy kWh]]/$V$20</f>
        <v>161.88456267741222</v>
      </c>
      <c r="P297" s="9">
        <f t="shared" si="8"/>
        <v>50.476522260518614</v>
      </c>
      <c r="Q297" s="12">
        <f>((L297*Processed!$V$21)+(Table3[[#This Row],[Natural Gas kWh]]*Processed!$V$22))/Processed!$V$20</f>
        <v>28.641829530073814</v>
      </c>
      <c r="R297" s="10">
        <f>1-(O297/Processed!$V$23)</f>
        <v>0.25032072541380246</v>
      </c>
      <c r="S297" s="11">
        <f>1-(Processed!Q297/Processed!$V$24)</f>
        <v>0.2627274031977147</v>
      </c>
    </row>
    <row r="298" spans="2:19">
      <c r="B298" t="str">
        <f t="shared" ref="B298:J298" si="71">B82</f>
        <v>1CCAAA</v>
      </c>
      <c r="C298">
        <f t="shared" si="71"/>
        <v>65</v>
      </c>
      <c r="D298">
        <f t="shared" si="71"/>
        <v>15</v>
      </c>
      <c r="E298">
        <f t="shared" si="71"/>
        <v>5.5</v>
      </c>
      <c r="F298" t="str">
        <f t="shared" si="71"/>
        <v>Current</v>
      </c>
      <c r="G298" t="str">
        <f t="shared" si="71"/>
        <v>Current</v>
      </c>
      <c r="H298" t="str">
        <f t="shared" si="71"/>
        <v>None</v>
      </c>
      <c r="I298" t="str">
        <f t="shared" si="71"/>
        <v>Current</v>
      </c>
      <c r="J298" t="str">
        <f t="shared" si="71"/>
        <v>Current</v>
      </c>
      <c r="K298" t="s">
        <v>21</v>
      </c>
      <c r="L298" s="4">
        <f t="shared" si="6"/>
        <v>11655584.015986444</v>
      </c>
      <c r="M298" s="4">
        <f t="shared" si="7"/>
        <v>9625284.4000000004</v>
      </c>
      <c r="N298" s="4">
        <f>Table3[[#This Row],[Natural Gas kWh]]+Table3[[#This Row],[Electricity kWh]]</f>
        <v>21280868.415986445</v>
      </c>
      <c r="O298" s="9">
        <f>Table3[[#This Row],[Total Energy kWh]]/$V$20</f>
        <v>196.11928288723828</v>
      </c>
      <c r="P298" s="9">
        <f t="shared" si="8"/>
        <v>81.450561464217074</v>
      </c>
      <c r="Q298" s="12">
        <f>((L298*Processed!$V$21)+(Table3[[#This Row],[Natural Gas kWh]]*Processed!$V$22))/Processed!$V$20</f>
        <v>35.114363468564115</v>
      </c>
      <c r="R298" s="10">
        <f>1-(O298/Processed!$V$23)</f>
        <v>9.1781456516948579E-2</v>
      </c>
      <c r="S298" s="11">
        <f>1-(Processed!Q298/Processed!$V$24)</f>
        <v>9.6117169737905073E-2</v>
      </c>
    </row>
    <row r="299" spans="2:19">
      <c r="B299" t="str">
        <f t="shared" ref="B299:J299" si="72">B83</f>
        <v>1CCAAB</v>
      </c>
      <c r="C299">
        <f t="shared" si="72"/>
        <v>66</v>
      </c>
      <c r="D299">
        <f t="shared" si="72"/>
        <v>15</v>
      </c>
      <c r="E299">
        <f t="shared" si="72"/>
        <v>5.5</v>
      </c>
      <c r="F299" t="str">
        <f t="shared" si="72"/>
        <v>Current</v>
      </c>
      <c r="G299" t="str">
        <f t="shared" si="72"/>
        <v>Current</v>
      </c>
      <c r="H299">
        <f t="shared" si="72"/>
        <v>0.75</v>
      </c>
      <c r="I299" t="str">
        <f t="shared" si="72"/>
        <v>Current</v>
      </c>
      <c r="J299" t="str">
        <f t="shared" si="72"/>
        <v>Current</v>
      </c>
      <c r="K299" t="s">
        <v>21</v>
      </c>
      <c r="L299" s="4">
        <f t="shared" ref="L299:L362" si="73">L83-200000</f>
        <v>12014936.986160148</v>
      </c>
      <c r="M299" s="4">
        <f t="shared" ref="M299:M362" si="74">M83</f>
        <v>5598087.2999999998</v>
      </c>
      <c r="N299" s="4">
        <f>Table3[[#This Row],[Natural Gas kWh]]+Table3[[#This Row],[Electricity kWh]]</f>
        <v>17613024.286160149</v>
      </c>
      <c r="O299" s="9">
        <f>Table3[[#This Row],[Total Energy kWh]]/$V$20</f>
        <v>162.31732770277191</v>
      </c>
      <c r="P299" s="9">
        <f t="shared" ref="P299:P362" si="75">P83</f>
        <v>46.117057986831227</v>
      </c>
      <c r="Q299" s="12">
        <f>((L299*Processed!$V$21)+(Table3[[#This Row],[Natural Gas kWh]]*Processed!$V$22))/Processed!$V$20</f>
        <v>28.625757800364475</v>
      </c>
      <c r="R299" s="10">
        <f>1-(O299/Processed!$V$23)</f>
        <v>0.24831661232907043</v>
      </c>
      <c r="S299" s="11">
        <f>1-(Processed!Q299/Processed!$V$24)</f>
        <v>0.26314110742304941</v>
      </c>
    </row>
    <row r="300" spans="2:19">
      <c r="B300" t="str">
        <f t="shared" ref="B300:J300" si="76">B84</f>
        <v>1CCABA</v>
      </c>
      <c r="C300">
        <f t="shared" si="76"/>
        <v>67</v>
      </c>
      <c r="D300">
        <f t="shared" si="76"/>
        <v>15</v>
      </c>
      <c r="E300">
        <f t="shared" si="76"/>
        <v>5.5</v>
      </c>
      <c r="F300" t="str">
        <f t="shared" si="76"/>
        <v>Current</v>
      </c>
      <c r="G300">
        <f t="shared" si="76"/>
        <v>0.25</v>
      </c>
      <c r="H300" t="str">
        <f t="shared" si="76"/>
        <v>None</v>
      </c>
      <c r="I300" t="str">
        <f t="shared" si="76"/>
        <v>Current</v>
      </c>
      <c r="J300" t="str">
        <f t="shared" si="76"/>
        <v>Current</v>
      </c>
      <c r="K300" t="s">
        <v>21</v>
      </c>
      <c r="L300" s="4">
        <f t="shared" si="73"/>
        <v>11126194.059925815</v>
      </c>
      <c r="M300" s="4">
        <f t="shared" si="74"/>
        <v>9867361</v>
      </c>
      <c r="N300" s="4">
        <f>Table3[[#This Row],[Natural Gas kWh]]+Table3[[#This Row],[Electricity kWh]]</f>
        <v>20993555.059925817</v>
      </c>
      <c r="O300" s="9">
        <f>Table3[[#This Row],[Total Energy kWh]]/$V$20</f>
        <v>193.47147320893552</v>
      </c>
      <c r="P300" s="9">
        <f t="shared" si="75"/>
        <v>83.798078297565766</v>
      </c>
      <c r="Q300" s="12">
        <f>((L300*Processed!$V$21)+(Table3[[#This Row],[Natural Gas kWh]]*Processed!$V$22))/Processed!$V$20</f>
        <v>34.708854199032942</v>
      </c>
      <c r="R300" s="10">
        <f>1-(O300/Processed!$V$23)</f>
        <v>0.10404333007698574</v>
      </c>
      <c r="S300" s="11">
        <f>1-(Processed!Q300/Processed!$V$24)</f>
        <v>0.10655543004040169</v>
      </c>
    </row>
    <row r="301" spans="2:19">
      <c r="B301" t="str">
        <f t="shared" ref="B301:J301" si="77">B85</f>
        <v>1CCABB</v>
      </c>
      <c r="C301">
        <f t="shared" si="77"/>
        <v>68</v>
      </c>
      <c r="D301">
        <f t="shared" si="77"/>
        <v>15</v>
      </c>
      <c r="E301">
        <f t="shared" si="77"/>
        <v>5.5</v>
      </c>
      <c r="F301" t="str">
        <f t="shared" si="77"/>
        <v>Current</v>
      </c>
      <c r="G301">
        <f t="shared" si="77"/>
        <v>0.25</v>
      </c>
      <c r="H301">
        <f t="shared" si="77"/>
        <v>0.75</v>
      </c>
      <c r="I301" t="str">
        <f t="shared" si="77"/>
        <v>Current</v>
      </c>
      <c r="J301" t="str">
        <f t="shared" si="77"/>
        <v>Current</v>
      </c>
      <c r="K301" t="s">
        <v>21</v>
      </c>
      <c r="L301" s="4">
        <f t="shared" si="73"/>
        <v>11487454.029941235</v>
      </c>
      <c r="M301" s="4">
        <f t="shared" si="74"/>
        <v>5863047.1999999993</v>
      </c>
      <c r="N301" s="4">
        <f>Table3[[#This Row],[Natural Gas kWh]]+Table3[[#This Row],[Electricity kWh]]</f>
        <v>17350501.229941234</v>
      </c>
      <c r="O301" s="9">
        <f>Table3[[#This Row],[Total Energy kWh]]/$V$20</f>
        <v>159.89797936977141</v>
      </c>
      <c r="P301" s="9">
        <f t="shared" si="75"/>
        <v>48.454232991370993</v>
      </c>
      <c r="Q301" s="12">
        <f>((L301*Processed!$V$21)+(Table3[[#This Row],[Natural Gas kWh]]*Processed!$V$22))/Processed!$V$20</f>
        <v>28.263304697550236</v>
      </c>
      <c r="R301" s="10">
        <f>1-(O301/Processed!$V$23)</f>
        <v>0.25952049287986367</v>
      </c>
      <c r="S301" s="11">
        <f>1-(Processed!Q301/Processed!$V$24)</f>
        <v>0.27247105403313987</v>
      </c>
    </row>
    <row r="302" spans="2:19">
      <c r="B302" t="str">
        <f t="shared" ref="B302:J302" si="78">B86</f>
        <v>1CCBAA</v>
      </c>
      <c r="C302">
        <f t="shared" si="78"/>
        <v>69</v>
      </c>
      <c r="D302">
        <f t="shared" si="78"/>
        <v>15</v>
      </c>
      <c r="E302">
        <f t="shared" si="78"/>
        <v>5.5</v>
      </c>
      <c r="F302" t="str">
        <f t="shared" si="78"/>
        <v>Improved</v>
      </c>
      <c r="G302" t="str">
        <f t="shared" si="78"/>
        <v>Current</v>
      </c>
      <c r="H302" t="str">
        <f t="shared" si="78"/>
        <v>None</v>
      </c>
      <c r="I302" t="str">
        <f t="shared" si="78"/>
        <v>Current</v>
      </c>
      <c r="J302" t="str">
        <f t="shared" si="78"/>
        <v>Current</v>
      </c>
      <c r="K302" t="s">
        <v>21</v>
      </c>
      <c r="L302" s="4">
        <f t="shared" si="73"/>
        <v>11656234.015932495</v>
      </c>
      <c r="M302" s="4">
        <f t="shared" si="74"/>
        <v>9400524.0999999996</v>
      </c>
      <c r="N302" s="4">
        <f>Table3[[#This Row],[Natural Gas kWh]]+Table3[[#This Row],[Electricity kWh]]</f>
        <v>21056758.115932494</v>
      </c>
      <c r="O302" s="9">
        <f>Table3[[#This Row],[Total Energy kWh]]/$V$20</f>
        <v>194.05393712807711</v>
      </c>
      <c r="P302" s="9">
        <f t="shared" si="75"/>
        <v>79.507391235782279</v>
      </c>
      <c r="Q302" s="12">
        <f>((L302*Processed!$V$21)+(Table3[[#This Row],[Natural Gas kWh]]*Processed!$V$22))/Processed!$V$20</f>
        <v>34.721827969510258</v>
      </c>
      <c r="R302" s="10">
        <f>1-(O302/Processed!$V$23)</f>
        <v>0.10134596893795711</v>
      </c>
      <c r="S302" s="11">
        <f>1-(Processed!Q302/Processed!$V$24)</f>
        <v>0.10622147073657706</v>
      </c>
    </row>
    <row r="303" spans="2:19">
      <c r="B303" t="str">
        <f t="shared" ref="B303:J303" si="79">B87</f>
        <v>1CCBAB</v>
      </c>
      <c r="C303">
        <f t="shared" si="79"/>
        <v>70</v>
      </c>
      <c r="D303">
        <f t="shared" si="79"/>
        <v>15</v>
      </c>
      <c r="E303">
        <f t="shared" si="79"/>
        <v>5.5</v>
      </c>
      <c r="F303" t="str">
        <f t="shared" si="79"/>
        <v>Improved</v>
      </c>
      <c r="G303" t="str">
        <f t="shared" si="79"/>
        <v>Current</v>
      </c>
      <c r="H303">
        <f t="shared" si="79"/>
        <v>0.75</v>
      </c>
      <c r="I303" t="str">
        <f t="shared" si="79"/>
        <v>Current</v>
      </c>
      <c r="J303" t="str">
        <f t="shared" si="79"/>
        <v>Current</v>
      </c>
      <c r="K303" t="s">
        <v>21</v>
      </c>
      <c r="L303" s="4">
        <f t="shared" si="73"/>
        <v>12015402.986121468</v>
      </c>
      <c r="M303" s="4">
        <f t="shared" si="74"/>
        <v>5359995.5</v>
      </c>
      <c r="N303" s="4">
        <f>Table3[[#This Row],[Natural Gas kWh]]+Table3[[#This Row],[Electricity kWh]]</f>
        <v>17375398.486121468</v>
      </c>
      <c r="O303" s="9">
        <f>Table3[[#This Row],[Total Energy kWh]]/$V$20</f>
        <v>160.12742639855242</v>
      </c>
      <c r="P303" s="9">
        <f t="shared" si="75"/>
        <v>44.180125258278572</v>
      </c>
      <c r="Q303" s="12">
        <f>((L303*Processed!$V$21)+(Table3[[#This Row],[Natural Gas kWh]]*Processed!$V$22))/Processed!$V$20</f>
        <v>28.209590661727443</v>
      </c>
      <c r="R303" s="10">
        <f>1-(O303/Processed!$V$23)</f>
        <v>0.2584579352199633</v>
      </c>
      <c r="S303" s="11">
        <f>1-(Processed!Q303/Processed!$V$24)</f>
        <v>0.27385371314834128</v>
      </c>
    </row>
    <row r="304" spans="2:19">
      <c r="B304" t="str">
        <f t="shared" ref="B304:J304" si="80">B88</f>
        <v>1CCBBA</v>
      </c>
      <c r="C304">
        <f t="shared" si="80"/>
        <v>71</v>
      </c>
      <c r="D304">
        <f t="shared" si="80"/>
        <v>15</v>
      </c>
      <c r="E304">
        <f t="shared" si="80"/>
        <v>5.5</v>
      </c>
      <c r="F304" t="str">
        <f t="shared" si="80"/>
        <v>Improved</v>
      </c>
      <c r="G304">
        <f t="shared" si="80"/>
        <v>0.25</v>
      </c>
      <c r="H304" t="str">
        <f t="shared" si="80"/>
        <v>None</v>
      </c>
      <c r="I304" t="str">
        <f t="shared" si="80"/>
        <v>Current</v>
      </c>
      <c r="J304" t="str">
        <f t="shared" si="80"/>
        <v>Current</v>
      </c>
      <c r="K304" t="s">
        <v>21</v>
      </c>
      <c r="L304" s="4">
        <f t="shared" si="73"/>
        <v>11130349.05958095</v>
      </c>
      <c r="M304" s="4">
        <f t="shared" si="74"/>
        <v>9667447.0999999996</v>
      </c>
      <c r="N304" s="4">
        <f>Table3[[#This Row],[Natural Gas kWh]]+Table3[[#This Row],[Electricity kWh]]</f>
        <v>20797796.15958095</v>
      </c>
      <c r="O304" s="9">
        <f>Table3[[#This Row],[Total Energy kWh]]/$V$20</f>
        <v>191.66740702122351</v>
      </c>
      <c r="P304" s="9">
        <f t="shared" si="75"/>
        <v>81.791763508635782</v>
      </c>
      <c r="Q304" s="12">
        <f>((L304*Processed!$V$21)+(Table3[[#This Row],[Natural Gas kWh]]*Processed!$V$22))/Processed!$V$20</f>
        <v>34.365315794138489</v>
      </c>
      <c r="R304" s="10">
        <f>1-(O304/Processed!$V$23)</f>
        <v>0.11239786993267598</v>
      </c>
      <c r="S304" s="11">
        <f>1-(Processed!Q304/Processed!$V$24)</f>
        <v>0.11539849125658219</v>
      </c>
    </row>
    <row r="305" spans="1:19">
      <c r="B305" t="str">
        <f t="shared" ref="B305:J305" si="81">B89</f>
        <v>1CCBBB</v>
      </c>
      <c r="C305">
        <f t="shared" si="81"/>
        <v>72</v>
      </c>
      <c r="D305">
        <f t="shared" si="81"/>
        <v>15</v>
      </c>
      <c r="E305">
        <f t="shared" si="81"/>
        <v>5.5</v>
      </c>
      <c r="F305" t="str">
        <f t="shared" si="81"/>
        <v>Improved</v>
      </c>
      <c r="G305">
        <f t="shared" si="81"/>
        <v>0.25</v>
      </c>
      <c r="H305">
        <f t="shared" si="81"/>
        <v>0.75</v>
      </c>
      <c r="I305" t="str">
        <f t="shared" si="81"/>
        <v>Current</v>
      </c>
      <c r="J305" t="str">
        <f t="shared" si="81"/>
        <v>Current</v>
      </c>
      <c r="K305" t="s">
        <v>21</v>
      </c>
      <c r="L305" s="4">
        <f t="shared" si="73"/>
        <v>11491584.029598445</v>
      </c>
      <c r="M305" s="4">
        <f t="shared" si="74"/>
        <v>5645582.6000000006</v>
      </c>
      <c r="N305" s="4">
        <f>Table3[[#This Row],[Natural Gas kWh]]+Table3[[#This Row],[Electricity kWh]]</f>
        <v>17137166.629598446</v>
      </c>
      <c r="O305" s="9">
        <f>Table3[[#This Row],[Total Energy kWh]]/$V$20</f>
        <v>157.93193982587604</v>
      </c>
      <c r="P305" s="9">
        <f t="shared" si="75"/>
        <v>46.452570675296819</v>
      </c>
      <c r="Q305" s="12">
        <f>((L305*Processed!$V$21)+(Table3[[#This Row],[Natural Gas kWh]]*Processed!$V$22))/Processed!$V$20</f>
        <v>27.88899596285837</v>
      </c>
      <c r="R305" s="10">
        <f>1-(O305/Processed!$V$23)</f>
        <v>0.26862512320840404</v>
      </c>
      <c r="S305" s="11">
        <f>1-(Processed!Q305/Processed!$V$24)</f>
        <v>0.28210617781398228</v>
      </c>
    </row>
    <row r="306" spans="1:19">
      <c r="A306" t="s">
        <v>72</v>
      </c>
      <c r="B306" t="str">
        <f t="shared" ref="B306:J306" si="82">B90</f>
        <v>1AAAAA</v>
      </c>
      <c r="C306">
        <f t="shared" si="82"/>
        <v>72</v>
      </c>
      <c r="D306">
        <f t="shared" si="82"/>
        <v>5</v>
      </c>
      <c r="E306">
        <f t="shared" si="82"/>
        <v>2.8</v>
      </c>
      <c r="F306" t="str">
        <f t="shared" si="82"/>
        <v>Current</v>
      </c>
      <c r="G306" t="str">
        <f t="shared" si="82"/>
        <v>Current</v>
      </c>
      <c r="H306" t="str">
        <f t="shared" si="82"/>
        <v>None</v>
      </c>
      <c r="I306" t="str">
        <f t="shared" si="82"/>
        <v>Improved</v>
      </c>
      <c r="J306" t="str">
        <f t="shared" si="82"/>
        <v>Current</v>
      </c>
      <c r="K306" t="s">
        <v>21</v>
      </c>
      <c r="L306" s="4">
        <f t="shared" si="73"/>
        <v>10460237.115200248</v>
      </c>
      <c r="M306" s="4">
        <f t="shared" si="74"/>
        <v>9782303.0999999996</v>
      </c>
      <c r="N306" s="4">
        <f>Table3[[#This Row],[Natural Gas kWh]]+Table3[[#This Row],[Electricity kWh]]</f>
        <v>20242540.215200245</v>
      </c>
      <c r="O306" s="9">
        <f>Table3[[#This Row],[Total Energy kWh]]/$V$20</f>
        <v>186.55030392645435</v>
      </c>
      <c r="P306" s="9">
        <f t="shared" si="75"/>
        <v>86.980272523151655</v>
      </c>
      <c r="Q306" s="12">
        <f>((L306*Processed!$V$21)+(Table3[[#This Row],[Natural Gas kWh]]*Processed!$V$22))/Processed!$V$20</f>
        <v>33.516577964597417</v>
      </c>
      <c r="R306" s="10">
        <f>1-(O306/Processed!$V$23)</f>
        <v>0.13609491721515043</v>
      </c>
      <c r="S306" s="11">
        <f>1-(Processed!Q306/Processed!$V$24)</f>
        <v>0.13724594841475868</v>
      </c>
    </row>
    <row r="307" spans="1:19">
      <c r="B307" t="str">
        <f t="shared" ref="B307:J307" si="83">B91</f>
        <v>1AAAAB</v>
      </c>
      <c r="C307">
        <f t="shared" si="83"/>
        <v>72</v>
      </c>
      <c r="D307">
        <f t="shared" si="83"/>
        <v>5</v>
      </c>
      <c r="E307">
        <f t="shared" si="83"/>
        <v>2.8</v>
      </c>
      <c r="F307" t="str">
        <f t="shared" si="83"/>
        <v>Current</v>
      </c>
      <c r="G307" t="str">
        <f t="shared" si="83"/>
        <v>Current</v>
      </c>
      <c r="H307">
        <f t="shared" si="83"/>
        <v>0.75</v>
      </c>
      <c r="I307" t="str">
        <f t="shared" si="83"/>
        <v>Improved</v>
      </c>
      <c r="J307" t="str">
        <f t="shared" si="83"/>
        <v>Current</v>
      </c>
      <c r="K307" t="s">
        <v>21</v>
      </c>
      <c r="L307" s="4">
        <f t="shared" si="73"/>
        <v>10795001.087414835</v>
      </c>
      <c r="M307" s="4">
        <f t="shared" si="74"/>
        <v>6274360.6000000006</v>
      </c>
      <c r="N307" s="4">
        <f>Table3[[#This Row],[Natural Gas kWh]]+Table3[[#This Row],[Electricity kWh]]</f>
        <v>17069361.687414836</v>
      </c>
      <c r="O307" s="9">
        <f>Table3[[#This Row],[Total Energy kWh]]/$V$20</f>
        <v>157.307066048297</v>
      </c>
      <c r="P307" s="9">
        <f t="shared" si="75"/>
        <v>54.991953733639924</v>
      </c>
      <c r="Q307" s="12">
        <f>((L307*Processed!$V$21)+(Table3[[#This Row],[Natural Gas kWh]]*Processed!$V$22))/Processed!$V$20</f>
        <v>27.898660708523391</v>
      </c>
      <c r="R307" s="10">
        <f>1-(O307/Processed!$V$23)</f>
        <v>0.27151888227063703</v>
      </c>
      <c r="S307" s="11">
        <f>1-(Processed!Q307/Processed!$V$24)</f>
        <v>0.28185739649481401</v>
      </c>
    </row>
    <row r="308" spans="1:19">
      <c r="B308" t="str">
        <f t="shared" ref="B308:J308" si="84">B92</f>
        <v>1AAABA</v>
      </c>
      <c r="C308">
        <f t="shared" si="84"/>
        <v>72</v>
      </c>
      <c r="D308">
        <f t="shared" si="84"/>
        <v>5</v>
      </c>
      <c r="E308">
        <f t="shared" si="84"/>
        <v>2.8</v>
      </c>
      <c r="F308" t="str">
        <f t="shared" si="84"/>
        <v>Current</v>
      </c>
      <c r="G308">
        <f t="shared" si="84"/>
        <v>0.25</v>
      </c>
      <c r="H308" t="str">
        <f t="shared" si="84"/>
        <v>None</v>
      </c>
      <c r="I308" t="str">
        <f t="shared" si="84"/>
        <v>Improved</v>
      </c>
      <c r="J308" t="str">
        <f t="shared" si="84"/>
        <v>Current</v>
      </c>
      <c r="K308" t="s">
        <v>21</v>
      </c>
      <c r="L308" s="4">
        <f t="shared" si="73"/>
        <v>9934728.1588174924</v>
      </c>
      <c r="M308" s="4">
        <f t="shared" si="74"/>
        <v>10069355.200000001</v>
      </c>
      <c r="N308" s="4">
        <f>Table3[[#This Row],[Natural Gas kWh]]+Table3[[#This Row],[Electricity kWh]]</f>
        <v>20004083.358817495</v>
      </c>
      <c r="O308" s="9">
        <f>Table3[[#This Row],[Total Energy kWh]]/$V$20</f>
        <v>184.35274381005425</v>
      </c>
      <c r="P308" s="9">
        <f t="shared" si="75"/>
        <v>89.724035312216643</v>
      </c>
      <c r="Q308" s="12">
        <f>((L308*Processed!$V$21)+(Table3[[#This Row],[Natural Gas kWh]]*Processed!$V$22))/Processed!$V$20</f>
        <v>33.195900784935226</v>
      </c>
      <c r="R308" s="10">
        <f>1-(O308/Processed!$V$23)</f>
        <v>0.14627170768037401</v>
      </c>
      <c r="S308" s="11">
        <f>1-(Processed!Q308/Processed!$V$24)</f>
        <v>0.1455005362278915</v>
      </c>
    </row>
    <row r="309" spans="1:19">
      <c r="B309" t="str">
        <f t="shared" ref="B309:J309" si="85">B93</f>
        <v>1AAABB</v>
      </c>
      <c r="C309">
        <f t="shared" si="85"/>
        <v>72</v>
      </c>
      <c r="D309">
        <f t="shared" si="85"/>
        <v>5</v>
      </c>
      <c r="E309">
        <f t="shared" si="85"/>
        <v>2.8</v>
      </c>
      <c r="F309" t="str">
        <f t="shared" si="85"/>
        <v>Current</v>
      </c>
      <c r="G309">
        <f t="shared" si="85"/>
        <v>0.25</v>
      </c>
      <c r="H309">
        <f t="shared" si="85"/>
        <v>0.75</v>
      </c>
      <c r="I309" t="str">
        <f t="shared" si="85"/>
        <v>Improved</v>
      </c>
      <c r="J309" t="str">
        <f t="shared" si="85"/>
        <v>Current</v>
      </c>
      <c r="K309" t="s">
        <v>21</v>
      </c>
      <c r="L309" s="4">
        <f t="shared" si="73"/>
        <v>10269821.131004777</v>
      </c>
      <c r="M309" s="4">
        <f t="shared" si="74"/>
        <v>6568122.3999999994</v>
      </c>
      <c r="N309" s="4">
        <f>Table3[[#This Row],[Natural Gas kWh]]+Table3[[#This Row],[Electricity kWh]]</f>
        <v>16837943.531004775</v>
      </c>
      <c r="O309" s="9">
        <f>Table3[[#This Row],[Total Energy kWh]]/$V$20</f>
        <v>155.1743728707886</v>
      </c>
      <c r="P309" s="9">
        <f t="shared" si="75"/>
        <v>57.731655397240509</v>
      </c>
      <c r="Q309" s="12">
        <f>((L309*Processed!$V$21)+(Table3[[#This Row],[Natural Gas kWh]]*Processed!$V$22))/Processed!$V$20</f>
        <v>27.590247607583628</v>
      </c>
      <c r="R309" s="10">
        <f>1-(O309/Processed!$V$23)</f>
        <v>0.28139527720160673</v>
      </c>
      <c r="S309" s="11">
        <f>1-(Processed!Q309/Processed!$V$24)</f>
        <v>0.28979629326043277</v>
      </c>
    </row>
    <row r="310" spans="1:19">
      <c r="B310" t="str">
        <f t="shared" ref="B310:J310" si="86">B94</f>
        <v>1AABAA</v>
      </c>
      <c r="C310">
        <f t="shared" si="86"/>
        <v>72</v>
      </c>
      <c r="D310">
        <f t="shared" si="86"/>
        <v>5</v>
      </c>
      <c r="E310">
        <f t="shared" si="86"/>
        <v>2.8</v>
      </c>
      <c r="F310" t="str">
        <f t="shared" si="86"/>
        <v>Improved</v>
      </c>
      <c r="G310" t="str">
        <f t="shared" si="86"/>
        <v>Current</v>
      </c>
      <c r="H310" t="str">
        <f t="shared" si="86"/>
        <v>None</v>
      </c>
      <c r="I310" t="str">
        <f t="shared" si="86"/>
        <v>Improved</v>
      </c>
      <c r="J310" t="str">
        <f t="shared" si="86"/>
        <v>Current</v>
      </c>
      <c r="K310" t="s">
        <v>21</v>
      </c>
      <c r="L310" s="4">
        <f t="shared" si="73"/>
        <v>10460853.11514912</v>
      </c>
      <c r="M310" s="4">
        <f t="shared" si="74"/>
        <v>9582096.2000000011</v>
      </c>
      <c r="N310" s="4">
        <f>Table3[[#This Row],[Natural Gas kWh]]+Table3[[#This Row],[Electricity kWh]]</f>
        <v>20042949.315149121</v>
      </c>
      <c r="O310" s="9">
        <f>Table3[[#This Row],[Total Energy kWh]]/$V$20</f>
        <v>184.71092296588037</v>
      </c>
      <c r="P310" s="9">
        <f t="shared" si="75"/>
        <v>85.012765244310899</v>
      </c>
      <c r="Q310" s="12">
        <f>((L310*Processed!$V$21)+(Table3[[#This Row],[Natural Gas kWh]]*Processed!$V$22))/Processed!$V$20</f>
        <v>33.16698204398844</v>
      </c>
      <c r="R310" s="10">
        <f>1-(O310/Processed!$V$23)</f>
        <v>0.14461299800929373</v>
      </c>
      <c r="S310" s="11">
        <f>1-(Processed!Q310/Processed!$V$24)</f>
        <v>0.14624493683301709</v>
      </c>
    </row>
    <row r="311" spans="1:19">
      <c r="B311" t="str">
        <f t="shared" ref="B311:J311" si="87">B95</f>
        <v>1AABAB</v>
      </c>
      <c r="C311">
        <f t="shared" si="87"/>
        <v>72</v>
      </c>
      <c r="D311">
        <f t="shared" si="87"/>
        <v>5</v>
      </c>
      <c r="E311">
        <f t="shared" si="87"/>
        <v>2.8</v>
      </c>
      <c r="F311" t="str">
        <f t="shared" si="87"/>
        <v>Improved</v>
      </c>
      <c r="G311" t="str">
        <f t="shared" si="87"/>
        <v>Current</v>
      </c>
      <c r="H311">
        <f t="shared" si="87"/>
        <v>0.75</v>
      </c>
      <c r="I311" t="str">
        <f t="shared" si="87"/>
        <v>Improved</v>
      </c>
      <c r="J311" t="str">
        <f t="shared" si="87"/>
        <v>Current</v>
      </c>
      <c r="K311" t="s">
        <v>21</v>
      </c>
      <c r="L311" s="4">
        <f t="shared" si="73"/>
        <v>10796120.087321959</v>
      </c>
      <c r="M311" s="4">
        <f t="shared" si="74"/>
        <v>6066887.2999999998</v>
      </c>
      <c r="N311" s="4">
        <f>Table3[[#This Row],[Natural Gas kWh]]+Table3[[#This Row],[Electricity kWh]]</f>
        <v>16863007.38732196</v>
      </c>
      <c r="O311" s="9">
        <f>Table3[[#This Row],[Total Energy kWh]]/$V$20</f>
        <v>155.40535524571945</v>
      </c>
      <c r="P311" s="9">
        <f t="shared" si="75"/>
        <v>53.025210616040141</v>
      </c>
      <c r="Q311" s="12">
        <f>((L311*Processed!$V$21)+(Table3[[#This Row],[Natural Gas kWh]]*Processed!$V$22))/Processed!$V$20</f>
        <v>27.537129407439799</v>
      </c>
      <c r="R311" s="10">
        <f>1-(O311/Processed!$V$23)</f>
        <v>0.28032560943084206</v>
      </c>
      <c r="S311" s="11">
        <f>1-(Processed!Q311/Processed!$V$24)</f>
        <v>0.29116361490154452</v>
      </c>
    </row>
    <row r="312" spans="1:19">
      <c r="B312" t="str">
        <f t="shared" ref="B312:J312" si="88">B96</f>
        <v>1AABBA</v>
      </c>
      <c r="C312">
        <f t="shared" si="88"/>
        <v>72</v>
      </c>
      <c r="D312">
        <f t="shared" si="88"/>
        <v>5</v>
      </c>
      <c r="E312">
        <f t="shared" si="88"/>
        <v>2.8</v>
      </c>
      <c r="F312" t="str">
        <f t="shared" si="88"/>
        <v>Improved</v>
      </c>
      <c r="G312">
        <f t="shared" si="88"/>
        <v>0.25</v>
      </c>
      <c r="H312" t="str">
        <f t="shared" si="88"/>
        <v>None</v>
      </c>
      <c r="I312" t="str">
        <f t="shared" si="88"/>
        <v>Improved</v>
      </c>
      <c r="J312" t="str">
        <f t="shared" si="88"/>
        <v>Current</v>
      </c>
      <c r="K312" t="s">
        <v>21</v>
      </c>
      <c r="L312" s="4">
        <f t="shared" si="73"/>
        <v>9934184.1588626448</v>
      </c>
      <c r="M312" s="4">
        <f t="shared" si="74"/>
        <v>9862907.4000000004</v>
      </c>
      <c r="N312" s="4">
        <f>Table3[[#This Row],[Natural Gas kWh]]+Table3[[#This Row],[Electricity kWh]]</f>
        <v>19797091.558862645</v>
      </c>
      <c r="O312" s="9">
        <f>Table3[[#This Row],[Total Energy kWh]]/$V$20</f>
        <v>182.44515796453544</v>
      </c>
      <c r="P312" s="9">
        <f t="shared" si="75"/>
        <v>87.729423261160775</v>
      </c>
      <c r="Q312" s="12">
        <f>((L312*Processed!$V$21)+(Table3[[#This Row],[Natural Gas kWh]]*Processed!$V$22))/Processed!$V$20</f>
        <v>32.833559741699581</v>
      </c>
      <c r="R312" s="10">
        <f>1-(O312/Processed!$V$23)</f>
        <v>0.15510564186920184</v>
      </c>
      <c r="S312" s="11">
        <f>1-(Processed!Q312/Processed!$V$24)</f>
        <v>0.15482759829960357</v>
      </c>
    </row>
    <row r="313" spans="1:19">
      <c r="B313" t="str">
        <f t="shared" ref="B313:J313" si="89">B97</f>
        <v>1AABBB</v>
      </c>
      <c r="C313">
        <f t="shared" si="89"/>
        <v>72</v>
      </c>
      <c r="D313">
        <f t="shared" si="89"/>
        <v>5</v>
      </c>
      <c r="E313">
        <f t="shared" si="89"/>
        <v>2.8</v>
      </c>
      <c r="F313" t="str">
        <f t="shared" si="89"/>
        <v>Improved</v>
      </c>
      <c r="G313">
        <f t="shared" si="89"/>
        <v>0.25</v>
      </c>
      <c r="H313">
        <f t="shared" si="89"/>
        <v>0.75</v>
      </c>
      <c r="I313" t="str">
        <f t="shared" si="89"/>
        <v>Improved</v>
      </c>
      <c r="J313" t="str">
        <f t="shared" si="89"/>
        <v>Current</v>
      </c>
      <c r="K313" t="s">
        <v>21</v>
      </c>
      <c r="L313" s="4">
        <f t="shared" si="73"/>
        <v>10270035.130987013</v>
      </c>
      <c r="M313" s="4">
        <f t="shared" si="74"/>
        <v>6362641.5</v>
      </c>
      <c r="N313" s="4">
        <f>Table3[[#This Row],[Natural Gas kWh]]+Table3[[#This Row],[Electricity kWh]]</f>
        <v>16632676.630987013</v>
      </c>
      <c r="O313" s="9">
        <f>Table3[[#This Row],[Total Energy kWh]]/$V$20</f>
        <v>153.2826832815739</v>
      </c>
      <c r="P313" s="9">
        <f t="shared" si="75"/>
        <v>55.737667096172842</v>
      </c>
      <c r="Q313" s="12">
        <f>((L313*Processed!$V$21)+(Table3[[#This Row],[Natural Gas kWh]]*Processed!$V$22))/Processed!$V$20</f>
        <v>27.230787142202011</v>
      </c>
      <c r="R313" s="10">
        <f>1-(O313/Processed!$V$23)</f>
        <v>0.29015559662632362</v>
      </c>
      <c r="S313" s="11">
        <f>1-(Processed!Q313/Processed!$V$24)</f>
        <v>0.29904920604944962</v>
      </c>
    </row>
    <row r="314" spans="1:19">
      <c r="B314" t="str">
        <f t="shared" ref="B314:J314" si="90">B98</f>
        <v>1ABAAA</v>
      </c>
      <c r="C314">
        <f t="shared" si="90"/>
        <v>72</v>
      </c>
      <c r="D314">
        <f t="shared" si="90"/>
        <v>5</v>
      </c>
      <c r="E314">
        <f t="shared" si="90"/>
        <v>4</v>
      </c>
      <c r="F314" t="str">
        <f t="shared" si="90"/>
        <v>Current</v>
      </c>
      <c r="G314" t="str">
        <f t="shared" si="90"/>
        <v>Current</v>
      </c>
      <c r="H314" t="str">
        <f t="shared" si="90"/>
        <v>None</v>
      </c>
      <c r="I314" t="str">
        <f t="shared" si="90"/>
        <v>Improved</v>
      </c>
      <c r="J314" t="str">
        <f t="shared" si="90"/>
        <v>Current</v>
      </c>
      <c r="K314" t="s">
        <v>21</v>
      </c>
      <c r="L314" s="4">
        <f t="shared" si="73"/>
        <v>10472324.114197027</v>
      </c>
      <c r="M314" s="4">
        <f t="shared" si="74"/>
        <v>8965096.7999999989</v>
      </c>
      <c r="N314" s="4">
        <f>Table3[[#This Row],[Natural Gas kWh]]+Table3[[#This Row],[Electricity kWh]]</f>
        <v>19437420.914197028</v>
      </c>
      <c r="O314" s="9">
        <f>Table3[[#This Row],[Total Energy kWh]]/$V$20</f>
        <v>179.13052119649723</v>
      </c>
      <c r="P314" s="9">
        <f t="shared" si="75"/>
        <v>78.947730883803089</v>
      </c>
      <c r="Q314" s="12">
        <f>((L314*Processed!$V$21)+(Table3[[#This Row],[Natural Gas kWh]]*Processed!$V$22))/Processed!$V$20</f>
        <v>32.104591429324806</v>
      </c>
      <c r="R314" s="10">
        <f>1-(O314/Processed!$V$23)</f>
        <v>0.1704555581717917</v>
      </c>
      <c r="S314" s="11">
        <f>1-(Processed!Q314/Processed!$V$24)</f>
        <v>0.17359205467229477</v>
      </c>
    </row>
    <row r="315" spans="1:19">
      <c r="B315" t="str">
        <f t="shared" ref="B315:J315" si="91">B99</f>
        <v>1ABAAB</v>
      </c>
      <c r="C315">
        <f t="shared" si="91"/>
        <v>72</v>
      </c>
      <c r="D315">
        <f t="shared" si="91"/>
        <v>5</v>
      </c>
      <c r="E315">
        <f t="shared" si="91"/>
        <v>4</v>
      </c>
      <c r="F315" t="str">
        <f t="shared" si="91"/>
        <v>Current</v>
      </c>
      <c r="G315" t="str">
        <f t="shared" si="91"/>
        <v>Current</v>
      </c>
      <c r="H315">
        <f t="shared" si="91"/>
        <v>0.75</v>
      </c>
      <c r="I315" t="str">
        <f t="shared" si="91"/>
        <v>Improved</v>
      </c>
      <c r="J315" t="str">
        <f t="shared" si="91"/>
        <v>Current</v>
      </c>
      <c r="K315" t="s">
        <v>21</v>
      </c>
      <c r="L315" s="4">
        <f t="shared" si="73"/>
        <v>10808202.086319152</v>
      </c>
      <c r="M315" s="4">
        <f t="shared" si="74"/>
        <v>5428059.3999999994</v>
      </c>
      <c r="N315" s="4">
        <f>Table3[[#This Row],[Natural Gas kWh]]+Table3[[#This Row],[Electricity kWh]]</f>
        <v>16236261.486319151</v>
      </c>
      <c r="O315" s="9">
        <f>Table3[[#This Row],[Total Energy kWh]]/$V$20</f>
        <v>149.62941818081799</v>
      </c>
      <c r="P315" s="9">
        <f t="shared" si="75"/>
        <v>46.965528084435526</v>
      </c>
      <c r="Q315" s="12">
        <f>((L315*Processed!$V$21)+(Table3[[#This Row],[Natural Gas kWh]]*Processed!$V$22))/Processed!$V$20</f>
        <v>26.43747447010325</v>
      </c>
      <c r="R315" s="10">
        <f>1-(O315/Processed!$V$23)</f>
        <v>0.30707368372066457</v>
      </c>
      <c r="S315" s="11">
        <f>1-(Processed!Q315/Processed!$V$24)</f>
        <v>0.31946995791588628</v>
      </c>
    </row>
    <row r="316" spans="1:19">
      <c r="B316" t="str">
        <f t="shared" ref="B316:J316" si="92">B100</f>
        <v>1ABABA</v>
      </c>
      <c r="C316">
        <f t="shared" si="92"/>
        <v>72</v>
      </c>
      <c r="D316">
        <f t="shared" si="92"/>
        <v>5</v>
      </c>
      <c r="E316">
        <f t="shared" si="92"/>
        <v>4</v>
      </c>
      <c r="F316" t="str">
        <f t="shared" si="92"/>
        <v>Current</v>
      </c>
      <c r="G316">
        <f t="shared" si="92"/>
        <v>0.25</v>
      </c>
      <c r="H316" t="str">
        <f t="shared" si="92"/>
        <v>None</v>
      </c>
      <c r="I316" t="str">
        <f t="shared" si="92"/>
        <v>Improved</v>
      </c>
      <c r="J316" t="str">
        <f t="shared" si="92"/>
        <v>Current</v>
      </c>
      <c r="K316" t="s">
        <v>21</v>
      </c>
      <c r="L316" s="4">
        <f t="shared" si="73"/>
        <v>9943109.1581218727</v>
      </c>
      <c r="M316" s="4">
        <f t="shared" si="74"/>
        <v>9231375.2000000011</v>
      </c>
      <c r="N316" s="4">
        <f>Table3[[#This Row],[Natural Gas kWh]]+Table3[[#This Row],[Electricity kWh]]</f>
        <v>19174484.358121872</v>
      </c>
      <c r="O316" s="9">
        <f>Table3[[#This Row],[Total Energy kWh]]/$V$20</f>
        <v>176.70736214986914</v>
      </c>
      <c r="P316" s="9">
        <f t="shared" si="75"/>
        <v>81.554230872431376</v>
      </c>
      <c r="Q316" s="12">
        <f>((L316*Processed!$V$21)+(Table3[[#This Row],[Natural Gas kWh]]*Processed!$V$22))/Processed!$V$20</f>
        <v>31.741733524669804</v>
      </c>
      <c r="R316" s="10">
        <f>1-(O316/Processed!$V$23)</f>
        <v>0.18167708594589482</v>
      </c>
      <c r="S316" s="11">
        <f>1-(Processed!Q316/Processed!$V$24)</f>
        <v>0.18293242133268317</v>
      </c>
    </row>
    <row r="317" spans="1:19">
      <c r="B317" t="str">
        <f t="shared" ref="B317:J317" si="93">B101</f>
        <v>1ABABB</v>
      </c>
      <c r="C317">
        <f t="shared" si="93"/>
        <v>72</v>
      </c>
      <c r="D317">
        <f t="shared" si="93"/>
        <v>5</v>
      </c>
      <c r="E317">
        <f t="shared" si="93"/>
        <v>4</v>
      </c>
      <c r="F317" t="str">
        <f t="shared" si="93"/>
        <v>Current</v>
      </c>
      <c r="G317">
        <f t="shared" si="93"/>
        <v>0.25</v>
      </c>
      <c r="H317">
        <f t="shared" si="93"/>
        <v>0.75</v>
      </c>
      <c r="I317" t="str">
        <f t="shared" si="93"/>
        <v>Improved</v>
      </c>
      <c r="J317" t="str">
        <f t="shared" si="93"/>
        <v>Current</v>
      </c>
      <c r="K317" t="s">
        <v>21</v>
      </c>
      <c r="L317" s="4">
        <f t="shared" si="73"/>
        <v>10279977.130161826</v>
      </c>
      <c r="M317" s="4">
        <f t="shared" si="74"/>
        <v>5712591.7000000002</v>
      </c>
      <c r="N317" s="4">
        <f>Table3[[#This Row],[Natural Gas kWh]]+Table3[[#This Row],[Electricity kWh]]</f>
        <v>15992568.830161825</v>
      </c>
      <c r="O317" s="9">
        <f>Table3[[#This Row],[Total Energy kWh]]/$V$20</f>
        <v>147.38360621317486</v>
      </c>
      <c r="P317" s="9">
        <f t="shared" si="75"/>
        <v>49.566460226848676</v>
      </c>
      <c r="Q317" s="12">
        <f>((L317*Processed!$V$21)+(Table3[[#This Row],[Natural Gas kWh]]*Processed!$V$22))/Processed!$V$20</f>
        <v>26.108130038509085</v>
      </c>
      <c r="R317" s="10">
        <f>1-(O317/Processed!$V$23)</f>
        <v>0.317473926084198</v>
      </c>
      <c r="S317" s="11">
        <f>1-(Processed!Q317/Processed!$V$24)</f>
        <v>0.32794765044837082</v>
      </c>
    </row>
    <row r="318" spans="1:19">
      <c r="B318" t="str">
        <f t="shared" ref="B318:J318" si="94">B102</f>
        <v>1ABBAA</v>
      </c>
      <c r="C318">
        <f t="shared" si="94"/>
        <v>72</v>
      </c>
      <c r="D318">
        <f t="shared" si="94"/>
        <v>5</v>
      </c>
      <c r="E318">
        <f t="shared" si="94"/>
        <v>4</v>
      </c>
      <c r="F318" t="str">
        <f t="shared" si="94"/>
        <v>Improved</v>
      </c>
      <c r="G318" t="str">
        <f t="shared" si="94"/>
        <v>Current</v>
      </c>
      <c r="H318" t="str">
        <f t="shared" si="94"/>
        <v>None</v>
      </c>
      <c r="I318" t="str">
        <f t="shared" si="94"/>
        <v>Improved</v>
      </c>
      <c r="J318" t="str">
        <f t="shared" si="94"/>
        <v>Current</v>
      </c>
      <c r="K318" t="s">
        <v>21</v>
      </c>
      <c r="L318" s="4">
        <f t="shared" si="73"/>
        <v>10475007.113974337</v>
      </c>
      <c r="M318" s="4">
        <f t="shared" si="74"/>
        <v>8765475.9000000004</v>
      </c>
      <c r="N318" s="4">
        <f>Table3[[#This Row],[Natural Gas kWh]]+Table3[[#This Row],[Electricity kWh]]</f>
        <v>19240483.013974339</v>
      </c>
      <c r="O318" s="9">
        <f>Table3[[#This Row],[Total Energy kWh]]/$V$20</f>
        <v>177.315589634025</v>
      </c>
      <c r="P318" s="9">
        <f t="shared" si="75"/>
        <v>76.977077852857278</v>
      </c>
      <c r="Q318" s="12">
        <f>((L318*Processed!$V$21)+(Table3[[#This Row],[Natural Gas kWh]]*Processed!$V$22))/Processed!$V$20</f>
        <v>31.759259915049093</v>
      </c>
      <c r="R318" s="10">
        <f>1-(O318/Processed!$V$23)</f>
        <v>0.17886041503197958</v>
      </c>
      <c r="S318" s="11">
        <f>1-(Processed!Q318/Processed!$V$24)</f>
        <v>0.18248127252132884</v>
      </c>
    </row>
    <row r="319" spans="1:19">
      <c r="B319" t="str">
        <f t="shared" ref="B319:J319" si="95">B103</f>
        <v>1ABBAB</v>
      </c>
      <c r="C319">
        <f t="shared" si="95"/>
        <v>72</v>
      </c>
      <c r="D319">
        <f t="shared" si="95"/>
        <v>5</v>
      </c>
      <c r="E319">
        <f t="shared" si="95"/>
        <v>4</v>
      </c>
      <c r="F319" t="str">
        <f t="shared" si="95"/>
        <v>Improved</v>
      </c>
      <c r="G319" t="str">
        <f t="shared" si="95"/>
        <v>Current</v>
      </c>
      <c r="H319">
        <f t="shared" si="95"/>
        <v>0.75</v>
      </c>
      <c r="I319" t="str">
        <f t="shared" si="95"/>
        <v>Improved</v>
      </c>
      <c r="J319" t="str">
        <f t="shared" si="95"/>
        <v>Current</v>
      </c>
      <c r="K319" t="s">
        <v>21</v>
      </c>
      <c r="L319" s="4">
        <f t="shared" si="73"/>
        <v>10810967.086089658</v>
      </c>
      <c r="M319" s="4">
        <f t="shared" si="74"/>
        <v>5218154.2</v>
      </c>
      <c r="N319" s="4">
        <f>Table3[[#This Row],[Natural Gas kWh]]+Table3[[#This Row],[Electricity kWh]]</f>
        <v>16029121.286089659</v>
      </c>
      <c r="O319" s="9">
        <f>Table3[[#This Row],[Total Energy kWh]]/$V$20</f>
        <v>147.72046471463287</v>
      </c>
      <c r="P319" s="9">
        <f t="shared" si="75"/>
        <v>44.997810188715647</v>
      </c>
      <c r="Q319" s="12">
        <f>((L319*Processed!$V$21)+(Table3[[#This Row],[Natural Gas kWh]]*Processed!$V$22))/Processed!$V$20</f>
        <v>26.074263680284112</v>
      </c>
      <c r="R319" s="10">
        <f>1-(O319/Processed!$V$23)</f>
        <v>0.31591395129207123</v>
      </c>
      <c r="S319" s="11">
        <f>1-(Processed!Q319/Processed!$V$24)</f>
        <v>0.32881940823348521</v>
      </c>
    </row>
    <row r="320" spans="1:19">
      <c r="B320" t="str">
        <f t="shared" ref="B320:J320" si="96">B104</f>
        <v>1ABBBA</v>
      </c>
      <c r="C320">
        <f t="shared" si="96"/>
        <v>72</v>
      </c>
      <c r="D320">
        <f t="shared" si="96"/>
        <v>5</v>
      </c>
      <c r="E320">
        <f t="shared" si="96"/>
        <v>4</v>
      </c>
      <c r="F320" t="str">
        <f t="shared" si="96"/>
        <v>Improved</v>
      </c>
      <c r="G320">
        <f t="shared" si="96"/>
        <v>0.25</v>
      </c>
      <c r="H320" t="str">
        <f t="shared" si="96"/>
        <v>None</v>
      </c>
      <c r="I320" t="str">
        <f t="shared" si="96"/>
        <v>Improved</v>
      </c>
      <c r="J320" t="str">
        <f t="shared" si="96"/>
        <v>Current</v>
      </c>
      <c r="K320" t="s">
        <v>21</v>
      </c>
      <c r="L320" s="4">
        <f t="shared" si="73"/>
        <v>9944736.1579868291</v>
      </c>
      <c r="M320" s="4">
        <f t="shared" si="74"/>
        <v>9027652.2999999989</v>
      </c>
      <c r="N320" s="4">
        <f>Table3[[#This Row],[Natural Gas kWh]]+Table3[[#This Row],[Electricity kWh]]</f>
        <v>18972388.457986828</v>
      </c>
      <c r="O320" s="9">
        <f>Table3[[#This Row],[Total Energy kWh]]/$V$20</f>
        <v>174.84489572067204</v>
      </c>
      <c r="P320" s="9">
        <f t="shared" si="75"/>
        <v>79.549576716586898</v>
      </c>
      <c r="Q320" s="12">
        <f>((L320*Processed!$V$21)+(Table3[[#This Row],[Natural Gas kWh]]*Processed!$V$22))/Processed!$V$20</f>
        <v>31.387565022459082</v>
      </c>
      <c r="R320" s="10">
        <f>1-(O320/Processed!$V$23)</f>
        <v>0.19030207438511948</v>
      </c>
      <c r="S320" s="11">
        <f>1-(Processed!Q320/Processed!$V$24)</f>
        <v>0.19204911309485928</v>
      </c>
    </row>
    <row r="321" spans="2:19">
      <c r="B321" t="str">
        <f t="shared" ref="B321:J321" si="97">B105</f>
        <v>1ABBBB</v>
      </c>
      <c r="C321">
        <f t="shared" si="97"/>
        <v>72</v>
      </c>
      <c r="D321">
        <f t="shared" si="97"/>
        <v>5</v>
      </c>
      <c r="E321">
        <f t="shared" si="97"/>
        <v>4</v>
      </c>
      <c r="F321" t="str">
        <f t="shared" si="97"/>
        <v>Improved</v>
      </c>
      <c r="G321">
        <f t="shared" si="97"/>
        <v>0.25</v>
      </c>
      <c r="H321">
        <f t="shared" si="97"/>
        <v>0.75</v>
      </c>
      <c r="I321" t="str">
        <f t="shared" si="97"/>
        <v>Improved</v>
      </c>
      <c r="J321" t="str">
        <f t="shared" si="97"/>
        <v>Current</v>
      </c>
      <c r="K321" t="s">
        <v>21</v>
      </c>
      <c r="L321" s="4">
        <f t="shared" si="73"/>
        <v>10282204.129976986</v>
      </c>
      <c r="M321" s="4">
        <f t="shared" si="74"/>
        <v>5504122.2000000002</v>
      </c>
      <c r="N321" s="4">
        <f>Table3[[#This Row],[Natural Gas kWh]]+Table3[[#This Row],[Electricity kWh]]</f>
        <v>15786326.329976987</v>
      </c>
      <c r="O321" s="9">
        <f>Table3[[#This Row],[Total Energy kWh]]/$V$20</f>
        <v>145.48292573122907</v>
      </c>
      <c r="P321" s="9">
        <f t="shared" si="75"/>
        <v>47.563680021185242</v>
      </c>
      <c r="Q321" s="12">
        <f>((L321*Processed!$V$21)+(Table3[[#This Row],[Natural Gas kWh]]*Processed!$V$22))/Processed!$V$20</f>
        <v>25.746590277217756</v>
      </c>
      <c r="R321" s="10">
        <f>1-(O321/Processed!$V$23)</f>
        <v>0.32627588188133394</v>
      </c>
      <c r="S321" s="11">
        <f>1-(Processed!Q321/Processed!$V$24)</f>
        <v>0.33725408663027245</v>
      </c>
    </row>
    <row r="322" spans="2:19">
      <c r="B322" t="str">
        <f t="shared" ref="B322:J322" si="98">B106</f>
        <v>1ACAAA</v>
      </c>
      <c r="C322">
        <f t="shared" si="98"/>
        <v>72</v>
      </c>
      <c r="D322">
        <f t="shared" si="98"/>
        <v>5</v>
      </c>
      <c r="E322">
        <f t="shared" si="98"/>
        <v>5.5</v>
      </c>
      <c r="F322" t="str">
        <f t="shared" si="98"/>
        <v>Current</v>
      </c>
      <c r="G322" t="str">
        <f t="shared" si="98"/>
        <v>Current</v>
      </c>
      <c r="H322" t="str">
        <f t="shared" si="98"/>
        <v>None</v>
      </c>
      <c r="I322" t="str">
        <f t="shared" si="98"/>
        <v>Improved</v>
      </c>
      <c r="J322" t="str">
        <f t="shared" si="98"/>
        <v>Current</v>
      </c>
      <c r="K322" t="s">
        <v>21</v>
      </c>
      <c r="L322" s="4">
        <f t="shared" si="73"/>
        <v>10481454.113439238</v>
      </c>
      <c r="M322" s="4">
        <f t="shared" si="74"/>
        <v>8560581</v>
      </c>
      <c r="N322" s="4">
        <f>Table3[[#This Row],[Natural Gas kWh]]+Table3[[#This Row],[Electricity kWh]]</f>
        <v>19042035.11343924</v>
      </c>
      <c r="O322" s="9">
        <f>Table3[[#This Row],[Total Energy kWh]]/$V$20</f>
        <v>175.48674227767441</v>
      </c>
      <c r="P322" s="9">
        <f t="shared" si="75"/>
        <v>74.962146673397456</v>
      </c>
      <c r="Q322" s="12">
        <f>((L322*Processed!$V$21)+(Table3[[#This Row],[Natural Gas kWh]]*Processed!$V$22))/Processed!$V$20</f>
        <v>31.410590637910346</v>
      </c>
      <c r="R322" s="10">
        <f>1-(O322/Processed!$V$23)</f>
        <v>0.18732971523430886</v>
      </c>
      <c r="S322" s="11">
        <f>1-(Processed!Q322/Processed!$V$24)</f>
        <v>0.19145640810445708</v>
      </c>
    </row>
    <row r="323" spans="2:19">
      <c r="B323" t="str">
        <f t="shared" ref="B323:J323" si="99">B107</f>
        <v>1ACAAB</v>
      </c>
      <c r="C323">
        <f t="shared" si="99"/>
        <v>72</v>
      </c>
      <c r="D323">
        <f t="shared" si="99"/>
        <v>5</v>
      </c>
      <c r="E323">
        <f t="shared" si="99"/>
        <v>5.5</v>
      </c>
      <c r="F323" t="str">
        <f t="shared" si="99"/>
        <v>Current</v>
      </c>
      <c r="G323" t="str">
        <f t="shared" si="99"/>
        <v>Current</v>
      </c>
      <c r="H323">
        <f t="shared" si="99"/>
        <v>0.75</v>
      </c>
      <c r="I323" t="str">
        <f t="shared" si="99"/>
        <v>Improved</v>
      </c>
      <c r="J323" t="str">
        <f t="shared" si="99"/>
        <v>Current</v>
      </c>
      <c r="K323" t="s">
        <v>21</v>
      </c>
      <c r="L323" s="4">
        <f t="shared" si="73"/>
        <v>10817349.085559951</v>
      </c>
      <c r="M323" s="4">
        <f t="shared" si="74"/>
        <v>5002389</v>
      </c>
      <c r="N323" s="4">
        <f>Table3[[#This Row],[Natural Gas kWh]]+Table3[[#This Row],[Electricity kWh]]</f>
        <v>15819738.085559951</v>
      </c>
      <c r="O323" s="9">
        <f>Table3[[#This Row],[Total Energy kWh]]/$V$20</f>
        <v>145.79084030580594</v>
      </c>
      <c r="P323" s="9">
        <f t="shared" si="75"/>
        <v>42.985244398821521</v>
      </c>
      <c r="Q323" s="12">
        <f>((L323*Processed!$V$21)+(Table3[[#This Row],[Natural Gas kWh]]*Processed!$V$22))/Processed!$V$20</f>
        <v>25.706458743656189</v>
      </c>
      <c r="R323" s="10">
        <f>1-(O323/Processed!$V$23)</f>
        <v>0.32484994496007669</v>
      </c>
      <c r="S323" s="11">
        <f>1-(Processed!Q323/Processed!$V$24)</f>
        <v>0.33828711700745295</v>
      </c>
    </row>
    <row r="324" spans="2:19">
      <c r="B324" t="str">
        <f t="shared" ref="B324:J324" si="100">B108</f>
        <v>1ACABA</v>
      </c>
      <c r="C324">
        <f t="shared" si="100"/>
        <v>72</v>
      </c>
      <c r="D324">
        <f t="shared" si="100"/>
        <v>5</v>
      </c>
      <c r="E324">
        <f t="shared" si="100"/>
        <v>5.5</v>
      </c>
      <c r="F324" t="str">
        <f t="shared" si="100"/>
        <v>Current</v>
      </c>
      <c r="G324">
        <f t="shared" si="100"/>
        <v>0.25</v>
      </c>
      <c r="H324" t="str">
        <f t="shared" si="100"/>
        <v>None</v>
      </c>
      <c r="I324" t="str">
        <f t="shared" si="100"/>
        <v>Improved</v>
      </c>
      <c r="J324" t="str">
        <f t="shared" si="100"/>
        <v>Current</v>
      </c>
      <c r="K324" t="s">
        <v>21</v>
      </c>
      <c r="L324" s="4">
        <f t="shared" si="73"/>
        <v>9949898.1575583834</v>
      </c>
      <c r="M324" s="4">
        <f t="shared" si="74"/>
        <v>8819768.7999999989</v>
      </c>
      <c r="N324" s="4">
        <f>Table3[[#This Row],[Natural Gas kWh]]+Table3[[#This Row],[Electricity kWh]]</f>
        <v>18769666.957558382</v>
      </c>
      <c r="O324" s="9">
        <f>Table3[[#This Row],[Total Energy kWh]]/$V$20</f>
        <v>172.97666391204973</v>
      </c>
      <c r="P324" s="9">
        <f t="shared" si="75"/>
        <v>77.484054282671778</v>
      </c>
      <c r="Q324" s="12">
        <f>((L324*Processed!$V$21)+(Table3[[#This Row],[Natural Gas kWh]]*Processed!$V$22))/Processed!$V$20</f>
        <v>31.031649544288712</v>
      </c>
      <c r="R324" s="10">
        <f>1-(O324/Processed!$V$23)</f>
        <v>0.1989537620067352</v>
      </c>
      <c r="S324" s="11">
        <f>1-(Processed!Q324/Processed!$V$24)</f>
        <v>0.2012107739642276</v>
      </c>
    </row>
    <row r="325" spans="2:19">
      <c r="B325" t="str">
        <f t="shared" ref="B325:J325" si="101">B109</f>
        <v>1ACABB</v>
      </c>
      <c r="C325">
        <f t="shared" si="101"/>
        <v>72</v>
      </c>
      <c r="D325">
        <f t="shared" si="101"/>
        <v>5</v>
      </c>
      <c r="E325">
        <f t="shared" si="101"/>
        <v>5.5</v>
      </c>
      <c r="F325" t="str">
        <f t="shared" si="101"/>
        <v>Current</v>
      </c>
      <c r="G325">
        <f t="shared" si="101"/>
        <v>0.25</v>
      </c>
      <c r="H325">
        <f t="shared" si="101"/>
        <v>0.75</v>
      </c>
      <c r="I325" t="str">
        <f t="shared" si="101"/>
        <v>Improved</v>
      </c>
      <c r="J325" t="str">
        <f t="shared" si="101"/>
        <v>Current</v>
      </c>
      <c r="K325" t="s">
        <v>21</v>
      </c>
      <c r="L325" s="4">
        <f t="shared" si="73"/>
        <v>10287556.129532771</v>
      </c>
      <c r="M325" s="4">
        <f t="shared" si="74"/>
        <v>5285339.1000000006</v>
      </c>
      <c r="N325" s="4">
        <f>Table3[[#This Row],[Natural Gas kWh]]+Table3[[#This Row],[Electricity kWh]]</f>
        <v>15572895.229532771</v>
      </c>
      <c r="O325" s="9">
        <f>Table3[[#This Row],[Total Energy kWh]]/$V$20</f>
        <v>143.51599686598084</v>
      </c>
      <c r="P325" s="9">
        <f t="shared" si="75"/>
        <v>45.50059858289498</v>
      </c>
      <c r="Q325" s="12">
        <f>((L325*Processed!$V$21)+(Table3[[#This Row],[Natural Gas kWh]]*Processed!$V$22))/Processed!$V$20</f>
        <v>25.371887338419977</v>
      </c>
      <c r="R325" s="10">
        <f>1-(O325/Processed!$V$23)</f>
        <v>0.33538463061236845</v>
      </c>
      <c r="S325" s="11">
        <f>1-(Processed!Q325/Processed!$V$24)</f>
        <v>0.34689935766391278</v>
      </c>
    </row>
    <row r="326" spans="2:19">
      <c r="B326" t="str">
        <f t="shared" ref="B326:J326" si="102">B110</f>
        <v>1ACBAA</v>
      </c>
      <c r="C326">
        <f t="shared" si="102"/>
        <v>72</v>
      </c>
      <c r="D326">
        <f t="shared" si="102"/>
        <v>5</v>
      </c>
      <c r="E326">
        <f t="shared" si="102"/>
        <v>5.5</v>
      </c>
      <c r="F326" t="str">
        <f t="shared" si="102"/>
        <v>Improved</v>
      </c>
      <c r="G326" t="str">
        <f t="shared" si="102"/>
        <v>Current</v>
      </c>
      <c r="H326" t="str">
        <f t="shared" si="102"/>
        <v>None</v>
      </c>
      <c r="I326" t="str">
        <f t="shared" si="102"/>
        <v>Improved</v>
      </c>
      <c r="J326" t="str">
        <f t="shared" si="102"/>
        <v>Current</v>
      </c>
      <c r="K326" t="s">
        <v>21</v>
      </c>
      <c r="L326" s="4">
        <f t="shared" si="73"/>
        <v>10485484.113104744</v>
      </c>
      <c r="M326" s="4">
        <f t="shared" si="74"/>
        <v>8358498.8999999994</v>
      </c>
      <c r="N326" s="4">
        <f>Table3[[#This Row],[Natural Gas kWh]]+Table3[[#This Row],[Electricity kWh]]</f>
        <v>18843983.013104744</v>
      </c>
      <c r="O326" s="9">
        <f>Table3[[#This Row],[Total Energy kWh]]/$V$20</f>
        <v>173.66154251925036</v>
      </c>
      <c r="P326" s="9">
        <f t="shared" si="75"/>
        <v>72.997450319828275</v>
      </c>
      <c r="Q326" s="12">
        <f>((L326*Processed!$V$21)+(Table3[[#This Row],[Natural Gas kWh]]*Processed!$V$22))/Processed!$V$20</f>
        <v>31.063059893967761</v>
      </c>
      <c r="R326" s="10">
        <f>1-(O326/Processed!$V$23)</f>
        <v>0.19578212359394287</v>
      </c>
      <c r="S326" s="11">
        <f>1-(Processed!Q326/Processed!$V$24)</f>
        <v>0.20040223657488154</v>
      </c>
    </row>
    <row r="327" spans="2:19">
      <c r="B327" t="str">
        <f t="shared" ref="B327:J327" si="103">B111</f>
        <v>1ACBAB</v>
      </c>
      <c r="C327">
        <f t="shared" si="103"/>
        <v>72</v>
      </c>
      <c r="D327">
        <f t="shared" si="103"/>
        <v>5</v>
      </c>
      <c r="E327">
        <f t="shared" si="103"/>
        <v>5.5</v>
      </c>
      <c r="F327" t="str">
        <f t="shared" si="103"/>
        <v>Improved</v>
      </c>
      <c r="G327" t="str">
        <f t="shared" si="103"/>
        <v>Current</v>
      </c>
      <c r="H327">
        <f t="shared" si="103"/>
        <v>0.75</v>
      </c>
      <c r="I327" t="str">
        <f t="shared" si="103"/>
        <v>Improved</v>
      </c>
      <c r="J327" t="str">
        <f t="shared" si="103"/>
        <v>Current</v>
      </c>
      <c r="K327" t="s">
        <v>21</v>
      </c>
      <c r="L327" s="4">
        <f t="shared" si="73"/>
        <v>10821634.085204298</v>
      </c>
      <c r="M327" s="4">
        <f t="shared" si="74"/>
        <v>4791839.2</v>
      </c>
      <c r="N327" s="4">
        <f>Table3[[#This Row],[Natural Gas kWh]]+Table3[[#This Row],[Electricity kWh]]</f>
        <v>15613473.285204299</v>
      </c>
      <c r="O327" s="9">
        <f>Table3[[#This Row],[Total Energy kWh]]/$V$20</f>
        <v>143.88995431093548</v>
      </c>
      <c r="P327" s="9">
        <f t="shared" si="75"/>
        <v>41.023766703200174</v>
      </c>
      <c r="Q327" s="12">
        <f>((L327*Processed!$V$21)+(Table3[[#This Row],[Natural Gas kWh]]*Processed!$V$22))/Processed!$V$20</f>
        <v>25.344500614438974</v>
      </c>
      <c r="R327" s="10">
        <f>1-(O327/Processed!$V$23)</f>
        <v>0.33365285247723919</v>
      </c>
      <c r="S327" s="11">
        <f>1-(Processed!Q327/Processed!$V$24)</f>
        <v>0.3476043224457952</v>
      </c>
    </row>
    <row r="328" spans="2:19">
      <c r="B328" t="str">
        <f t="shared" ref="B328:J328" si="104">B112</f>
        <v>1ACBBA</v>
      </c>
      <c r="C328">
        <f t="shared" si="104"/>
        <v>72</v>
      </c>
      <c r="D328">
        <f t="shared" si="104"/>
        <v>5</v>
      </c>
      <c r="E328">
        <f t="shared" si="104"/>
        <v>5.5</v>
      </c>
      <c r="F328" t="str">
        <f t="shared" si="104"/>
        <v>Improved</v>
      </c>
      <c r="G328">
        <f t="shared" si="104"/>
        <v>0.25</v>
      </c>
      <c r="H328" t="str">
        <f t="shared" si="104"/>
        <v>None</v>
      </c>
      <c r="I328" t="str">
        <f t="shared" si="104"/>
        <v>Improved</v>
      </c>
      <c r="J328" t="str">
        <f t="shared" si="104"/>
        <v>Current</v>
      </c>
      <c r="K328" t="s">
        <v>21</v>
      </c>
      <c r="L328" s="4">
        <f t="shared" si="73"/>
        <v>9952629.1573317107</v>
      </c>
      <c r="M328" s="4">
        <f t="shared" si="74"/>
        <v>8617305.7999999989</v>
      </c>
      <c r="N328" s="4">
        <f>Table3[[#This Row],[Natural Gas kWh]]+Table3[[#This Row],[Electricity kWh]]</f>
        <v>18569934.95733171</v>
      </c>
      <c r="O328" s="9">
        <f>Table3[[#This Row],[Total Energy kWh]]/$V$20</f>
        <v>171.13598260673876</v>
      </c>
      <c r="P328" s="9">
        <f t="shared" si="75"/>
        <v>75.480393806462189</v>
      </c>
      <c r="Q328" s="12">
        <f>((L328*Processed!$V$21)+(Table3[[#This Row],[Natural Gas kWh]]*Processed!$V$22))/Processed!$V$20</f>
        <v>30.681416731748975</v>
      </c>
      <c r="R328" s="10">
        <f>1-(O328/Processed!$V$23)</f>
        <v>0.20747786463200946</v>
      </c>
      <c r="S328" s="11">
        <f>1-(Processed!Q328/Processed!$V$24)</f>
        <v>0.21022615669023026</v>
      </c>
    </row>
    <row r="329" spans="2:19">
      <c r="B329" t="str">
        <f t="shared" ref="B329:J329" si="105">B113</f>
        <v>1ACBBB</v>
      </c>
      <c r="C329">
        <f t="shared" si="105"/>
        <v>72</v>
      </c>
      <c r="D329">
        <f t="shared" si="105"/>
        <v>5</v>
      </c>
      <c r="E329">
        <f t="shared" si="105"/>
        <v>5.5</v>
      </c>
      <c r="F329" t="str">
        <f t="shared" si="105"/>
        <v>Improved</v>
      </c>
      <c r="G329">
        <f t="shared" si="105"/>
        <v>0.25</v>
      </c>
      <c r="H329">
        <f t="shared" si="105"/>
        <v>0.75</v>
      </c>
      <c r="I329" t="str">
        <f t="shared" si="105"/>
        <v>Improved</v>
      </c>
      <c r="J329" t="str">
        <f t="shared" si="105"/>
        <v>Current</v>
      </c>
      <c r="K329" t="s">
        <v>21</v>
      </c>
      <c r="L329" s="4">
        <f t="shared" si="73"/>
        <v>10290660.129275138</v>
      </c>
      <c r="M329" s="4">
        <f t="shared" si="74"/>
        <v>5071390.5</v>
      </c>
      <c r="N329" s="4">
        <f>Table3[[#This Row],[Natural Gas kWh]]+Table3[[#This Row],[Electricity kWh]]</f>
        <v>15362050.629275138</v>
      </c>
      <c r="O329" s="9">
        <f>Table3[[#This Row],[Total Energy kWh]]/$V$20</f>
        <v>141.57290455438559</v>
      </c>
      <c r="P329" s="9">
        <f t="shared" si="75"/>
        <v>43.499241391273912</v>
      </c>
      <c r="Q329" s="12">
        <f>((L329*Processed!$V$21)+(Table3[[#This Row],[Natural Gas kWh]]*Processed!$V$22))/Processed!$V$20</f>
        <v>25.002127685154935</v>
      </c>
      <c r="R329" s="10">
        <f>1-(O329/Processed!$V$23)</f>
        <v>0.34438299346129253</v>
      </c>
      <c r="S329" s="11">
        <f>1-(Processed!Q329/Processed!$V$24)</f>
        <v>0.35641738302151738</v>
      </c>
    </row>
    <row r="330" spans="2:19">
      <c r="B330" t="str">
        <f t="shared" ref="B330:J330" si="106">B114</f>
        <v>1BAAAA</v>
      </c>
      <c r="C330">
        <f t="shared" si="106"/>
        <v>72</v>
      </c>
      <c r="D330">
        <f t="shared" si="106"/>
        <v>10</v>
      </c>
      <c r="E330">
        <f t="shared" si="106"/>
        <v>2.8</v>
      </c>
      <c r="F330" t="str">
        <f t="shared" si="106"/>
        <v>Current</v>
      </c>
      <c r="G330" t="str">
        <f t="shared" si="106"/>
        <v>Current</v>
      </c>
      <c r="H330" t="str">
        <f t="shared" si="106"/>
        <v>None</v>
      </c>
      <c r="I330" t="str">
        <f t="shared" si="106"/>
        <v>Improved</v>
      </c>
      <c r="J330" t="str">
        <f t="shared" si="106"/>
        <v>Current</v>
      </c>
      <c r="K330" t="s">
        <v>21</v>
      </c>
      <c r="L330" s="4">
        <f t="shared" si="73"/>
        <v>10460402.115186553</v>
      </c>
      <c r="M330" s="4">
        <f t="shared" si="74"/>
        <v>9210103.4000000004</v>
      </c>
      <c r="N330" s="4">
        <f>Table3[[#This Row],[Natural Gas kWh]]+Table3[[#This Row],[Electricity kWh]]</f>
        <v>19670505.515186556</v>
      </c>
      <c r="O330" s="9">
        <f>Table3[[#This Row],[Total Energy kWh]]/$V$20</f>
        <v>181.27857192001869</v>
      </c>
      <c r="P330" s="9">
        <f t="shared" si="75"/>
        <v>81.340506044218685</v>
      </c>
      <c r="Q330" s="12">
        <f>((L330*Processed!$V$21)+(Table3[[#This Row],[Natural Gas kWh]]*Processed!$V$22))/Processed!$V$20</f>
        <v>32.514918471383588</v>
      </c>
      <c r="R330" s="10">
        <f>1-(O330/Processed!$V$23)</f>
        <v>0.16050804321699719</v>
      </c>
      <c r="S330" s="11">
        <f>1-(Processed!Q330/Processed!$V$24)</f>
        <v>0.16302977953832576</v>
      </c>
    </row>
    <row r="331" spans="2:19">
      <c r="B331" t="str">
        <f t="shared" ref="B331:J331" si="107">B115</f>
        <v>1BAAAB</v>
      </c>
      <c r="C331">
        <f t="shared" si="107"/>
        <v>72</v>
      </c>
      <c r="D331">
        <f t="shared" si="107"/>
        <v>10</v>
      </c>
      <c r="E331">
        <f t="shared" si="107"/>
        <v>2.8</v>
      </c>
      <c r="F331" t="str">
        <f t="shared" si="107"/>
        <v>Current</v>
      </c>
      <c r="G331" t="str">
        <f t="shared" si="107"/>
        <v>Current</v>
      </c>
      <c r="H331">
        <f t="shared" si="107"/>
        <v>0.75</v>
      </c>
      <c r="I331" t="str">
        <f t="shared" si="107"/>
        <v>Improved</v>
      </c>
      <c r="J331" t="str">
        <f t="shared" si="107"/>
        <v>Current</v>
      </c>
      <c r="K331" t="s">
        <v>21</v>
      </c>
      <c r="L331" s="4">
        <f t="shared" si="73"/>
        <v>10795727.087354578</v>
      </c>
      <c r="M331" s="4">
        <f t="shared" si="74"/>
        <v>5681182.1000000006</v>
      </c>
      <c r="N331" s="4">
        <f>Table3[[#This Row],[Natural Gas kWh]]+Table3[[#This Row],[Electricity kWh]]</f>
        <v>16476909.18735458</v>
      </c>
      <c r="O331" s="9">
        <f>Table3[[#This Row],[Total Energy kWh]]/$V$20</f>
        <v>151.84716858615749</v>
      </c>
      <c r="P331" s="9">
        <f t="shared" si="75"/>
        <v>49.35450134016105</v>
      </c>
      <c r="Q331" s="12">
        <f>((L331*Processed!$V$21)+(Table3[[#This Row],[Natural Gas kWh]]*Processed!$V$22))/Processed!$V$20</f>
        <v>26.86114637795626</v>
      </c>
      <c r="R331" s="10">
        <f>1-(O331/Processed!$V$23)</f>
        <v>0.29680339304198367</v>
      </c>
      <c r="S331" s="11">
        <f>1-(Processed!Q331/Processed!$V$24)</f>
        <v>0.30856417107126488</v>
      </c>
    </row>
    <row r="332" spans="2:19">
      <c r="B332" t="str">
        <f t="shared" ref="B332:J332" si="108">B116</f>
        <v>1BAABA</v>
      </c>
      <c r="C332">
        <f t="shared" si="108"/>
        <v>72</v>
      </c>
      <c r="D332">
        <f t="shared" si="108"/>
        <v>10</v>
      </c>
      <c r="E332">
        <f t="shared" si="108"/>
        <v>2.8</v>
      </c>
      <c r="F332" t="str">
        <f t="shared" si="108"/>
        <v>Current</v>
      </c>
      <c r="G332">
        <f t="shared" si="108"/>
        <v>0.25</v>
      </c>
      <c r="H332" t="str">
        <f t="shared" si="108"/>
        <v>None</v>
      </c>
      <c r="I332" t="str">
        <f t="shared" si="108"/>
        <v>Improved</v>
      </c>
      <c r="J332" t="str">
        <f t="shared" si="108"/>
        <v>Current</v>
      </c>
      <c r="K332" t="s">
        <v>21</v>
      </c>
      <c r="L332" s="4">
        <f t="shared" si="73"/>
        <v>9933436.1589247305</v>
      </c>
      <c r="M332" s="4">
        <f t="shared" si="74"/>
        <v>9483238</v>
      </c>
      <c r="N332" s="4">
        <f>Table3[[#This Row],[Natural Gas kWh]]+Table3[[#This Row],[Electricity kWh]]</f>
        <v>19416674.158924729</v>
      </c>
      <c r="O332" s="9">
        <f>Table3[[#This Row],[Total Energy kWh]]/$V$20</f>
        <v>178.93932416982028</v>
      </c>
      <c r="P332" s="9">
        <f t="shared" si="75"/>
        <v>84.02107296867689</v>
      </c>
      <c r="Q332" s="12">
        <f>((L332*Processed!$V$21)+(Table3[[#This Row],[Natural Gas kWh]]*Processed!$V$22))/Processed!$V$20</f>
        <v>32.167589188396455</v>
      </c>
      <c r="R332" s="10">
        <f>1-(O332/Processed!$V$23)</f>
        <v>0.17134098199412262</v>
      </c>
      <c r="S332" s="11">
        <f>1-(Processed!Q332/Processed!$V$24)</f>
        <v>0.17197042217934566</v>
      </c>
    </row>
    <row r="333" spans="2:19">
      <c r="B333" t="str">
        <f t="shared" ref="B333:J333" si="109">B117</f>
        <v>1BAABB</v>
      </c>
      <c r="C333">
        <f t="shared" si="109"/>
        <v>72</v>
      </c>
      <c r="D333">
        <f t="shared" si="109"/>
        <v>10</v>
      </c>
      <c r="E333">
        <f t="shared" si="109"/>
        <v>2.8</v>
      </c>
      <c r="F333" t="str">
        <f t="shared" si="109"/>
        <v>Current</v>
      </c>
      <c r="G333">
        <f t="shared" si="109"/>
        <v>0.25</v>
      </c>
      <c r="H333">
        <f t="shared" si="109"/>
        <v>0.75</v>
      </c>
      <c r="I333" t="str">
        <f t="shared" si="109"/>
        <v>Improved</v>
      </c>
      <c r="J333" t="str">
        <f t="shared" si="109"/>
        <v>Current</v>
      </c>
      <c r="K333" t="s">
        <v>21</v>
      </c>
      <c r="L333" s="4">
        <f t="shared" si="73"/>
        <v>10269293.131048599</v>
      </c>
      <c r="M333" s="4">
        <f t="shared" si="74"/>
        <v>5974797.3999999994</v>
      </c>
      <c r="N333" s="4">
        <f>Table3[[#This Row],[Natural Gas kWh]]+Table3[[#This Row],[Electricity kWh]]</f>
        <v>16244090.5310486</v>
      </c>
      <c r="O333" s="9">
        <f>Table3[[#This Row],[Total Energy kWh]]/$V$20</f>
        <v>149.70156874385037</v>
      </c>
      <c r="P333" s="9">
        <f t="shared" si="75"/>
        <v>52.030502198688225</v>
      </c>
      <c r="Q333" s="12">
        <f>((L333*Processed!$V$21)+(Table3[[#This Row],[Natural Gas kWh]]*Processed!$V$22))/Processed!$V$20</f>
        <v>26.55051214183672</v>
      </c>
      <c r="R333" s="10">
        <f>1-(O333/Processed!$V$23)</f>
        <v>0.30673955808903852</v>
      </c>
      <c r="S333" s="11">
        <f>1-(Processed!Q333/Processed!$V$24)</f>
        <v>0.31656024233057722</v>
      </c>
    </row>
    <row r="334" spans="2:19">
      <c r="B334" t="str">
        <f t="shared" ref="B334:J334" si="110">B118</f>
        <v>1BABAA</v>
      </c>
      <c r="C334">
        <f t="shared" si="110"/>
        <v>72</v>
      </c>
      <c r="D334">
        <f t="shared" si="110"/>
        <v>10</v>
      </c>
      <c r="E334">
        <f t="shared" si="110"/>
        <v>2.8</v>
      </c>
      <c r="F334" t="str">
        <f t="shared" si="110"/>
        <v>Improved</v>
      </c>
      <c r="G334" t="str">
        <f t="shared" si="110"/>
        <v>Current</v>
      </c>
      <c r="H334" t="str">
        <f t="shared" si="110"/>
        <v>None</v>
      </c>
      <c r="I334" t="str">
        <f t="shared" si="110"/>
        <v>Improved</v>
      </c>
      <c r="J334" t="str">
        <f t="shared" si="110"/>
        <v>Current</v>
      </c>
      <c r="K334" t="s">
        <v>21</v>
      </c>
      <c r="L334" s="4">
        <f t="shared" si="73"/>
        <v>10460985.115138164</v>
      </c>
      <c r="M334" s="4">
        <f t="shared" si="74"/>
        <v>9008871</v>
      </c>
      <c r="N334" s="4">
        <f>Table3[[#This Row],[Natural Gas kWh]]+Table3[[#This Row],[Electricity kWh]]</f>
        <v>19469856.115138166</v>
      </c>
      <c r="O334" s="9">
        <f>Table3[[#This Row],[Total Energy kWh]]/$V$20</f>
        <v>179.42943608213702</v>
      </c>
      <c r="P334" s="9">
        <f t="shared" si="75"/>
        <v>79.359143955033645</v>
      </c>
      <c r="Q334" s="12">
        <f>((L334*Processed!$V$21)+(Table3[[#This Row],[Natural Gas kWh]]*Processed!$V$22))/Processed!$V$20</f>
        <v>32.163475206484357</v>
      </c>
      <c r="R334" s="10">
        <f>1-(O334/Processed!$V$23)</f>
        <v>0.16907129835774137</v>
      </c>
      <c r="S334" s="11">
        <f>1-(Processed!Q334/Processed!$V$24)</f>
        <v>0.17207632065640854</v>
      </c>
    </row>
    <row r="335" spans="2:19">
      <c r="B335" t="str">
        <f t="shared" ref="B335:J335" si="111">B119</f>
        <v>1BABAB</v>
      </c>
      <c r="C335">
        <f t="shared" si="111"/>
        <v>72</v>
      </c>
      <c r="D335">
        <f t="shared" si="111"/>
        <v>10</v>
      </c>
      <c r="E335">
        <f t="shared" si="111"/>
        <v>2.8</v>
      </c>
      <c r="F335" t="str">
        <f t="shared" si="111"/>
        <v>Improved</v>
      </c>
      <c r="G335" t="str">
        <f t="shared" si="111"/>
        <v>Current</v>
      </c>
      <c r="H335">
        <f t="shared" si="111"/>
        <v>0.75</v>
      </c>
      <c r="I335" t="str">
        <f t="shared" si="111"/>
        <v>Improved</v>
      </c>
      <c r="J335" t="str">
        <f t="shared" si="111"/>
        <v>Current</v>
      </c>
      <c r="K335" t="s">
        <v>21</v>
      </c>
      <c r="L335" s="4">
        <f t="shared" si="73"/>
        <v>10797008.087248255</v>
      </c>
      <c r="M335" s="4">
        <f t="shared" si="74"/>
        <v>5473708.7999999998</v>
      </c>
      <c r="N335" s="4">
        <f>Table3[[#This Row],[Natural Gas kWh]]+Table3[[#This Row],[Electricity kWh]]</f>
        <v>16270716.887248255</v>
      </c>
      <c r="O335" s="9">
        <f>Table3[[#This Row],[Total Energy kWh]]/$V$20</f>
        <v>149.94695073586786</v>
      </c>
      <c r="P335" s="9">
        <f t="shared" si="75"/>
        <v>47.374859288822321</v>
      </c>
      <c r="Q335" s="12">
        <f>((L335*Processed!$V$21)+(Table3[[#This Row],[Natural Gas kWh]]*Processed!$V$22))/Processed!$V$20</f>
        <v>26.499868878761617</v>
      </c>
      <c r="R335" s="10">
        <f>1-(O335/Processed!$V$23)</f>
        <v>0.30560320641516858</v>
      </c>
      <c r="S335" s="11">
        <f>1-(Processed!Q335/Processed!$V$24)</f>
        <v>0.31786385633465886</v>
      </c>
    </row>
    <row r="336" spans="2:19">
      <c r="B336" t="str">
        <f t="shared" ref="B336:J336" si="112">B120</f>
        <v>1BABBA</v>
      </c>
      <c r="C336">
        <f t="shared" si="112"/>
        <v>72</v>
      </c>
      <c r="D336">
        <f t="shared" si="112"/>
        <v>10</v>
      </c>
      <c r="E336">
        <f t="shared" si="112"/>
        <v>2.8</v>
      </c>
      <c r="F336" t="str">
        <f t="shared" si="112"/>
        <v>Improved</v>
      </c>
      <c r="G336">
        <f t="shared" si="112"/>
        <v>0.25</v>
      </c>
      <c r="H336" t="str">
        <f t="shared" si="112"/>
        <v>None</v>
      </c>
      <c r="I336" t="str">
        <f t="shared" si="112"/>
        <v>Improved</v>
      </c>
      <c r="J336" t="str">
        <f t="shared" si="112"/>
        <v>Current</v>
      </c>
      <c r="K336" t="s">
        <v>21</v>
      </c>
      <c r="L336" s="4">
        <f t="shared" si="73"/>
        <v>9933507.1589188352</v>
      </c>
      <c r="M336" s="4">
        <f t="shared" si="74"/>
        <v>9279866.7000000011</v>
      </c>
      <c r="N336" s="4">
        <f>Table3[[#This Row],[Natural Gas kWh]]+Table3[[#This Row],[Electricity kWh]]</f>
        <v>19213373.858918838</v>
      </c>
      <c r="O336" s="9">
        <f>Table3[[#This Row],[Total Energy kWh]]/$V$20</f>
        <v>177.06575828573426</v>
      </c>
      <c r="P336" s="9">
        <f t="shared" si="75"/>
        <v>82.008229056493661</v>
      </c>
      <c r="Q336" s="12">
        <f>((L336*Processed!$V$21)+(Table3[[#This Row],[Natural Gas kWh]]*Processed!$V$22))/Processed!$V$20</f>
        <v>31.811598584048205</v>
      </c>
      <c r="R336" s="10">
        <f>1-(O336/Processed!$V$23)</f>
        <v>0.18001737145115781</v>
      </c>
      <c r="S336" s="11">
        <f>1-(Processed!Q336/Processed!$V$24)</f>
        <v>0.18113401688021713</v>
      </c>
    </row>
    <row r="337" spans="2:19">
      <c r="B337" t="str">
        <f t="shared" ref="B337:J337" si="113">B121</f>
        <v>1BABBB</v>
      </c>
      <c r="C337">
        <f t="shared" si="113"/>
        <v>72</v>
      </c>
      <c r="D337">
        <f t="shared" si="113"/>
        <v>10</v>
      </c>
      <c r="E337">
        <f t="shared" si="113"/>
        <v>2.8</v>
      </c>
      <c r="F337" t="str">
        <f t="shared" si="113"/>
        <v>Improved</v>
      </c>
      <c r="G337">
        <f t="shared" si="113"/>
        <v>0.25</v>
      </c>
      <c r="H337">
        <f t="shared" si="113"/>
        <v>0.75</v>
      </c>
      <c r="I337" t="str">
        <f t="shared" si="113"/>
        <v>Improved</v>
      </c>
      <c r="J337" t="str">
        <f t="shared" si="113"/>
        <v>Current</v>
      </c>
      <c r="K337" t="s">
        <v>21</v>
      </c>
      <c r="L337" s="4">
        <f t="shared" si="73"/>
        <v>10270059.130985022</v>
      </c>
      <c r="M337" s="4">
        <f t="shared" si="74"/>
        <v>5762548.2000000002</v>
      </c>
      <c r="N337" s="4">
        <f>Table3[[#This Row],[Natural Gas kWh]]+Table3[[#This Row],[Electricity kWh]]</f>
        <v>16032607.330985021</v>
      </c>
      <c r="O337" s="9">
        <f>Table3[[#This Row],[Total Energy kWh]]/$V$20</f>
        <v>147.75259125249903</v>
      </c>
      <c r="P337" s="9">
        <f t="shared" si="75"/>
        <v>50.018881484533821</v>
      </c>
      <c r="Q337" s="12">
        <f>((L337*Processed!$V$21)+(Table3[[#This Row],[Natural Gas kWh]]*Processed!$V$22))/Processed!$V$20</f>
        <v>26.180065233115453</v>
      </c>
      <c r="R337" s="10">
        <f>1-(O337/Processed!$V$23)</f>
        <v>0.3157651749096656</v>
      </c>
      <c r="S337" s="11">
        <f>1-(Processed!Q337/Processed!$V$24)</f>
        <v>0.32609595840917238</v>
      </c>
    </row>
    <row r="338" spans="2:19">
      <c r="B338" t="str">
        <f t="shared" ref="B338:J338" si="114">B122</f>
        <v>1BBAAA</v>
      </c>
      <c r="C338">
        <f t="shared" si="114"/>
        <v>72</v>
      </c>
      <c r="D338">
        <f t="shared" si="114"/>
        <v>10</v>
      </c>
      <c r="E338">
        <f t="shared" si="114"/>
        <v>4</v>
      </c>
      <c r="F338" t="str">
        <f t="shared" si="114"/>
        <v>Current</v>
      </c>
      <c r="G338" t="str">
        <f t="shared" si="114"/>
        <v>Current</v>
      </c>
      <c r="H338" t="str">
        <f t="shared" si="114"/>
        <v>None</v>
      </c>
      <c r="I338" t="str">
        <f t="shared" si="114"/>
        <v>Improved</v>
      </c>
      <c r="J338" t="str">
        <f t="shared" si="114"/>
        <v>Current</v>
      </c>
      <c r="K338" t="s">
        <v>21</v>
      </c>
      <c r="L338" s="4">
        <f t="shared" si="73"/>
        <v>10475214.113957159</v>
      </c>
      <c r="M338" s="4">
        <f t="shared" si="74"/>
        <v>8395651.2999999989</v>
      </c>
      <c r="N338" s="4">
        <f>Table3[[#This Row],[Natural Gas kWh]]+Table3[[#This Row],[Electricity kWh]]</f>
        <v>18870865.413957156</v>
      </c>
      <c r="O338" s="9">
        <f>Table3[[#This Row],[Total Energy kWh]]/$V$20</f>
        <v>173.90928415621767</v>
      </c>
      <c r="P338" s="9">
        <f t="shared" si="75"/>
        <v>73.331918024547377</v>
      </c>
      <c r="Q338" s="12">
        <f>((L338*Processed!$V$21)+(Table3[[#This Row],[Natural Gas kWh]]*Processed!$V$22))/Processed!$V$20</f>
        <v>31.112023721040565</v>
      </c>
      <c r="R338" s="10">
        <f>1-(O338/Processed!$V$23)</f>
        <v>0.19463484452288937</v>
      </c>
      <c r="S338" s="11">
        <f>1-(Processed!Q338/Processed!$V$24)</f>
        <v>0.19914185312425603</v>
      </c>
    </row>
    <row r="339" spans="2:19">
      <c r="B339" t="str">
        <f t="shared" ref="B339:J339" si="115">B123</f>
        <v>1BBAAB</v>
      </c>
      <c r="C339">
        <f t="shared" si="115"/>
        <v>72</v>
      </c>
      <c r="D339">
        <f t="shared" si="115"/>
        <v>10</v>
      </c>
      <c r="E339">
        <f t="shared" si="115"/>
        <v>4</v>
      </c>
      <c r="F339" t="str">
        <f t="shared" si="115"/>
        <v>Current</v>
      </c>
      <c r="G339" t="str">
        <f t="shared" si="115"/>
        <v>Current</v>
      </c>
      <c r="H339">
        <f t="shared" si="115"/>
        <v>0.75</v>
      </c>
      <c r="I339" t="str">
        <f t="shared" si="115"/>
        <v>Improved</v>
      </c>
      <c r="J339" t="str">
        <f t="shared" si="115"/>
        <v>Current</v>
      </c>
      <c r="K339" t="s">
        <v>21</v>
      </c>
      <c r="L339" s="4">
        <f t="shared" si="73"/>
        <v>10810966.08608974</v>
      </c>
      <c r="M339" s="4">
        <f t="shared" si="74"/>
        <v>4829636.2</v>
      </c>
      <c r="N339" s="4">
        <f>Table3[[#This Row],[Natural Gas kWh]]+Table3[[#This Row],[Electricity kWh]]</f>
        <v>15640602.286089741</v>
      </c>
      <c r="O339" s="9">
        <f>Table3[[#This Row],[Total Energy kWh]]/$V$20</f>
        <v>144.1399685535452</v>
      </c>
      <c r="P339" s="9">
        <f t="shared" si="75"/>
        <v>41.355612497795654</v>
      </c>
      <c r="Q339" s="12">
        <f>((L339*Processed!$V$21)+(Table3[[#This Row],[Natural Gas kWh]]*Processed!$V$22))/Processed!$V$20</f>
        <v>25.393969593992551</v>
      </c>
      <c r="R339" s="10">
        <f>1-(O339/Processed!$V$23)</f>
        <v>0.33249504908366068</v>
      </c>
      <c r="S339" s="11">
        <f>1-(Processed!Q339/Processed!$V$24)</f>
        <v>0.3463309358076152</v>
      </c>
    </row>
    <row r="340" spans="2:19">
      <c r="B340" t="str">
        <f t="shared" ref="B340:J340" si="116">B124</f>
        <v>1BBABA</v>
      </c>
      <c r="C340">
        <f t="shared" si="116"/>
        <v>72</v>
      </c>
      <c r="D340">
        <f t="shared" si="116"/>
        <v>10</v>
      </c>
      <c r="E340">
        <f t="shared" si="116"/>
        <v>4</v>
      </c>
      <c r="F340" t="str">
        <f t="shared" si="116"/>
        <v>Current</v>
      </c>
      <c r="G340">
        <f t="shared" si="116"/>
        <v>0.25</v>
      </c>
      <c r="H340" t="str">
        <f t="shared" si="116"/>
        <v>None</v>
      </c>
      <c r="I340" t="str">
        <f t="shared" si="116"/>
        <v>Improved</v>
      </c>
      <c r="J340" t="str">
        <f t="shared" si="116"/>
        <v>Current</v>
      </c>
      <c r="K340" t="s">
        <v>21</v>
      </c>
      <c r="L340" s="4">
        <f t="shared" si="73"/>
        <v>9943797.1580647677</v>
      </c>
      <c r="M340" s="4">
        <f t="shared" si="74"/>
        <v>8657974.2000000011</v>
      </c>
      <c r="N340" s="4">
        <f>Table3[[#This Row],[Natural Gas kWh]]+Table3[[#This Row],[Electricity kWh]]</f>
        <v>18601771.358064771</v>
      </c>
      <c r="O340" s="9">
        <f>Table3[[#This Row],[Total Energy kWh]]/$V$20</f>
        <v>171.4293790959905</v>
      </c>
      <c r="P340" s="9">
        <f t="shared" si="75"/>
        <v>75.845255146970629</v>
      </c>
      <c r="Q340" s="12">
        <f>((L340*Processed!$V$21)+(Table3[[#This Row],[Natural Gas kWh]]*Processed!$V$22))/Processed!$V$20</f>
        <v>30.738789935645933</v>
      </c>
      <c r="R340" s="10">
        <f>1-(O340/Processed!$V$23)</f>
        <v>0.20611916023431665</v>
      </c>
      <c r="S340" s="11">
        <f>1-(Processed!Q340/Processed!$V$24)</f>
        <v>0.20874930651278045</v>
      </c>
    </row>
    <row r="341" spans="2:19">
      <c r="B341" t="str">
        <f t="shared" ref="B341:J341" si="117">B125</f>
        <v>1BBABB</v>
      </c>
      <c r="C341">
        <f t="shared" si="117"/>
        <v>72</v>
      </c>
      <c r="D341">
        <f t="shared" si="117"/>
        <v>10</v>
      </c>
      <c r="E341">
        <f t="shared" si="117"/>
        <v>4</v>
      </c>
      <c r="F341" t="str">
        <f t="shared" si="117"/>
        <v>Current</v>
      </c>
      <c r="G341">
        <f t="shared" si="117"/>
        <v>0.25</v>
      </c>
      <c r="H341">
        <f t="shared" si="117"/>
        <v>0.75</v>
      </c>
      <c r="I341" t="str">
        <f t="shared" si="117"/>
        <v>Improved</v>
      </c>
      <c r="J341" t="str">
        <f t="shared" si="117"/>
        <v>Current</v>
      </c>
      <c r="K341" t="s">
        <v>21</v>
      </c>
      <c r="L341" s="4">
        <f t="shared" si="73"/>
        <v>10281655.130022554</v>
      </c>
      <c r="M341" s="4">
        <f t="shared" si="74"/>
        <v>5111033.3999999994</v>
      </c>
      <c r="N341" s="4">
        <f>Table3[[#This Row],[Natural Gas kWh]]+Table3[[#This Row],[Electricity kWh]]</f>
        <v>15392688.530022554</v>
      </c>
      <c r="O341" s="9">
        <f>Table3[[#This Row],[Total Energy kWh]]/$V$20</f>
        <v>141.85525596064866</v>
      </c>
      <c r="P341" s="9">
        <f t="shared" si="75"/>
        <v>43.861556427717915</v>
      </c>
      <c r="Q341" s="12">
        <f>((L341*Processed!$V$21)+(Table3[[#This Row],[Natural Gas kWh]]*Processed!$V$22))/Processed!$V$20</f>
        <v>25.057434209795886</v>
      </c>
      <c r="R341" s="10">
        <f>1-(O341/Processed!$V$23)</f>
        <v>0.34307543828787246</v>
      </c>
      <c r="S341" s="11">
        <f>1-(Processed!Q341/Processed!$V$24)</f>
        <v>0.35499373147023183</v>
      </c>
    </row>
    <row r="342" spans="2:19">
      <c r="B342" t="str">
        <f t="shared" ref="B342:J342" si="118">B126</f>
        <v>1BBBAA</v>
      </c>
      <c r="C342">
        <f t="shared" si="118"/>
        <v>72</v>
      </c>
      <c r="D342">
        <f t="shared" si="118"/>
        <v>10</v>
      </c>
      <c r="E342">
        <f t="shared" si="118"/>
        <v>4</v>
      </c>
      <c r="F342" t="str">
        <f t="shared" si="118"/>
        <v>Improved</v>
      </c>
      <c r="G342" t="str">
        <f t="shared" si="118"/>
        <v>Current</v>
      </c>
      <c r="H342" t="str">
        <f t="shared" si="118"/>
        <v>None</v>
      </c>
      <c r="I342" t="str">
        <f t="shared" si="118"/>
        <v>Improved</v>
      </c>
      <c r="J342" t="str">
        <f t="shared" si="118"/>
        <v>Current</v>
      </c>
      <c r="K342" t="s">
        <v>21</v>
      </c>
      <c r="L342" s="4">
        <f t="shared" si="73"/>
        <v>10477974.113728076</v>
      </c>
      <c r="M342" s="4">
        <f t="shared" si="74"/>
        <v>8192045.6000000006</v>
      </c>
      <c r="N342" s="4">
        <f>Table3[[#This Row],[Natural Gas kWh]]+Table3[[#This Row],[Electricity kWh]]</f>
        <v>18670019.713728078</v>
      </c>
      <c r="O342" s="9">
        <f>Table3[[#This Row],[Total Energy kWh]]/$V$20</f>
        <v>172.05833926384091</v>
      </c>
      <c r="P342" s="9">
        <f t="shared" si="75"/>
        <v>71.35973667111962</v>
      </c>
      <c r="Q342" s="12">
        <f>((L342*Processed!$V$21)+(Table3[[#This Row],[Natural Gas kWh]]*Processed!$V$22))/Processed!$V$20</f>
        <v>30.759835481820495</v>
      </c>
      <c r="R342" s="10">
        <f>1-(O342/Processed!$V$23)</f>
        <v>0.20320647730408992</v>
      </c>
      <c r="S342" s="11">
        <f>1-(Processed!Q342/Processed!$V$24)</f>
        <v>0.20820757071119866</v>
      </c>
    </row>
    <row r="343" spans="2:19">
      <c r="B343" t="str">
        <f t="shared" ref="B343:J343" si="119">B127</f>
        <v>1BBBAB</v>
      </c>
      <c r="C343">
        <f t="shared" si="119"/>
        <v>72</v>
      </c>
      <c r="D343">
        <f t="shared" si="119"/>
        <v>10</v>
      </c>
      <c r="E343">
        <f t="shared" si="119"/>
        <v>4</v>
      </c>
      <c r="F343" t="str">
        <f t="shared" si="119"/>
        <v>Improved</v>
      </c>
      <c r="G343" t="str">
        <f t="shared" si="119"/>
        <v>Current</v>
      </c>
      <c r="H343">
        <f t="shared" si="119"/>
        <v>0.75</v>
      </c>
      <c r="I343" t="str">
        <f t="shared" si="119"/>
        <v>Improved</v>
      </c>
      <c r="J343" t="str">
        <f t="shared" si="119"/>
        <v>Current</v>
      </c>
      <c r="K343" t="s">
        <v>21</v>
      </c>
      <c r="L343" s="4">
        <f t="shared" si="73"/>
        <v>10814378.085806545</v>
      </c>
      <c r="M343" s="4">
        <f t="shared" si="74"/>
        <v>4615570.3999999994</v>
      </c>
      <c r="N343" s="4">
        <f>Table3[[#This Row],[Natural Gas kWh]]+Table3[[#This Row],[Electricity kWh]]</f>
        <v>15429948.485806543</v>
      </c>
      <c r="O343" s="9">
        <f>Table3[[#This Row],[Total Energy kWh]]/$V$20</f>
        <v>142.19863460788832</v>
      </c>
      <c r="P343" s="9">
        <f t="shared" si="75"/>
        <v>39.387114239536402</v>
      </c>
      <c r="Q343" s="12">
        <f>((L343*Processed!$V$21)+(Table3[[#This Row],[Natural Gas kWh]]*Processed!$V$22))/Processed!$V$20</f>
        <v>25.024487261205845</v>
      </c>
      <c r="R343" s="10">
        <f>1-(O343/Processed!$V$23)</f>
        <v>0.34148526902828724</v>
      </c>
      <c r="S343" s="11">
        <f>1-(Processed!Q343/Processed!$V$24)</f>
        <v>0.35584182262719466</v>
      </c>
    </row>
    <row r="344" spans="2:19">
      <c r="B344" t="str">
        <f t="shared" ref="B344:J344" si="120">B128</f>
        <v>1BBBBA</v>
      </c>
      <c r="C344">
        <f t="shared" si="120"/>
        <v>72</v>
      </c>
      <c r="D344">
        <f t="shared" si="120"/>
        <v>10</v>
      </c>
      <c r="E344">
        <f t="shared" si="120"/>
        <v>4</v>
      </c>
      <c r="F344" t="str">
        <f t="shared" si="120"/>
        <v>Improved</v>
      </c>
      <c r="G344">
        <f t="shared" si="120"/>
        <v>0.25</v>
      </c>
      <c r="H344" t="str">
        <f t="shared" si="120"/>
        <v>None</v>
      </c>
      <c r="I344" t="str">
        <f t="shared" si="120"/>
        <v>Improved</v>
      </c>
      <c r="J344" t="str">
        <f t="shared" si="120"/>
        <v>Current</v>
      </c>
      <c r="K344" t="s">
        <v>21</v>
      </c>
      <c r="L344" s="4">
        <f t="shared" si="73"/>
        <v>9946765.1578184236</v>
      </c>
      <c r="M344" s="4">
        <f t="shared" si="74"/>
        <v>8450764.5999999996</v>
      </c>
      <c r="N344" s="4">
        <f>Table3[[#This Row],[Natural Gas kWh]]+Table3[[#This Row],[Electricity kWh]]</f>
        <v>18397529.757818423</v>
      </c>
      <c r="O344" s="9">
        <f>Table3[[#This Row],[Total Energy kWh]]/$V$20</f>
        <v>169.54713841891527</v>
      </c>
      <c r="P344" s="9">
        <f t="shared" si="75"/>
        <v>73.827334827956918</v>
      </c>
      <c r="Q344" s="12">
        <f>((L344*Processed!$V$21)+(Table3[[#This Row],[Natural Gas kWh]]*Processed!$V$22))/Processed!$V$20</f>
        <v>30.380617159792923</v>
      </c>
      <c r="R344" s="10">
        <f>1-(O344/Processed!$V$23)</f>
        <v>0.21483572222175118</v>
      </c>
      <c r="S344" s="11">
        <f>1-(Processed!Q344/Processed!$V$24)</f>
        <v>0.21796907273894828</v>
      </c>
    </row>
    <row r="345" spans="2:19">
      <c r="B345" t="str">
        <f t="shared" ref="B345:J345" si="121">B129</f>
        <v>1BBBBB</v>
      </c>
      <c r="C345">
        <f t="shared" si="121"/>
        <v>72</v>
      </c>
      <c r="D345">
        <f t="shared" si="121"/>
        <v>10</v>
      </c>
      <c r="E345">
        <f t="shared" si="121"/>
        <v>4</v>
      </c>
      <c r="F345" t="str">
        <f t="shared" si="121"/>
        <v>Improved</v>
      </c>
      <c r="G345">
        <f t="shared" si="121"/>
        <v>0.25</v>
      </c>
      <c r="H345">
        <f t="shared" si="121"/>
        <v>0.75</v>
      </c>
      <c r="I345" t="str">
        <f t="shared" si="121"/>
        <v>Improved</v>
      </c>
      <c r="J345" t="str">
        <f t="shared" si="121"/>
        <v>Current</v>
      </c>
      <c r="K345" t="s">
        <v>21</v>
      </c>
      <c r="L345" s="4">
        <f t="shared" si="73"/>
        <v>10284708.129769154</v>
      </c>
      <c r="M345" s="4">
        <f t="shared" si="74"/>
        <v>4895180.3</v>
      </c>
      <c r="N345" s="4">
        <f>Table3[[#This Row],[Natural Gas kWh]]+Table3[[#This Row],[Electricity kWh]]</f>
        <v>15179888.429769155</v>
      </c>
      <c r="O345" s="9">
        <f>Table3[[#This Row],[Total Energy kWh]]/$V$20</f>
        <v>139.8941422389606</v>
      </c>
      <c r="P345" s="9">
        <f t="shared" si="75"/>
        <v>41.846690053451688</v>
      </c>
      <c r="Q345" s="12">
        <f>((L345*Processed!$V$21)+(Table3[[#This Row],[Natural Gas kWh]]*Processed!$V$22))/Processed!$V$20</f>
        <v>24.684259888683169</v>
      </c>
      <c r="R345" s="10">
        <f>1-(O345/Processed!$V$23)</f>
        <v>0.35215725738130776</v>
      </c>
      <c r="S345" s="11">
        <f>1-(Processed!Q345/Processed!$V$24)</f>
        <v>0.36459965418190143</v>
      </c>
    </row>
    <row r="346" spans="2:19">
      <c r="B346" t="str">
        <f t="shared" ref="B346:J346" si="122">B130</f>
        <v>1BCAAA</v>
      </c>
      <c r="C346">
        <f t="shared" si="122"/>
        <v>72</v>
      </c>
      <c r="D346">
        <f t="shared" si="122"/>
        <v>10</v>
      </c>
      <c r="E346">
        <f t="shared" si="122"/>
        <v>5.5</v>
      </c>
      <c r="F346" t="str">
        <f t="shared" si="122"/>
        <v>Current</v>
      </c>
      <c r="G346" t="str">
        <f t="shared" si="122"/>
        <v>Current</v>
      </c>
      <c r="H346" t="str">
        <f t="shared" si="122"/>
        <v>None</v>
      </c>
      <c r="I346" t="str">
        <f t="shared" si="122"/>
        <v>Improved</v>
      </c>
      <c r="J346" t="str">
        <f t="shared" si="122"/>
        <v>Current</v>
      </c>
      <c r="K346" t="s">
        <v>21</v>
      </c>
      <c r="L346" s="4">
        <f t="shared" si="73"/>
        <v>10484864.113156207</v>
      </c>
      <c r="M346" s="4">
        <f t="shared" si="74"/>
        <v>7992981.3999999994</v>
      </c>
      <c r="N346" s="4">
        <f>Table3[[#This Row],[Natural Gas kWh]]+Table3[[#This Row],[Electricity kWh]]</f>
        <v>18477845.513156205</v>
      </c>
      <c r="O346" s="9">
        <f>Table3[[#This Row],[Total Energy kWh]]/$V$20</f>
        <v>170.28730879323891</v>
      </c>
      <c r="P346" s="9">
        <f t="shared" si="75"/>
        <v>69.386364522259825</v>
      </c>
      <c r="Q346" s="12">
        <f>((L346*Processed!$V$21)+(Table3[[#This Row],[Natural Gas kWh]]*Processed!$V$22))/Processed!$V$20</f>
        <v>30.422069761385895</v>
      </c>
      <c r="R346" s="10">
        <f>1-(O346/Processed!$V$23)</f>
        <v>0.21140803041398515</v>
      </c>
      <c r="S346" s="11">
        <f>1-(Processed!Q346/Processed!$V$24)</f>
        <v>0.21690203659907559</v>
      </c>
    </row>
    <row r="347" spans="2:19">
      <c r="B347" t="str">
        <f t="shared" ref="B347:J347" si="123">B131</f>
        <v>1BCAAB</v>
      </c>
      <c r="C347">
        <f t="shared" si="123"/>
        <v>72</v>
      </c>
      <c r="D347">
        <f t="shared" si="123"/>
        <v>10</v>
      </c>
      <c r="E347">
        <f t="shared" si="123"/>
        <v>5.5</v>
      </c>
      <c r="F347" t="str">
        <f t="shared" si="123"/>
        <v>Current</v>
      </c>
      <c r="G347" t="str">
        <f t="shared" si="123"/>
        <v>Current</v>
      </c>
      <c r="H347">
        <f t="shared" si="123"/>
        <v>0.75</v>
      </c>
      <c r="I347" t="str">
        <f t="shared" si="123"/>
        <v>Improved</v>
      </c>
      <c r="J347" t="str">
        <f t="shared" si="123"/>
        <v>Current</v>
      </c>
      <c r="K347" t="s">
        <v>21</v>
      </c>
      <c r="L347" s="4">
        <f t="shared" si="73"/>
        <v>10820808.085272856</v>
      </c>
      <c r="M347" s="4">
        <f t="shared" si="74"/>
        <v>4399570.8</v>
      </c>
      <c r="N347" s="4">
        <f>Table3[[#This Row],[Natural Gas kWh]]+Table3[[#This Row],[Electricity kWh]]</f>
        <v>15220378.885272857</v>
      </c>
      <c r="O347" s="9">
        <f>Table3[[#This Row],[Total Energy kWh]]/$V$20</f>
        <v>140.26729238217555</v>
      </c>
      <c r="P347" s="9">
        <f t="shared" si="75"/>
        <v>37.418227150115662</v>
      </c>
      <c r="Q347" s="12">
        <f>((L347*Processed!$V$21)+(Table3[[#This Row],[Natural Gas kWh]]*Processed!$V$22))/Processed!$V$20</f>
        <v>24.656347092244939</v>
      </c>
      <c r="R347" s="10">
        <f>1-(O347/Processed!$V$23)</f>
        <v>0.35042921781996572</v>
      </c>
      <c r="S347" s="11">
        <f>1-(Processed!Q347/Processed!$V$24)</f>
        <v>0.36531816065483524</v>
      </c>
    </row>
    <row r="348" spans="2:19">
      <c r="B348" t="str">
        <f t="shared" ref="B348:J348" si="124">B132</f>
        <v>1BCABA</v>
      </c>
      <c r="C348">
        <f t="shared" si="124"/>
        <v>72</v>
      </c>
      <c r="D348">
        <f t="shared" si="124"/>
        <v>10</v>
      </c>
      <c r="E348">
        <f t="shared" si="124"/>
        <v>5.5</v>
      </c>
      <c r="F348" t="str">
        <f t="shared" si="124"/>
        <v>Current</v>
      </c>
      <c r="G348">
        <f t="shared" si="124"/>
        <v>0.25</v>
      </c>
      <c r="H348" t="str">
        <f t="shared" si="124"/>
        <v>None</v>
      </c>
      <c r="I348" t="str">
        <f t="shared" si="124"/>
        <v>Improved</v>
      </c>
      <c r="J348" t="str">
        <f t="shared" si="124"/>
        <v>Current</v>
      </c>
      <c r="K348" t="s">
        <v>21</v>
      </c>
      <c r="L348" s="4">
        <f t="shared" si="73"/>
        <v>9952323.1573571097</v>
      </c>
      <c r="M348" s="4">
        <f t="shared" si="74"/>
        <v>8243437.7999999998</v>
      </c>
      <c r="N348" s="4">
        <f>Table3[[#This Row],[Natural Gas kWh]]+Table3[[#This Row],[Electricity kWh]]</f>
        <v>18195760.957357109</v>
      </c>
      <c r="O348" s="9">
        <f>Table3[[#This Row],[Total Energy kWh]]/$V$20</f>
        <v>167.68768646037745</v>
      </c>
      <c r="P348" s="9">
        <f t="shared" si="75"/>
        <v>71.789713730094661</v>
      </c>
      <c r="Q348" s="12">
        <f>((L348*Processed!$V$21)+(Table3[[#This Row],[Natural Gas kWh]]*Processed!$V$22))/Processed!$V$20</f>
        <v>30.026296864360091</v>
      </c>
      <c r="R348" s="10">
        <f>1-(O348/Processed!$V$23)</f>
        <v>0.22344675079883869</v>
      </c>
      <c r="S348" s="11">
        <f>1-(Processed!Q348/Processed!$V$24)</f>
        <v>0.22708967182774686</v>
      </c>
    </row>
    <row r="349" spans="2:19">
      <c r="B349" t="str">
        <f t="shared" ref="B349:J349" si="125">B133</f>
        <v>1BCABB</v>
      </c>
      <c r="C349">
        <f t="shared" si="125"/>
        <v>72</v>
      </c>
      <c r="D349">
        <f t="shared" si="125"/>
        <v>10</v>
      </c>
      <c r="E349">
        <f t="shared" si="125"/>
        <v>5.5</v>
      </c>
      <c r="F349" t="str">
        <f t="shared" si="125"/>
        <v>Current</v>
      </c>
      <c r="G349">
        <f t="shared" si="125"/>
        <v>0.25</v>
      </c>
      <c r="H349">
        <f t="shared" si="125"/>
        <v>0.75</v>
      </c>
      <c r="I349" t="str">
        <f t="shared" si="125"/>
        <v>Improved</v>
      </c>
      <c r="J349" t="str">
        <f t="shared" si="125"/>
        <v>Current</v>
      </c>
      <c r="K349" t="s">
        <v>21</v>
      </c>
      <c r="L349" s="4">
        <f t="shared" si="73"/>
        <v>10290420.129295059</v>
      </c>
      <c r="M349" s="4">
        <f t="shared" si="74"/>
        <v>4672441.7</v>
      </c>
      <c r="N349" s="4">
        <f>Table3[[#This Row],[Natural Gas kWh]]+Table3[[#This Row],[Electricity kWh]]</f>
        <v>14962861.829295058</v>
      </c>
      <c r="O349" s="9">
        <f>Table3[[#This Row],[Total Energy kWh]]/$V$20</f>
        <v>137.89407812407416</v>
      </c>
      <c r="P349" s="9">
        <f t="shared" si="75"/>
        <v>39.812263311589682</v>
      </c>
      <c r="Q349" s="12">
        <f>((L349*Processed!$V$21)+(Table3[[#This Row],[Natural Gas kWh]]*Processed!$V$22))/Processed!$V$20</f>
        <v>24.303194899019115</v>
      </c>
      <c r="R349" s="10">
        <f>1-(O349/Processed!$V$23)</f>
        <v>0.36141945378827356</v>
      </c>
      <c r="S349" s="11">
        <f>1-(Processed!Q349/Processed!$V$24)</f>
        <v>0.37440869149165346</v>
      </c>
    </row>
    <row r="350" spans="2:19">
      <c r="B350" t="str">
        <f t="shared" ref="B350:J350" si="126">B134</f>
        <v>1BCBAA</v>
      </c>
      <c r="C350">
        <f t="shared" si="126"/>
        <v>72</v>
      </c>
      <c r="D350">
        <f t="shared" si="126"/>
        <v>10</v>
      </c>
      <c r="E350">
        <f t="shared" si="126"/>
        <v>5.5</v>
      </c>
      <c r="F350" t="str">
        <f t="shared" si="126"/>
        <v>Improved</v>
      </c>
      <c r="G350" t="str">
        <f t="shared" si="126"/>
        <v>Current</v>
      </c>
      <c r="H350" t="str">
        <f t="shared" si="126"/>
        <v>None</v>
      </c>
      <c r="I350" t="str">
        <f t="shared" si="126"/>
        <v>Improved</v>
      </c>
      <c r="J350" t="str">
        <f t="shared" si="126"/>
        <v>Current</v>
      </c>
      <c r="K350" t="s">
        <v>21</v>
      </c>
      <c r="L350" s="4">
        <f t="shared" si="73"/>
        <v>10488462.112857571</v>
      </c>
      <c r="M350" s="4">
        <f t="shared" si="74"/>
        <v>7796642.1000000006</v>
      </c>
      <c r="N350" s="4">
        <f>Table3[[#This Row],[Natural Gas kWh]]+Table3[[#This Row],[Electricity kWh]]</f>
        <v>18285104.21285757</v>
      </c>
      <c r="O350" s="9">
        <f>Table3[[#This Row],[Total Energy kWh]]/$V$20</f>
        <v>168.51105207013796</v>
      </c>
      <c r="P350" s="9">
        <f t="shared" si="75"/>
        <v>67.436216934649494</v>
      </c>
      <c r="Q350" s="12">
        <f>((L350*Processed!$V$21)+(Table3[[#This Row],[Natural Gas kWh]]*Processed!$V$22))/Processed!$V$20</f>
        <v>30.083917818276721</v>
      </c>
      <c r="R350" s="10">
        <f>1-(O350/Processed!$V$23)</f>
        <v>0.21963378603656858</v>
      </c>
      <c r="S350" s="11">
        <f>1-(Processed!Q350/Processed!$V$24)</f>
        <v>0.22560644428881715</v>
      </c>
    </row>
    <row r="351" spans="2:19">
      <c r="B351" t="str">
        <f t="shared" ref="B351:J351" si="127">B135</f>
        <v>1BCBAB</v>
      </c>
      <c r="C351">
        <f t="shared" si="127"/>
        <v>72</v>
      </c>
      <c r="D351">
        <f t="shared" si="127"/>
        <v>10</v>
      </c>
      <c r="E351">
        <f t="shared" si="127"/>
        <v>5.5</v>
      </c>
      <c r="F351" t="str">
        <f t="shared" si="127"/>
        <v>Improved</v>
      </c>
      <c r="G351" t="str">
        <f t="shared" si="127"/>
        <v>Current</v>
      </c>
      <c r="H351">
        <f t="shared" si="127"/>
        <v>0.75</v>
      </c>
      <c r="I351" t="str">
        <f t="shared" si="127"/>
        <v>Improved</v>
      </c>
      <c r="J351" t="str">
        <f t="shared" si="127"/>
        <v>Current</v>
      </c>
      <c r="K351" t="s">
        <v>21</v>
      </c>
      <c r="L351" s="4">
        <f t="shared" si="73"/>
        <v>10824682.084951311</v>
      </c>
      <c r="M351" s="4">
        <f t="shared" si="74"/>
        <v>4189138.1999999997</v>
      </c>
      <c r="N351" s="4">
        <f>Table3[[#This Row],[Natural Gas kWh]]+Table3[[#This Row],[Electricity kWh]]</f>
        <v>15013820.284951311</v>
      </c>
      <c r="O351" s="9">
        <f>Table3[[#This Row],[Total Energy kWh]]/$V$20</f>
        <v>138.3636987986157</v>
      </c>
      <c r="P351" s="9">
        <f t="shared" si="75"/>
        <v>35.472875146830312</v>
      </c>
      <c r="Q351" s="12">
        <f>((L351*Processed!$V$21)+(Table3[[#This Row],[Natural Gas kWh]]*Processed!$V$22))/Processed!$V$20</f>
        <v>24.293950274681727</v>
      </c>
      <c r="R351" s="10">
        <f>1-(O351/Processed!$V$23)</f>
        <v>0.35924466404428446</v>
      </c>
      <c r="S351" s="11">
        <f>1-(Processed!Q351/Processed!$V$24)</f>
        <v>0.374646658419867</v>
      </c>
    </row>
    <row r="352" spans="2:19">
      <c r="B352" t="str">
        <f t="shared" ref="B352:J352" si="128">B136</f>
        <v>1BCBBA</v>
      </c>
      <c r="C352">
        <f t="shared" si="128"/>
        <v>72</v>
      </c>
      <c r="D352">
        <f t="shared" si="128"/>
        <v>10</v>
      </c>
      <c r="E352">
        <f t="shared" si="128"/>
        <v>5.5</v>
      </c>
      <c r="F352" t="str">
        <f t="shared" si="128"/>
        <v>Improved</v>
      </c>
      <c r="G352">
        <f t="shared" si="128"/>
        <v>0.25</v>
      </c>
      <c r="H352" t="str">
        <f t="shared" si="128"/>
        <v>None</v>
      </c>
      <c r="I352" t="str">
        <f t="shared" si="128"/>
        <v>Improved</v>
      </c>
      <c r="J352" t="str">
        <f t="shared" si="128"/>
        <v>Current</v>
      </c>
      <c r="K352" t="s">
        <v>21</v>
      </c>
      <c r="L352" s="4">
        <f t="shared" si="73"/>
        <v>9955589.1570860296</v>
      </c>
      <c r="M352" s="4">
        <f t="shared" si="74"/>
        <v>8037927.6000000006</v>
      </c>
      <c r="N352" s="4">
        <f>Table3[[#This Row],[Natural Gas kWh]]+Table3[[#This Row],[Electricity kWh]]</f>
        <v>17993516.757086031</v>
      </c>
      <c r="O352" s="9">
        <f>Table3[[#This Row],[Total Energy kWh]]/$V$20</f>
        <v>165.82385333336697</v>
      </c>
      <c r="P352" s="9">
        <f t="shared" si="75"/>
        <v>69.779804953137344</v>
      </c>
      <c r="Q352" s="12">
        <f>((L352*Processed!$V$21)+(Table3[[#This Row],[Natural Gas kWh]]*Processed!$V$22))/Processed!$V$20</f>
        <v>29.671566597120393</v>
      </c>
      <c r="R352" s="10">
        <f>1-(O352/Processed!$V$23)</f>
        <v>0.23207806834695655</v>
      </c>
      <c r="S352" s="11">
        <f>1-(Processed!Q352/Processed!$V$24)</f>
        <v>0.23622082404752998</v>
      </c>
    </row>
    <row r="353" spans="2:19">
      <c r="B353" t="str">
        <f t="shared" ref="B353:J353" si="129">B137</f>
        <v>1BCBBB</v>
      </c>
      <c r="C353">
        <f t="shared" si="129"/>
        <v>72</v>
      </c>
      <c r="D353">
        <f t="shared" si="129"/>
        <v>10</v>
      </c>
      <c r="E353">
        <f t="shared" si="129"/>
        <v>5.5</v>
      </c>
      <c r="F353" t="str">
        <f t="shared" si="129"/>
        <v>Improved</v>
      </c>
      <c r="G353">
        <f t="shared" si="129"/>
        <v>0.25</v>
      </c>
      <c r="H353">
        <f t="shared" si="129"/>
        <v>0.75</v>
      </c>
      <c r="I353" t="str">
        <f t="shared" si="129"/>
        <v>Improved</v>
      </c>
      <c r="J353" t="str">
        <f t="shared" si="129"/>
        <v>Current</v>
      </c>
      <c r="K353" t="s">
        <v>21</v>
      </c>
      <c r="L353" s="4">
        <f t="shared" si="73"/>
        <v>10294016.12899659</v>
      </c>
      <c r="M353" s="4">
        <f t="shared" si="74"/>
        <v>4453307</v>
      </c>
      <c r="N353" s="4">
        <f>Table3[[#This Row],[Natural Gas kWh]]+Table3[[#This Row],[Electricity kWh]]</f>
        <v>14747323.12899659</v>
      </c>
      <c r="O353" s="9">
        <f>Table3[[#This Row],[Total Energy kWh]]/$V$20</f>
        <v>135.90772613360613</v>
      </c>
      <c r="P353" s="9">
        <f t="shared" si="75"/>
        <v>37.805627196908191</v>
      </c>
      <c r="Q353" s="12">
        <f>((L353*Processed!$V$21)+(Table3[[#This Row],[Natural Gas kWh]]*Processed!$V$22))/Processed!$V$20</f>
        <v>23.925125223740384</v>
      </c>
      <c r="R353" s="10">
        <f>1-(O353/Processed!$V$23)</f>
        <v>0.37061815003613197</v>
      </c>
      <c r="S353" s="11">
        <f>1-(Processed!Q353/Processed!$V$24)</f>
        <v>0.3841406260725877</v>
      </c>
    </row>
    <row r="354" spans="2:19">
      <c r="B354" t="str">
        <f t="shared" ref="B354:J354" si="130">B138</f>
        <v>1CAAAA</v>
      </c>
      <c r="C354">
        <f t="shared" si="130"/>
        <v>72</v>
      </c>
      <c r="D354">
        <f t="shared" si="130"/>
        <v>15</v>
      </c>
      <c r="E354">
        <f t="shared" si="130"/>
        <v>2.8</v>
      </c>
      <c r="F354" t="str">
        <f t="shared" si="130"/>
        <v>Current</v>
      </c>
      <c r="G354" t="str">
        <f t="shared" si="130"/>
        <v>Current</v>
      </c>
      <c r="H354" t="str">
        <f t="shared" si="130"/>
        <v>None</v>
      </c>
      <c r="I354" t="str">
        <f t="shared" si="130"/>
        <v>Improved</v>
      </c>
      <c r="J354" t="str">
        <f t="shared" si="130"/>
        <v>Current</v>
      </c>
      <c r="K354" t="s">
        <v>21</v>
      </c>
      <c r="L354" s="4">
        <f t="shared" si="73"/>
        <v>10459793.115237096</v>
      </c>
      <c r="M354" s="4">
        <f t="shared" si="74"/>
        <v>9013881.2999999989</v>
      </c>
      <c r="N354" s="4">
        <f>Table3[[#This Row],[Natural Gas kWh]]+Table3[[#This Row],[Electricity kWh]]</f>
        <v>19473674.415237095</v>
      </c>
      <c r="O354" s="9">
        <f>Table3[[#This Row],[Total Energy kWh]]/$V$20</f>
        <v>179.46462460276561</v>
      </c>
      <c r="P354" s="9">
        <f t="shared" si="75"/>
        <v>79.398939744325006</v>
      </c>
      <c r="Q354" s="12">
        <f>((L354*Processed!$V$21)+(Table3[[#This Row],[Natural Gas kWh]]*Processed!$V$22))/Processed!$V$20</f>
        <v>32.170380728999746</v>
      </c>
      <c r="R354" s="10">
        <f>1-(O354/Processed!$V$23)</f>
        <v>0.16890834208703642</v>
      </c>
      <c r="S354" s="11">
        <f>1-(Processed!Q354/Processed!$V$24)</f>
        <v>0.17189856481466481</v>
      </c>
    </row>
    <row r="355" spans="2:19">
      <c r="B355" t="str">
        <f t="shared" ref="B355:J355" si="131">B139</f>
        <v>1CAAAB</v>
      </c>
      <c r="C355">
        <f t="shared" si="131"/>
        <v>72</v>
      </c>
      <c r="D355">
        <f t="shared" si="131"/>
        <v>15</v>
      </c>
      <c r="E355">
        <f t="shared" si="131"/>
        <v>2.8</v>
      </c>
      <c r="F355" t="str">
        <f t="shared" si="131"/>
        <v>Current</v>
      </c>
      <c r="G355" t="str">
        <f t="shared" si="131"/>
        <v>Current</v>
      </c>
      <c r="H355">
        <f t="shared" si="131"/>
        <v>0.75</v>
      </c>
      <c r="I355" t="str">
        <f t="shared" si="131"/>
        <v>Improved</v>
      </c>
      <c r="J355" t="str">
        <f t="shared" si="131"/>
        <v>Current</v>
      </c>
      <c r="K355" t="s">
        <v>21</v>
      </c>
      <c r="L355" s="4">
        <f t="shared" si="73"/>
        <v>10795452.087377403</v>
      </c>
      <c r="M355" s="4">
        <f t="shared" si="74"/>
        <v>5477664.2999999998</v>
      </c>
      <c r="N355" s="4">
        <f>Table3[[#This Row],[Natural Gas kWh]]+Table3[[#This Row],[Electricity kWh]]</f>
        <v>16273116.387377404</v>
      </c>
      <c r="O355" s="9">
        <f>Table3[[#This Row],[Total Energy kWh]]/$V$20</f>
        <v>149.96906394268899</v>
      </c>
      <c r="P355" s="9">
        <f t="shared" si="75"/>
        <v>47.414144737214208</v>
      </c>
      <c r="Q355" s="12">
        <f>((L355*Processed!$V$21)+(Table3[[#This Row],[Natural Gas kWh]]*Processed!$V$22))/Processed!$V$20</f>
        <v>26.504357182348993</v>
      </c>
      <c r="R355" s="10">
        <f>1-(O355/Processed!$V$23)</f>
        <v>0.30550080126563328</v>
      </c>
      <c r="S355" s="11">
        <f>1-(Processed!Q355/Processed!$V$24)</f>
        <v>0.31774832240070994</v>
      </c>
    </row>
    <row r="356" spans="2:19">
      <c r="B356" t="str">
        <f t="shared" ref="B356:J356" si="132">B140</f>
        <v>1CAABA</v>
      </c>
      <c r="C356">
        <f t="shared" si="132"/>
        <v>72</v>
      </c>
      <c r="D356">
        <f t="shared" si="132"/>
        <v>15</v>
      </c>
      <c r="E356">
        <f t="shared" si="132"/>
        <v>2.8</v>
      </c>
      <c r="F356" t="str">
        <f t="shared" si="132"/>
        <v>Current</v>
      </c>
      <c r="G356">
        <f t="shared" si="132"/>
        <v>0.25</v>
      </c>
      <c r="H356" t="str">
        <f t="shared" si="132"/>
        <v>None</v>
      </c>
      <c r="I356" t="str">
        <f t="shared" si="132"/>
        <v>Improved</v>
      </c>
      <c r="J356" t="str">
        <f t="shared" si="132"/>
        <v>Current</v>
      </c>
      <c r="K356" t="s">
        <v>21</v>
      </c>
      <c r="L356" s="4">
        <f t="shared" si="73"/>
        <v>9932920.1589675564</v>
      </c>
      <c r="M356" s="4">
        <f t="shared" si="74"/>
        <v>9286224.7999999989</v>
      </c>
      <c r="N356" s="4">
        <f>Table3[[#This Row],[Natural Gas kWh]]+Table3[[#This Row],[Electricity kWh]]</f>
        <v>19219144.958967555</v>
      </c>
      <c r="O356" s="9">
        <f>Table3[[#This Row],[Total Energy kWh]]/$V$20</f>
        <v>177.11894333349176</v>
      </c>
      <c r="P356" s="9">
        <f t="shared" si="75"/>
        <v>82.05377090628248</v>
      </c>
      <c r="Q356" s="12">
        <f>((L356*Processed!$V$21)+(Table3[[#This Row],[Natural Gas kWh]]*Processed!$V$22))/Processed!$V$20</f>
        <v>31.821811936084227</v>
      </c>
      <c r="R356" s="10">
        <f>1-(O356/Processed!$V$23)</f>
        <v>0.17977107416769711</v>
      </c>
      <c r="S356" s="11">
        <f>1-(Processed!Q356/Processed!$V$24)</f>
        <v>0.18087111382195586</v>
      </c>
    </row>
    <row r="357" spans="2:19">
      <c r="B357" t="str">
        <f t="shared" ref="B357:J357" si="133">B141</f>
        <v>1CAABB</v>
      </c>
      <c r="C357">
        <f t="shared" si="133"/>
        <v>72</v>
      </c>
      <c r="D357">
        <f t="shared" si="133"/>
        <v>15</v>
      </c>
      <c r="E357">
        <f t="shared" si="133"/>
        <v>2.8</v>
      </c>
      <c r="F357" t="str">
        <f t="shared" si="133"/>
        <v>Current</v>
      </c>
      <c r="G357">
        <f t="shared" si="133"/>
        <v>0.25</v>
      </c>
      <c r="H357">
        <f t="shared" si="133"/>
        <v>0.75</v>
      </c>
      <c r="I357" t="str">
        <f t="shared" si="133"/>
        <v>Improved</v>
      </c>
      <c r="J357" t="str">
        <f t="shared" si="133"/>
        <v>Current</v>
      </c>
      <c r="K357" t="s">
        <v>21</v>
      </c>
      <c r="L357" s="4">
        <f t="shared" si="73"/>
        <v>10269094.131065113</v>
      </c>
      <c r="M357" s="4">
        <f t="shared" si="74"/>
        <v>5769170</v>
      </c>
      <c r="N357" s="4">
        <f>Table3[[#This Row],[Natural Gas kWh]]+Table3[[#This Row],[Electricity kWh]]</f>
        <v>16038264.131065113</v>
      </c>
      <c r="O357" s="9">
        <f>Table3[[#This Row],[Total Energy kWh]]/$V$20</f>
        <v>147.8047229396773</v>
      </c>
      <c r="P357" s="9">
        <f t="shared" si="75"/>
        <v>50.064220818092707</v>
      </c>
      <c r="Q357" s="12">
        <f>((L357*Processed!$V$21)+(Table3[[#This Row],[Natural Gas kWh]]*Processed!$V$22))/Processed!$V$20</f>
        <v>26.190148117748194</v>
      </c>
      <c r="R357" s="10">
        <f>1-(O357/Processed!$V$23)</f>
        <v>0.31552375568611279</v>
      </c>
      <c r="S357" s="11">
        <f>1-(Processed!Q357/Processed!$V$24)</f>
        <v>0.32583641372720185</v>
      </c>
    </row>
    <row r="358" spans="2:19">
      <c r="B358" t="str">
        <f t="shared" ref="B358:J358" si="134">B142</f>
        <v>1CABAA</v>
      </c>
      <c r="C358">
        <f t="shared" si="134"/>
        <v>72</v>
      </c>
      <c r="D358">
        <f t="shared" si="134"/>
        <v>15</v>
      </c>
      <c r="E358">
        <f t="shared" si="134"/>
        <v>2.8</v>
      </c>
      <c r="F358" t="str">
        <f t="shared" si="134"/>
        <v>Improved</v>
      </c>
      <c r="G358" t="str">
        <f t="shared" si="134"/>
        <v>Current</v>
      </c>
      <c r="H358" t="str">
        <f t="shared" si="134"/>
        <v>None</v>
      </c>
      <c r="I358" t="str">
        <f t="shared" si="134"/>
        <v>Improved</v>
      </c>
      <c r="J358" t="str">
        <f t="shared" si="134"/>
        <v>Current</v>
      </c>
      <c r="K358" t="s">
        <v>21</v>
      </c>
      <c r="L358" s="4">
        <f t="shared" si="73"/>
        <v>10461362.115106871</v>
      </c>
      <c r="M358" s="4">
        <f t="shared" si="74"/>
        <v>8813586.5</v>
      </c>
      <c r="N358" s="4">
        <f>Table3[[#This Row],[Natural Gas kWh]]+Table3[[#This Row],[Electricity kWh]]</f>
        <v>19274948.615106873</v>
      </c>
      <c r="O358" s="9">
        <f>Table3[[#This Row],[Total Energy kWh]]/$V$20</f>
        <v>177.63321619165706</v>
      </c>
      <c r="P358" s="9">
        <f t="shared" si="75"/>
        <v>77.413089895484518</v>
      </c>
      <c r="Q358" s="12">
        <f>((L358*Processed!$V$21)+(Table3[[#This Row],[Natural Gas kWh]]*Processed!$V$22))/Processed!$V$20</f>
        <v>31.822123940501495</v>
      </c>
      <c r="R358" s="10">
        <f>1-(O358/Processed!$V$23)</f>
        <v>0.17738950240524931</v>
      </c>
      <c r="S358" s="11">
        <f>1-(Processed!Q358/Processed!$V$24)</f>
        <v>0.18086308248070748</v>
      </c>
    </row>
    <row r="359" spans="2:19">
      <c r="B359" t="str">
        <f t="shared" ref="B359:J359" si="135">B143</f>
        <v>1CABAB</v>
      </c>
      <c r="C359">
        <f t="shared" si="135"/>
        <v>72</v>
      </c>
      <c r="D359">
        <f t="shared" si="135"/>
        <v>15</v>
      </c>
      <c r="E359">
        <f t="shared" si="135"/>
        <v>2.8</v>
      </c>
      <c r="F359" t="str">
        <f t="shared" si="135"/>
        <v>Improved</v>
      </c>
      <c r="G359" t="str">
        <f t="shared" si="135"/>
        <v>Current</v>
      </c>
      <c r="H359">
        <f t="shared" si="135"/>
        <v>0.75</v>
      </c>
      <c r="I359" t="str">
        <f t="shared" si="135"/>
        <v>Improved</v>
      </c>
      <c r="J359" t="str">
        <f t="shared" si="135"/>
        <v>Current</v>
      </c>
      <c r="K359" t="s">
        <v>21</v>
      </c>
      <c r="L359" s="4">
        <f t="shared" si="73"/>
        <v>10797347.087220117</v>
      </c>
      <c r="M359" s="4">
        <f t="shared" si="74"/>
        <v>5265122.1000000006</v>
      </c>
      <c r="N359" s="4">
        <f>Table3[[#This Row],[Natural Gas kWh]]+Table3[[#This Row],[Electricity kWh]]</f>
        <v>16062469.187220119</v>
      </c>
      <c r="O359" s="9">
        <f>Table3[[#This Row],[Total Energy kWh]]/$V$20</f>
        <v>148.02779082217964</v>
      </c>
      <c r="P359" s="9">
        <f t="shared" si="75"/>
        <v>45.430638676208225</v>
      </c>
      <c r="Q359" s="12">
        <f>((L359*Processed!$V$21)+(Table3[[#This Row],[Natural Gas kWh]]*Processed!$V$22))/Processed!$V$20</f>
        <v>26.135166012342882</v>
      </c>
      <c r="R359" s="10">
        <f>1-(O359/Processed!$V$23)</f>
        <v>0.31449073953205819</v>
      </c>
      <c r="S359" s="11">
        <f>1-(Processed!Q359/Processed!$V$24)</f>
        <v>0.32725171436598499</v>
      </c>
    </row>
    <row r="360" spans="2:19">
      <c r="B360" t="str">
        <f t="shared" ref="B360:J360" si="136">B144</f>
        <v>1CABBA</v>
      </c>
      <c r="C360">
        <f t="shared" si="136"/>
        <v>72</v>
      </c>
      <c r="D360">
        <f t="shared" si="136"/>
        <v>15</v>
      </c>
      <c r="E360">
        <f t="shared" si="136"/>
        <v>2.8</v>
      </c>
      <c r="F360" t="str">
        <f t="shared" si="136"/>
        <v>Improved</v>
      </c>
      <c r="G360">
        <f t="shared" si="136"/>
        <v>0.25</v>
      </c>
      <c r="H360" t="str">
        <f t="shared" si="136"/>
        <v>None</v>
      </c>
      <c r="I360" t="str">
        <f t="shared" si="136"/>
        <v>Improved</v>
      </c>
      <c r="J360" t="str">
        <f t="shared" si="136"/>
        <v>Current</v>
      </c>
      <c r="K360" t="s">
        <v>21</v>
      </c>
      <c r="L360" s="4">
        <f t="shared" si="73"/>
        <v>9933481.1589209959</v>
      </c>
      <c r="M360" s="4">
        <f t="shared" si="74"/>
        <v>9082414</v>
      </c>
      <c r="N360" s="4">
        <f>Table3[[#This Row],[Natural Gas kWh]]+Table3[[#This Row],[Electricity kWh]]</f>
        <v>19015895.158920996</v>
      </c>
      <c r="O360" s="9">
        <f>Table3[[#This Row],[Total Energy kWh]]/$V$20</f>
        <v>175.2458428446902</v>
      </c>
      <c r="P360" s="9">
        <f t="shared" si="75"/>
        <v>80.033690414149405</v>
      </c>
      <c r="Q360" s="12">
        <f>((L360*Processed!$V$21)+(Table3[[#This Row],[Natural Gas kWh]]*Processed!$V$22))/Processed!$V$20</f>
        <v>31.465819442442363</v>
      </c>
      <c r="R360" s="10">
        <f>1-(O360/Processed!$V$23)</f>
        <v>0.18844530840255747</v>
      </c>
      <c r="S360" s="11">
        <f>1-(Processed!Q360/Processed!$V$24)</f>
        <v>0.19003475715534945</v>
      </c>
    </row>
    <row r="361" spans="2:19">
      <c r="B361" t="str">
        <f t="shared" ref="B361:J361" si="137">B145</f>
        <v>1CABBB</v>
      </c>
      <c r="C361">
        <f t="shared" si="137"/>
        <v>72</v>
      </c>
      <c r="D361">
        <f t="shared" si="137"/>
        <v>15</v>
      </c>
      <c r="E361">
        <f t="shared" si="137"/>
        <v>2.8</v>
      </c>
      <c r="F361" t="str">
        <f t="shared" si="137"/>
        <v>Improved</v>
      </c>
      <c r="G361">
        <f t="shared" si="137"/>
        <v>0.25</v>
      </c>
      <c r="H361">
        <f t="shared" si="137"/>
        <v>0.75</v>
      </c>
      <c r="I361" t="str">
        <f t="shared" si="137"/>
        <v>Improved</v>
      </c>
      <c r="J361" t="str">
        <f t="shared" si="137"/>
        <v>Current</v>
      </c>
      <c r="K361" t="s">
        <v>21</v>
      </c>
      <c r="L361" s="4">
        <f t="shared" si="73"/>
        <v>10270291.130965766</v>
      </c>
      <c r="M361" s="4">
        <f t="shared" si="74"/>
        <v>5556715.7000000002</v>
      </c>
      <c r="N361" s="4">
        <f>Table3[[#This Row],[Natural Gas kWh]]+Table3[[#This Row],[Electricity kWh]]</f>
        <v>15827006.830965765</v>
      </c>
      <c r="O361" s="9">
        <f>Table3[[#This Row],[Total Energy kWh]]/$V$20</f>
        <v>145.8578272871928</v>
      </c>
      <c r="P361" s="9">
        <f t="shared" si="75"/>
        <v>48.045503935241229</v>
      </c>
      <c r="Q361" s="12">
        <f>((L361*Processed!$V$21)+(Table3[[#This Row],[Natural Gas kWh]]*Processed!$V$22))/Processed!$V$20</f>
        <v>25.820017318604705</v>
      </c>
      <c r="R361" s="10">
        <f>1-(O361/Processed!$V$23)</f>
        <v>0.32453973161556593</v>
      </c>
      <c r="S361" s="11">
        <f>1-(Processed!Q361/Processed!$V$24)</f>
        <v>0.33536399279314433</v>
      </c>
    </row>
    <row r="362" spans="2:19">
      <c r="B362" t="str">
        <f t="shared" ref="B362:J362" si="138">B146</f>
        <v>1CBAAA</v>
      </c>
      <c r="C362">
        <f t="shared" si="138"/>
        <v>72</v>
      </c>
      <c r="D362">
        <f t="shared" si="138"/>
        <v>15</v>
      </c>
      <c r="E362">
        <f t="shared" si="138"/>
        <v>4</v>
      </c>
      <c r="F362" t="str">
        <f t="shared" si="138"/>
        <v>Current</v>
      </c>
      <c r="G362" t="str">
        <f t="shared" si="138"/>
        <v>Current</v>
      </c>
      <c r="H362" t="str">
        <f t="shared" si="138"/>
        <v>None</v>
      </c>
      <c r="I362" t="str">
        <f t="shared" si="138"/>
        <v>Improved</v>
      </c>
      <c r="J362" t="str">
        <f t="shared" si="138"/>
        <v>Current</v>
      </c>
      <c r="K362" t="s">
        <v>21</v>
      </c>
      <c r="L362" s="4">
        <f t="shared" si="73"/>
        <v>10475472.113935743</v>
      </c>
      <c r="M362" s="4">
        <f t="shared" si="74"/>
        <v>8196938.7000000002</v>
      </c>
      <c r="N362" s="4">
        <f>Table3[[#This Row],[Natural Gas kWh]]+Table3[[#This Row],[Electricity kWh]]</f>
        <v>18672410.813935742</v>
      </c>
      <c r="O362" s="9">
        <f>Table3[[#This Row],[Total Energy kWh]]/$V$20</f>
        <v>172.08037505903835</v>
      </c>
      <c r="P362" s="9">
        <f t="shared" si="75"/>
        <v>71.407608807660949</v>
      </c>
      <c r="Q362" s="12">
        <f>((L362*Processed!$V$21)+(Table3[[#This Row],[Natural Gas kWh]]*Processed!$V$22))/Processed!$V$20</f>
        <v>30.764483439281396</v>
      </c>
      <c r="R362" s="10">
        <f>1-(O362/Processed!$V$23)</f>
        <v>0.20310443064389383</v>
      </c>
      <c r="S362" s="11">
        <f>1-(Processed!Q362/Processed!$V$24)</f>
        <v>0.20808792710870372</v>
      </c>
    </row>
    <row r="363" spans="2:19">
      <c r="B363" t="str">
        <f t="shared" ref="B363:J363" si="139">B147</f>
        <v>1CBAAB</v>
      </c>
      <c r="C363">
        <f t="shared" si="139"/>
        <v>72</v>
      </c>
      <c r="D363">
        <f t="shared" si="139"/>
        <v>15</v>
      </c>
      <c r="E363">
        <f t="shared" si="139"/>
        <v>4</v>
      </c>
      <c r="F363" t="str">
        <f t="shared" si="139"/>
        <v>Current</v>
      </c>
      <c r="G363" t="str">
        <f t="shared" si="139"/>
        <v>Current</v>
      </c>
      <c r="H363">
        <f t="shared" si="139"/>
        <v>0.75</v>
      </c>
      <c r="I363" t="str">
        <f t="shared" si="139"/>
        <v>Improved</v>
      </c>
      <c r="J363" t="str">
        <f t="shared" si="139"/>
        <v>Current</v>
      </c>
      <c r="K363" t="s">
        <v>21</v>
      </c>
      <c r="L363" s="4">
        <f t="shared" ref="L363:L426" si="140">L147-200000</f>
        <v>10811607.086036537</v>
      </c>
      <c r="M363" s="4">
        <f t="shared" ref="M363:M426" si="141">M147</f>
        <v>4619467.3</v>
      </c>
      <c r="N363" s="4">
        <f>Table3[[#This Row],[Natural Gas kWh]]+Table3[[#This Row],[Electricity kWh]]</f>
        <v>15431074.386036538</v>
      </c>
      <c r="O363" s="9">
        <f>Table3[[#This Row],[Total Energy kWh]]/$V$20</f>
        <v>142.20901062927018</v>
      </c>
      <c r="P363" s="9">
        <f t="shared" ref="P363:P426" si="142">P147</f>
        <v>39.434162810075982</v>
      </c>
      <c r="Q363" s="12">
        <f>((L363*Processed!$V$21)+(Table3[[#This Row],[Natural Gas kWh]]*Processed!$V$22))/Processed!$V$20</f>
        <v>25.026969442402947</v>
      </c>
      <c r="R363" s="10">
        <f>1-(O363/Processed!$V$23)</f>
        <v>0.3414372181946933</v>
      </c>
      <c r="S363" s="11">
        <f>1-(Processed!Q363/Processed!$V$24)</f>
        <v>0.35577792851823065</v>
      </c>
    </row>
    <row r="364" spans="2:19">
      <c r="B364" t="str">
        <f t="shared" ref="B364:J364" si="143">B148</f>
        <v>1CBABA</v>
      </c>
      <c r="C364">
        <f t="shared" si="143"/>
        <v>72</v>
      </c>
      <c r="D364">
        <f t="shared" si="143"/>
        <v>15</v>
      </c>
      <c r="E364">
        <f t="shared" si="143"/>
        <v>4</v>
      </c>
      <c r="F364" t="str">
        <f t="shared" si="143"/>
        <v>Current</v>
      </c>
      <c r="G364">
        <f t="shared" si="143"/>
        <v>0.25</v>
      </c>
      <c r="H364" t="str">
        <f t="shared" si="143"/>
        <v>None</v>
      </c>
      <c r="I364" t="str">
        <f t="shared" si="143"/>
        <v>Improved</v>
      </c>
      <c r="J364" t="str">
        <f t="shared" si="143"/>
        <v>Current</v>
      </c>
      <c r="K364" t="s">
        <v>21</v>
      </c>
      <c r="L364" s="4">
        <f t="shared" si="140"/>
        <v>9944369.1580172889</v>
      </c>
      <c r="M364" s="4">
        <f t="shared" si="141"/>
        <v>8457679.4000000004</v>
      </c>
      <c r="N364" s="4">
        <f>Table3[[#This Row],[Natural Gas kWh]]+Table3[[#This Row],[Electricity kWh]]</f>
        <v>18402048.558017291</v>
      </c>
      <c r="O364" s="9">
        <f>Table3[[#This Row],[Total Energy kWh]]/$V$20</f>
        <v>169.58878257728273</v>
      </c>
      <c r="P364" s="9">
        <f t="shared" si="142"/>
        <v>73.879835135406466</v>
      </c>
      <c r="Q364" s="12">
        <f>((L364*Processed!$V$21)+(Table3[[#This Row],[Natural Gas kWh]]*Processed!$V$22))/Processed!$V$20</f>
        <v>30.388971168855814</v>
      </c>
      <c r="R364" s="10">
        <f>1-(O364/Processed!$V$23)</f>
        <v>0.21464287021709227</v>
      </c>
      <c r="S364" s="11">
        <f>1-(Processed!Q364/Processed!$V$24)</f>
        <v>0.21775403123997417</v>
      </c>
    </row>
    <row r="365" spans="2:19">
      <c r="B365" t="str">
        <f t="shared" ref="B365:J365" si="144">B149</f>
        <v>1CBABB</v>
      </c>
      <c r="C365">
        <f t="shared" si="144"/>
        <v>72</v>
      </c>
      <c r="D365">
        <f t="shared" si="144"/>
        <v>15</v>
      </c>
      <c r="E365">
        <f t="shared" si="144"/>
        <v>4</v>
      </c>
      <c r="F365" t="str">
        <f t="shared" si="144"/>
        <v>Current</v>
      </c>
      <c r="G365">
        <f t="shared" si="144"/>
        <v>0.25</v>
      </c>
      <c r="H365">
        <f t="shared" si="144"/>
        <v>0.75</v>
      </c>
      <c r="I365" t="str">
        <f t="shared" si="144"/>
        <v>Improved</v>
      </c>
      <c r="J365" t="str">
        <f t="shared" si="144"/>
        <v>Current</v>
      </c>
      <c r="K365" t="s">
        <v>21</v>
      </c>
      <c r="L365" s="4">
        <f t="shared" si="140"/>
        <v>10282420.129959056</v>
      </c>
      <c r="M365" s="4">
        <f t="shared" si="141"/>
        <v>4900454.3</v>
      </c>
      <c r="N365" s="4">
        <f>Table3[[#This Row],[Natural Gas kWh]]+Table3[[#This Row],[Electricity kWh]]</f>
        <v>15182874.429959055</v>
      </c>
      <c r="O365" s="9">
        <f>Table3[[#This Row],[Total Energy kWh]]/$V$20</f>
        <v>139.92166048701785</v>
      </c>
      <c r="P365" s="9">
        <f t="shared" si="142"/>
        <v>41.897986064387197</v>
      </c>
      <c r="Q365" s="12">
        <f>((L365*Processed!$V$21)+(Table3[[#This Row],[Natural Gas kWh]]*Processed!$V$22))/Processed!$V$20</f>
        <v>24.689910068756614</v>
      </c>
      <c r="R365" s="10">
        <f>1-(O365/Processed!$V$23)</f>
        <v>0.35202982175742714</v>
      </c>
      <c r="S365" s="11">
        <f>1-(Processed!Q365/Processed!$V$24)</f>
        <v>0.36445421225296404</v>
      </c>
    </row>
    <row r="366" spans="2:19">
      <c r="B366" t="str">
        <f t="shared" ref="B366:J366" si="145">B150</f>
        <v>1CBBAA</v>
      </c>
      <c r="C366">
        <f t="shared" si="145"/>
        <v>72</v>
      </c>
      <c r="D366">
        <f t="shared" si="145"/>
        <v>15</v>
      </c>
      <c r="E366">
        <f t="shared" si="145"/>
        <v>4</v>
      </c>
      <c r="F366" t="str">
        <f t="shared" si="145"/>
        <v>Improved</v>
      </c>
      <c r="G366" t="str">
        <f t="shared" si="145"/>
        <v>Current</v>
      </c>
      <c r="H366" t="str">
        <f t="shared" si="145"/>
        <v>None</v>
      </c>
      <c r="I366" t="str">
        <f t="shared" si="145"/>
        <v>Improved</v>
      </c>
      <c r="J366" t="str">
        <f t="shared" si="145"/>
        <v>Current</v>
      </c>
      <c r="K366" t="s">
        <v>21</v>
      </c>
      <c r="L366" s="4">
        <f t="shared" si="140"/>
        <v>10478756.11366317</v>
      </c>
      <c r="M366" s="4">
        <f t="shared" si="141"/>
        <v>7997991.7000000002</v>
      </c>
      <c r="N366" s="4">
        <f>Table3[[#This Row],[Natural Gas kWh]]+Table3[[#This Row],[Electricity kWh]]</f>
        <v>18476747.81366317</v>
      </c>
      <c r="O366" s="9">
        <f>Table3[[#This Row],[Total Energy kWh]]/$V$20</f>
        <v>170.27719266295739</v>
      </c>
      <c r="P366" s="9">
        <f t="shared" si="142"/>
        <v>69.437547124106558</v>
      </c>
      <c r="Q366" s="12">
        <f>((L366*Processed!$V$21)+(Table3[[#This Row],[Natural Gas kWh]]*Processed!$V$22))/Processed!$V$20</f>
        <v>30.421273493246559</v>
      </c>
      <c r="R366" s="10">
        <f>1-(O366/Processed!$V$23)</f>
        <v>0.21145487770495375</v>
      </c>
      <c r="S366" s="11">
        <f>1-(Processed!Q366/Processed!$V$24)</f>
        <v>0.21692253342796086</v>
      </c>
    </row>
    <row r="367" spans="2:19">
      <c r="B367" t="str">
        <f t="shared" ref="B367:J367" si="146">B151</f>
        <v>1CBBAB</v>
      </c>
      <c r="C367">
        <f t="shared" si="146"/>
        <v>72</v>
      </c>
      <c r="D367">
        <f t="shared" si="146"/>
        <v>15</v>
      </c>
      <c r="E367">
        <f t="shared" si="146"/>
        <v>4</v>
      </c>
      <c r="F367" t="str">
        <f t="shared" si="146"/>
        <v>Improved</v>
      </c>
      <c r="G367" t="str">
        <f t="shared" si="146"/>
        <v>Current</v>
      </c>
      <c r="H367">
        <f t="shared" si="146"/>
        <v>0.75</v>
      </c>
      <c r="I367" t="str">
        <f t="shared" si="146"/>
        <v>Improved</v>
      </c>
      <c r="J367" t="str">
        <f t="shared" si="146"/>
        <v>Current</v>
      </c>
      <c r="K367" t="s">
        <v>21</v>
      </c>
      <c r="L367" s="4">
        <f t="shared" si="140"/>
        <v>10815084.085747944</v>
      </c>
      <c r="M367" s="4">
        <f t="shared" si="141"/>
        <v>4406192.6000000006</v>
      </c>
      <c r="N367" s="4">
        <f>Table3[[#This Row],[Natural Gas kWh]]+Table3[[#This Row],[Electricity kWh]]</f>
        <v>15221276.685747944</v>
      </c>
      <c r="O367" s="9">
        <f>Table3[[#This Row],[Total Energy kWh]]/$V$20</f>
        <v>140.27556629195723</v>
      </c>
      <c r="P367" s="9">
        <f t="shared" si="142"/>
        <v>37.468434973842299</v>
      </c>
      <c r="Q367" s="12">
        <f>((L367*Processed!$V$21)+(Table3[[#This Row],[Natural Gas kWh]]*Processed!$V$22))/Processed!$V$20</f>
        <v>24.658974154720266</v>
      </c>
      <c r="R367" s="10">
        <f>1-(O367/Processed!$V$23)</f>
        <v>0.3503909017595549</v>
      </c>
      <c r="S367" s="11">
        <f>1-(Processed!Q367/Processed!$V$24)</f>
        <v>0.36525053714038369</v>
      </c>
    </row>
    <row r="368" spans="2:19">
      <c r="B368" t="str">
        <f t="shared" ref="B368:J368" si="147">B152</f>
        <v>1CBBBA</v>
      </c>
      <c r="C368">
        <f t="shared" si="147"/>
        <v>72</v>
      </c>
      <c r="D368">
        <f t="shared" si="147"/>
        <v>15</v>
      </c>
      <c r="E368">
        <f t="shared" si="147"/>
        <v>4</v>
      </c>
      <c r="F368" t="str">
        <f t="shared" si="147"/>
        <v>Improved</v>
      </c>
      <c r="G368">
        <f t="shared" si="147"/>
        <v>0.25</v>
      </c>
      <c r="H368" t="str">
        <f t="shared" si="147"/>
        <v>None</v>
      </c>
      <c r="I368" t="str">
        <f t="shared" si="147"/>
        <v>Improved</v>
      </c>
      <c r="J368" t="str">
        <f t="shared" si="147"/>
        <v>Current</v>
      </c>
      <c r="K368" t="s">
        <v>21</v>
      </c>
      <c r="L368" s="4">
        <f t="shared" si="140"/>
        <v>9947061.1577938534</v>
      </c>
      <c r="M368" s="4">
        <f t="shared" si="141"/>
        <v>8250557.7000000002</v>
      </c>
      <c r="N368" s="4">
        <f>Table3[[#This Row],[Natural Gas kWh]]+Table3[[#This Row],[Electricity kWh]]</f>
        <v>18197618.857793853</v>
      </c>
      <c r="O368" s="9">
        <f>Table3[[#This Row],[Total Energy kWh]]/$V$20</f>
        <v>167.70480841678486</v>
      </c>
      <c r="P368" s="9">
        <f t="shared" si="142"/>
        <v>71.859768144355385</v>
      </c>
      <c r="Q368" s="12">
        <f>((L368*Processed!$V$21)+(Table3[[#This Row],[Natural Gas kWh]]*Processed!$V$22))/Processed!$V$20</f>
        <v>30.030519902119359</v>
      </c>
      <c r="R368" s="10">
        <f>1-(O368/Processed!$V$23)</f>
        <v>0.22336745987914441</v>
      </c>
      <c r="S368" s="11">
        <f>1-(Processed!Q368/Processed!$V$24)</f>
        <v>0.22698096613169838</v>
      </c>
    </row>
    <row r="369" spans="1:19">
      <c r="B369" t="str">
        <f t="shared" ref="B369:J369" si="148">B153</f>
        <v>1CBBBB</v>
      </c>
      <c r="C369">
        <f t="shared" si="148"/>
        <v>72</v>
      </c>
      <c r="D369">
        <f t="shared" si="148"/>
        <v>15</v>
      </c>
      <c r="E369">
        <f t="shared" si="148"/>
        <v>4</v>
      </c>
      <c r="F369" t="str">
        <f t="shared" si="148"/>
        <v>Improved</v>
      </c>
      <c r="G369">
        <f t="shared" si="148"/>
        <v>0.25</v>
      </c>
      <c r="H369">
        <f t="shared" si="148"/>
        <v>0.75</v>
      </c>
      <c r="I369" t="str">
        <f t="shared" si="148"/>
        <v>Improved</v>
      </c>
      <c r="J369" t="str">
        <f t="shared" si="148"/>
        <v>Current</v>
      </c>
      <c r="K369" t="s">
        <v>21</v>
      </c>
      <c r="L369" s="4">
        <f t="shared" si="140"/>
        <v>10285427.129709477</v>
      </c>
      <c r="M369" s="4">
        <f t="shared" si="141"/>
        <v>4680440.6000000006</v>
      </c>
      <c r="N369" s="4">
        <f>Table3[[#This Row],[Natural Gas kWh]]+Table3[[#This Row],[Electricity kWh]]</f>
        <v>14965867.729709476</v>
      </c>
      <c r="O369" s="9">
        <f>Table3[[#This Row],[Total Energy kWh]]/$V$20</f>
        <v>137.92177976773749</v>
      </c>
      <c r="P369" s="9">
        <f t="shared" si="142"/>
        <v>39.881507660930644</v>
      </c>
      <c r="Q369" s="12">
        <f>((L369*Processed!$V$21)+(Table3[[#This Row],[Natural Gas kWh]]*Processed!$V$22))/Processed!$V$20</f>
        <v>24.309378496595841</v>
      </c>
      <c r="R369" s="10">
        <f>1-(O369/Processed!$V$23)</f>
        <v>0.36129116886855728</v>
      </c>
      <c r="S369" s="11">
        <f>1-(Processed!Q369/Processed!$V$24)</f>
        <v>0.37424951880199742</v>
      </c>
    </row>
    <row r="370" spans="1:19">
      <c r="B370" t="str">
        <f t="shared" ref="B370:J370" si="149">B154</f>
        <v>1CCAAA</v>
      </c>
      <c r="C370">
        <f t="shared" si="149"/>
        <v>72</v>
      </c>
      <c r="D370">
        <f t="shared" si="149"/>
        <v>15</v>
      </c>
      <c r="E370">
        <f t="shared" si="149"/>
        <v>5.5</v>
      </c>
      <c r="F370" t="str">
        <f t="shared" si="149"/>
        <v>Current</v>
      </c>
      <c r="G370" t="str">
        <f t="shared" si="149"/>
        <v>Current</v>
      </c>
      <c r="H370" t="str">
        <f t="shared" si="149"/>
        <v>None</v>
      </c>
      <c r="I370" t="str">
        <f t="shared" si="149"/>
        <v>Improved</v>
      </c>
      <c r="J370" t="str">
        <f t="shared" si="149"/>
        <v>Current</v>
      </c>
      <c r="K370" t="s">
        <v>21</v>
      </c>
      <c r="L370" s="4">
        <f t="shared" si="140"/>
        <v>10485236.11312533</v>
      </c>
      <c r="M370" s="4">
        <f t="shared" si="141"/>
        <v>7801623.1000000006</v>
      </c>
      <c r="N370" s="4">
        <f>Table3[[#This Row],[Natural Gas kWh]]+Table3[[#This Row],[Electricity kWh]]</f>
        <v>18286859.213125329</v>
      </c>
      <c r="O370" s="9">
        <f>Table3[[#This Row],[Total Energy kWh]]/$V$20</f>
        <v>168.52722572373386</v>
      </c>
      <c r="P370" s="9">
        <f t="shared" si="142"/>
        <v>67.486651576553655</v>
      </c>
      <c r="Q370" s="12">
        <f>((L370*Processed!$V$21)+(Table3[[#This Row],[Natural Gas kWh]]*Processed!$V$22))/Processed!$V$20</f>
        <v>30.087585412963751</v>
      </c>
      <c r="R370" s="10">
        <f>1-(O370/Processed!$V$23)</f>
        <v>0.21955888665953938</v>
      </c>
      <c r="S370" s="11">
        <f>1-(Processed!Q370/Processed!$V$24)</f>
        <v>0.22551203631616701</v>
      </c>
    </row>
    <row r="371" spans="1:19">
      <c r="B371" t="str">
        <f t="shared" ref="B371:J371" si="150">B155</f>
        <v>1CCAAB</v>
      </c>
      <c r="C371">
        <f t="shared" si="150"/>
        <v>72</v>
      </c>
      <c r="D371">
        <f t="shared" si="150"/>
        <v>15</v>
      </c>
      <c r="E371">
        <f t="shared" si="150"/>
        <v>5.5</v>
      </c>
      <c r="F371" t="str">
        <f t="shared" si="150"/>
        <v>Current</v>
      </c>
      <c r="G371" t="str">
        <f t="shared" si="150"/>
        <v>Current</v>
      </c>
      <c r="H371">
        <f t="shared" si="150"/>
        <v>0.75</v>
      </c>
      <c r="I371" t="str">
        <f t="shared" si="150"/>
        <v>Improved</v>
      </c>
      <c r="J371" t="str">
        <f t="shared" si="150"/>
        <v>Current</v>
      </c>
      <c r="K371" t="s">
        <v>21</v>
      </c>
      <c r="L371" s="4">
        <f t="shared" si="140"/>
        <v>10821309.085231271</v>
      </c>
      <c r="M371" s="4">
        <f t="shared" si="141"/>
        <v>4193474.6</v>
      </c>
      <c r="N371" s="4">
        <f>Table3[[#This Row],[Natural Gas kWh]]+Table3[[#This Row],[Electricity kWh]]</f>
        <v>15014783.68523127</v>
      </c>
      <c r="O371" s="9">
        <f>Table3[[#This Row],[Total Energy kWh]]/$V$20</f>
        <v>138.37257726016838</v>
      </c>
      <c r="P371" s="9">
        <f t="shared" si="142"/>
        <v>35.522067689190848</v>
      </c>
      <c r="Q371" s="12">
        <f>((L371*Processed!$V$21)+(Table3[[#This Row],[Natural Gas kWh]]*Processed!$V$22))/Processed!$V$20</f>
        <v>24.296258877199847</v>
      </c>
      <c r="R371" s="10">
        <f>1-(O371/Processed!$V$23)</f>
        <v>0.35920354833500268</v>
      </c>
      <c r="S371" s="11">
        <f>1-(Processed!Q371/Processed!$V$24)</f>
        <v>0.3745872324194528</v>
      </c>
    </row>
    <row r="372" spans="1:19">
      <c r="B372" t="str">
        <f t="shared" ref="B372:J372" si="151">B156</f>
        <v>1CCABA</v>
      </c>
      <c r="C372">
        <f t="shared" si="151"/>
        <v>72</v>
      </c>
      <c r="D372">
        <f t="shared" si="151"/>
        <v>15</v>
      </c>
      <c r="E372">
        <f t="shared" si="151"/>
        <v>5.5</v>
      </c>
      <c r="F372" t="str">
        <f t="shared" si="151"/>
        <v>Current</v>
      </c>
      <c r="G372">
        <f t="shared" si="151"/>
        <v>0.25</v>
      </c>
      <c r="H372" t="str">
        <f t="shared" si="151"/>
        <v>None</v>
      </c>
      <c r="I372" t="str">
        <f t="shared" si="151"/>
        <v>Improved</v>
      </c>
      <c r="J372" t="str">
        <f t="shared" si="151"/>
        <v>Current</v>
      </c>
      <c r="K372" t="s">
        <v>21</v>
      </c>
      <c r="L372" s="4">
        <f t="shared" si="140"/>
        <v>9953044.1572972666</v>
      </c>
      <c r="M372" s="4">
        <f t="shared" si="141"/>
        <v>8044490.7999999998</v>
      </c>
      <c r="N372" s="4">
        <f>Table3[[#This Row],[Natural Gas kWh]]+Table3[[#This Row],[Electricity kWh]]</f>
        <v>17997534.957297266</v>
      </c>
      <c r="O372" s="9">
        <f>Table3[[#This Row],[Total Energy kWh]]/$V$20</f>
        <v>165.8608840845807</v>
      </c>
      <c r="P372" s="9">
        <f t="shared" si="142"/>
        <v>69.834341223751892</v>
      </c>
      <c r="Q372" s="12">
        <f>((L372*Processed!$V$21)+(Table3[[#This Row],[Natural Gas kWh]]*Processed!$V$22))/Processed!$V$20</f>
        <v>29.679071521773572</v>
      </c>
      <c r="R372" s="10">
        <f>1-(O372/Processed!$V$23)</f>
        <v>0.2319065807989894</v>
      </c>
      <c r="S372" s="11">
        <f>1-(Processed!Q372/Processed!$V$24)</f>
        <v>0.23602763892707368</v>
      </c>
    </row>
    <row r="373" spans="1:19">
      <c r="B373" t="str">
        <f t="shared" ref="B373:J373" si="152">B157</f>
        <v>1CCABB</v>
      </c>
      <c r="C373">
        <f t="shared" si="152"/>
        <v>72</v>
      </c>
      <c r="D373">
        <f t="shared" si="152"/>
        <v>15</v>
      </c>
      <c r="E373">
        <f t="shared" si="152"/>
        <v>5.5</v>
      </c>
      <c r="F373" t="str">
        <f t="shared" si="152"/>
        <v>Current</v>
      </c>
      <c r="G373">
        <f t="shared" si="152"/>
        <v>0.25</v>
      </c>
      <c r="H373">
        <f t="shared" si="152"/>
        <v>0.75</v>
      </c>
      <c r="I373" t="str">
        <f t="shared" si="152"/>
        <v>Improved</v>
      </c>
      <c r="J373" t="str">
        <f t="shared" si="152"/>
        <v>Current</v>
      </c>
      <c r="K373" t="s">
        <v>21</v>
      </c>
      <c r="L373" s="4">
        <f t="shared" si="140"/>
        <v>10291290.129222848</v>
      </c>
      <c r="M373" s="4">
        <f t="shared" si="141"/>
        <v>4459489.3</v>
      </c>
      <c r="N373" s="4">
        <f>Table3[[#This Row],[Natural Gas kWh]]+Table3[[#This Row],[Electricity kWh]]</f>
        <v>14750779.429222848</v>
      </c>
      <c r="O373" s="9">
        <f>Table3[[#This Row],[Total Energy kWh]]/$V$20</f>
        <v>135.93957855187057</v>
      </c>
      <c r="P373" s="9">
        <f t="shared" si="142"/>
        <v>37.859226492432221</v>
      </c>
      <c r="Q373" s="12">
        <f>((L373*Processed!$V$21)+(Table3[[#This Row],[Natural Gas kWh]]*Processed!$V$22))/Processed!$V$20</f>
        <v>23.931679626165803</v>
      </c>
      <c r="R373" s="10">
        <f>1-(O373/Processed!$V$23)</f>
        <v>0.37047064308782651</v>
      </c>
      <c r="S373" s="11">
        <f>1-(Processed!Q373/Processed!$V$24)</f>
        <v>0.38397190845307938</v>
      </c>
    </row>
    <row r="374" spans="1:19">
      <c r="B374" t="str">
        <f t="shared" ref="B374:J374" si="153">B158</f>
        <v>1CCBAA</v>
      </c>
      <c r="C374">
        <f t="shared" si="153"/>
        <v>72</v>
      </c>
      <c r="D374">
        <f t="shared" si="153"/>
        <v>15</v>
      </c>
      <c r="E374">
        <f t="shared" si="153"/>
        <v>5.5</v>
      </c>
      <c r="F374" t="str">
        <f t="shared" si="153"/>
        <v>Improved</v>
      </c>
      <c r="G374" t="str">
        <f t="shared" si="153"/>
        <v>Current</v>
      </c>
      <c r="H374" t="str">
        <f t="shared" si="153"/>
        <v>None</v>
      </c>
      <c r="I374" t="str">
        <f t="shared" si="153"/>
        <v>Improved</v>
      </c>
      <c r="J374" t="str">
        <f t="shared" si="153"/>
        <v>Current</v>
      </c>
      <c r="K374" t="s">
        <v>21</v>
      </c>
      <c r="L374" s="4">
        <f t="shared" si="140"/>
        <v>10483991.113228664</v>
      </c>
      <c r="M374" s="4">
        <f t="shared" si="141"/>
        <v>7595175.2999999998</v>
      </c>
      <c r="N374" s="4">
        <f>Table3[[#This Row],[Natural Gas kWh]]+Table3[[#This Row],[Electricity kWh]]</f>
        <v>18079166.413228665</v>
      </c>
      <c r="O374" s="9">
        <f>Table3[[#This Row],[Total Energy kWh]]/$V$20</f>
        <v>166.61317963405557</v>
      </c>
      <c r="P374" s="9">
        <f t="shared" si="142"/>
        <v>65.545860238766551</v>
      </c>
      <c r="Q374" s="12">
        <f>((L374*Processed!$V$21)+(Table3[[#This Row],[Natural Gas kWh]]*Processed!$V$22))/Processed!$V$20</f>
        <v>29.724146128220983</v>
      </c>
      <c r="R374" s="10">
        <f>1-(O374/Processed!$V$23)</f>
        <v>0.22842273791442358</v>
      </c>
      <c r="S374" s="11">
        <f>1-(Processed!Q374/Processed!$V$24)</f>
        <v>0.23486736834762523</v>
      </c>
    </row>
    <row r="375" spans="1:19">
      <c r="B375" t="str">
        <f t="shared" ref="B375:J375" si="154">B159</f>
        <v>1CCBAB</v>
      </c>
      <c r="C375">
        <f t="shared" si="154"/>
        <v>72</v>
      </c>
      <c r="D375">
        <f t="shared" si="154"/>
        <v>15</v>
      </c>
      <c r="E375">
        <f t="shared" si="154"/>
        <v>5.5</v>
      </c>
      <c r="F375" t="str">
        <f t="shared" si="154"/>
        <v>Improved</v>
      </c>
      <c r="G375" t="str">
        <f t="shared" si="154"/>
        <v>Current</v>
      </c>
      <c r="H375">
        <f t="shared" si="154"/>
        <v>0.75</v>
      </c>
      <c r="I375" t="str">
        <f t="shared" si="154"/>
        <v>Improved</v>
      </c>
      <c r="J375" t="str">
        <f t="shared" si="154"/>
        <v>Current</v>
      </c>
      <c r="K375" t="s">
        <v>21</v>
      </c>
      <c r="L375" s="4">
        <f t="shared" si="140"/>
        <v>10820493.085298998</v>
      </c>
      <c r="M375" s="4">
        <f t="shared" si="141"/>
        <v>3973197.1999999997</v>
      </c>
      <c r="N375" s="4">
        <f>Table3[[#This Row],[Natural Gas kWh]]+Table3[[#This Row],[Electricity kWh]]</f>
        <v>14793690.285298998</v>
      </c>
      <c r="O375" s="9">
        <f>Table3[[#This Row],[Total Energy kWh]]/$V$20</f>
        <v>136.33503451528463</v>
      </c>
      <c r="P375" s="9">
        <f t="shared" si="142"/>
        <v>33.587443645659498</v>
      </c>
      <c r="Q375" s="12">
        <f>((L375*Processed!$V$21)+(Table3[[#This Row],[Natural Gas kWh]]*Processed!$V$22))/Processed!$V$20</f>
        <v>23.909276156791311</v>
      </c>
      <c r="R375" s="10">
        <f>1-(O375/Processed!$V$23)</f>
        <v>0.36863930639407516</v>
      </c>
      <c r="S375" s="11">
        <f>1-(Processed!Q375/Processed!$V$24)</f>
        <v>0.38454859871044467</v>
      </c>
    </row>
    <row r="376" spans="1:19">
      <c r="B376" t="str">
        <f t="shared" ref="B376:J376" si="155">B160</f>
        <v>1CCBBA</v>
      </c>
      <c r="C376">
        <f t="shared" si="155"/>
        <v>72</v>
      </c>
      <c r="D376">
        <f t="shared" si="155"/>
        <v>15</v>
      </c>
      <c r="E376">
        <f t="shared" si="155"/>
        <v>5.5</v>
      </c>
      <c r="F376" t="str">
        <f t="shared" si="155"/>
        <v>Improved</v>
      </c>
      <c r="G376">
        <f t="shared" si="155"/>
        <v>0.25</v>
      </c>
      <c r="H376" t="str">
        <f t="shared" si="155"/>
        <v>None</v>
      </c>
      <c r="I376" t="str">
        <f t="shared" si="155"/>
        <v>Improved</v>
      </c>
      <c r="J376" t="str">
        <f t="shared" si="155"/>
        <v>Current</v>
      </c>
      <c r="K376" t="s">
        <v>21</v>
      </c>
      <c r="L376" s="4">
        <f t="shared" si="140"/>
        <v>9956071.1570460256</v>
      </c>
      <c r="M376" s="4">
        <f t="shared" si="141"/>
        <v>7843932.2999999998</v>
      </c>
      <c r="N376" s="4">
        <f>Table3[[#This Row],[Natural Gas kWh]]+Table3[[#This Row],[Electricity kWh]]</f>
        <v>17800003.457046025</v>
      </c>
      <c r="O376" s="9">
        <f>Table3[[#This Row],[Total Energy kWh]]/$V$20</f>
        <v>164.04048204930416</v>
      </c>
      <c r="P376" s="9">
        <f t="shared" si="142"/>
        <v>67.828031835254706</v>
      </c>
      <c r="Q376" s="12">
        <f>((L376*Processed!$V$21)+(Table3[[#This Row],[Natural Gas kWh]]*Processed!$V$22))/Processed!$V$20</f>
        <v>29.332637213271578</v>
      </c>
      <c r="R376" s="10">
        <f>1-(O376/Processed!$V$23)</f>
        <v>0.2403367711438269</v>
      </c>
      <c r="S376" s="11">
        <f>1-(Processed!Q376/Processed!$V$24)</f>
        <v>0.24494524392791639</v>
      </c>
    </row>
    <row r="377" spans="1:19">
      <c r="B377" t="str">
        <f t="shared" ref="B377:J377" si="156">B161</f>
        <v>1CCBBB</v>
      </c>
      <c r="C377">
        <f t="shared" si="156"/>
        <v>72</v>
      </c>
      <c r="D377">
        <f t="shared" si="156"/>
        <v>15</v>
      </c>
      <c r="E377">
        <f t="shared" si="156"/>
        <v>5.5</v>
      </c>
      <c r="F377" t="str">
        <f t="shared" si="156"/>
        <v>Improved</v>
      </c>
      <c r="G377">
        <f t="shared" si="156"/>
        <v>0.25</v>
      </c>
      <c r="H377">
        <f t="shared" si="156"/>
        <v>0.75</v>
      </c>
      <c r="I377" t="str">
        <f t="shared" si="156"/>
        <v>Improved</v>
      </c>
      <c r="J377" t="str">
        <f t="shared" si="156"/>
        <v>Current</v>
      </c>
      <c r="K377" t="s">
        <v>21</v>
      </c>
      <c r="L377" s="4">
        <f t="shared" si="140"/>
        <v>10294565.128951022</v>
      </c>
      <c r="M377" s="4">
        <f t="shared" si="141"/>
        <v>4241995.3999999994</v>
      </c>
      <c r="N377" s="4">
        <f>Table3[[#This Row],[Natural Gas kWh]]+Table3[[#This Row],[Electricity kWh]]</f>
        <v>14536560.528951023</v>
      </c>
      <c r="O377" s="9">
        <f>Table3[[#This Row],[Total Energy kWh]]/$V$20</f>
        <v>133.96538951592677</v>
      </c>
      <c r="P377" s="9">
        <f t="shared" si="142"/>
        <v>35.857577677440048</v>
      </c>
      <c r="Q377" s="12">
        <f>((L377*Processed!$V$21)+(Table3[[#This Row],[Natural Gas kWh]]*Processed!$V$22))/Processed!$V$20</f>
        <v>23.555980077392903</v>
      </c>
      <c r="R377" s="10">
        <f>1-(O377/Processed!$V$23)</f>
        <v>0.37961301330450736</v>
      </c>
      <c r="S377" s="11">
        <f>1-(Processed!Q377/Processed!$V$24)</f>
        <v>0.39364283333762284</v>
      </c>
    </row>
    <row r="378" spans="1:19">
      <c r="A378" t="s">
        <v>72</v>
      </c>
      <c r="B378" t="str">
        <f t="shared" ref="B378:J378" si="157">B162</f>
        <v>1AAAAA</v>
      </c>
      <c r="C378">
        <f t="shared" si="157"/>
        <v>72</v>
      </c>
      <c r="D378">
        <f t="shared" si="157"/>
        <v>5</v>
      </c>
      <c r="E378">
        <f t="shared" si="157"/>
        <v>2.8</v>
      </c>
      <c r="F378" t="str">
        <f t="shared" si="157"/>
        <v>Current</v>
      </c>
      <c r="G378" t="str">
        <f t="shared" si="157"/>
        <v>Current</v>
      </c>
      <c r="H378" t="str">
        <f t="shared" si="157"/>
        <v>None</v>
      </c>
      <c r="I378" t="str">
        <f t="shared" si="157"/>
        <v>Improved</v>
      </c>
      <c r="J378" t="str">
        <f t="shared" si="157"/>
        <v>ASHP</v>
      </c>
      <c r="K378" t="s">
        <v>21</v>
      </c>
      <c r="L378" s="4">
        <f t="shared" si="140"/>
        <v>13544396.859214965</v>
      </c>
      <c r="M378" s="4">
        <f t="shared" si="141"/>
        <v>2526392.5</v>
      </c>
      <c r="N378" s="4">
        <f>Table3[[#This Row],[Natural Gas kWh]]+Table3[[#This Row],[Electricity kWh]]</f>
        <v>16070789.359214965</v>
      </c>
      <c r="O378" s="9">
        <f>Table3[[#This Row],[Total Energy kWh]]/$V$20</f>
        <v>148.10446749407251</v>
      </c>
      <c r="P378" s="9">
        <f t="shared" si="142"/>
        <v>84.825046200238859</v>
      </c>
      <c r="Q378" s="12">
        <f>((L378*Processed!$V$21)+(Table3[[#This Row],[Natural Gas kWh]]*Processed!$V$22))/Processed!$V$20</f>
        <v>25.643411792033532</v>
      </c>
      <c r="R378" s="10">
        <f>1-(O378/Processed!$V$23)</f>
        <v>0.31413565371774943</v>
      </c>
      <c r="S378" s="11">
        <f>1-(Processed!Q378/Processed!$V$24)</f>
        <v>0.33991001577146163</v>
      </c>
    </row>
    <row r="379" spans="1:19">
      <c r="B379" t="str">
        <f t="shared" ref="B379:J379" si="158">B163</f>
        <v>1AAAAB</v>
      </c>
      <c r="C379">
        <f t="shared" si="158"/>
        <v>72</v>
      </c>
      <c r="D379">
        <f t="shared" si="158"/>
        <v>5</v>
      </c>
      <c r="E379">
        <f t="shared" si="158"/>
        <v>2.8</v>
      </c>
      <c r="F379" t="str">
        <f t="shared" si="158"/>
        <v>Current</v>
      </c>
      <c r="G379" t="str">
        <f t="shared" si="158"/>
        <v>Current</v>
      </c>
      <c r="H379">
        <f t="shared" si="158"/>
        <v>0.75</v>
      </c>
      <c r="I379" t="str">
        <f t="shared" si="158"/>
        <v>Improved</v>
      </c>
      <c r="J379" t="str">
        <f t="shared" si="158"/>
        <v>ASHP</v>
      </c>
      <c r="K379" t="s">
        <v>21</v>
      </c>
      <c r="L379" s="4">
        <f t="shared" si="140"/>
        <v>12709240.928532917</v>
      </c>
      <c r="M379" s="4">
        <f t="shared" si="141"/>
        <v>1888326.4000000001</v>
      </c>
      <c r="N379" s="4">
        <f>Table3[[#This Row],[Natural Gas kWh]]+Table3[[#This Row],[Electricity kWh]]</f>
        <v>14597567.328532917</v>
      </c>
      <c r="O379" s="9">
        <f>Table3[[#This Row],[Total Energy kWh]]/$V$20</f>
        <v>134.52761327255968</v>
      </c>
      <c r="P379" s="9">
        <f t="shared" si="142"/>
        <v>55.018464458247216</v>
      </c>
      <c r="Q379" s="12">
        <f>((L379*Processed!$V$21)+(Table3[[#This Row],[Natural Gas kWh]]*Processed!$V$22))/Processed!$V$20</f>
        <v>23.217741349325806</v>
      </c>
      <c r="R379" s="10">
        <f>1-(O379/Processed!$V$23)</f>
        <v>0.37700938334092904</v>
      </c>
      <c r="S379" s="11">
        <f>1-(Processed!Q379/Processed!$V$24)</f>
        <v>0.40234947496885276</v>
      </c>
    </row>
    <row r="380" spans="1:19">
      <c r="B380" t="str">
        <f t="shared" ref="B380:J380" si="159">B164</f>
        <v>1AAABA</v>
      </c>
      <c r="C380">
        <f t="shared" si="159"/>
        <v>72</v>
      </c>
      <c r="D380">
        <f t="shared" si="159"/>
        <v>5</v>
      </c>
      <c r="E380">
        <f t="shared" si="159"/>
        <v>2.8</v>
      </c>
      <c r="F380" t="str">
        <f t="shared" si="159"/>
        <v>Current</v>
      </c>
      <c r="G380">
        <f t="shared" si="159"/>
        <v>0.25</v>
      </c>
      <c r="H380" t="str">
        <f t="shared" si="159"/>
        <v>None</v>
      </c>
      <c r="I380" t="str">
        <f t="shared" si="159"/>
        <v>Improved</v>
      </c>
      <c r="J380" t="str">
        <f t="shared" si="159"/>
        <v>ASHP</v>
      </c>
      <c r="K380" t="s">
        <v>21</v>
      </c>
      <c r="L380" s="4">
        <f t="shared" si="140"/>
        <v>13118036.894602846</v>
      </c>
      <c r="M380" s="4">
        <f t="shared" si="141"/>
        <v>2560790.6999999997</v>
      </c>
      <c r="N380" s="4">
        <f>Table3[[#This Row],[Natural Gas kWh]]+Table3[[#This Row],[Electricity kWh]]</f>
        <v>15678827.594602846</v>
      </c>
      <c r="O380" s="9">
        <f>Table3[[#This Row],[Total Energy kWh]]/$V$20</f>
        <v>144.49224365563182</v>
      </c>
      <c r="P380" s="9">
        <f t="shared" si="142"/>
        <v>87.487254353398939</v>
      </c>
      <c r="Q380" s="12">
        <f>((L380*Processed!$V$21)+(Table3[[#This Row],[Natural Gas kWh]]*Processed!$V$22))/Processed!$V$20</f>
        <v>25.035673847603928</v>
      </c>
      <c r="R380" s="10">
        <f>1-(O380/Processed!$V$23)</f>
        <v>0.33086368078875206</v>
      </c>
      <c r="S380" s="11">
        <f>1-(Processed!Q380/Processed!$V$24)</f>
        <v>0.35555386743234907</v>
      </c>
    </row>
    <row r="381" spans="1:19">
      <c r="B381" t="str">
        <f t="shared" ref="B381:J381" si="160">B165</f>
        <v>1AAABB</v>
      </c>
      <c r="C381">
        <f t="shared" si="160"/>
        <v>72</v>
      </c>
      <c r="D381">
        <f t="shared" si="160"/>
        <v>5</v>
      </c>
      <c r="E381">
        <f t="shared" si="160"/>
        <v>2.8</v>
      </c>
      <c r="F381" t="str">
        <f t="shared" si="160"/>
        <v>Current</v>
      </c>
      <c r="G381">
        <f t="shared" si="160"/>
        <v>0.25</v>
      </c>
      <c r="H381">
        <f t="shared" si="160"/>
        <v>0.75</v>
      </c>
      <c r="I381" t="str">
        <f t="shared" si="160"/>
        <v>Improved</v>
      </c>
      <c r="J381" t="str">
        <f t="shared" si="160"/>
        <v>ASHP</v>
      </c>
      <c r="K381" t="s">
        <v>21</v>
      </c>
      <c r="L381" s="4">
        <f t="shared" si="140"/>
        <v>12296479.96279208</v>
      </c>
      <c r="M381" s="4">
        <f t="shared" si="141"/>
        <v>1909158.7</v>
      </c>
      <c r="N381" s="4">
        <f>Table3[[#This Row],[Natural Gas kWh]]+Table3[[#This Row],[Electricity kWh]]</f>
        <v>14205638.662792079</v>
      </c>
      <c r="O381" s="9">
        <f>Table3[[#This Row],[Total Energy kWh]]/$V$20</f>
        <v>130.91569446522834</v>
      </c>
      <c r="P381" s="9">
        <f t="shared" si="142"/>
        <v>57.751958324346049</v>
      </c>
      <c r="Q381" s="12">
        <f>((L381*Processed!$V$21)+(Table3[[#This Row],[Natural Gas kWh]]*Processed!$V$22))/Processed!$V$20</f>
        <v>22.607554859799134</v>
      </c>
      <c r="R381" s="10">
        <f>1-(O381/Processed!$V$23)</f>
        <v>0.39373599782819302</v>
      </c>
      <c r="S381" s="11">
        <f>1-(Processed!Q381/Processed!$V$24)</f>
        <v>0.41805635490802129</v>
      </c>
    </row>
    <row r="382" spans="1:19">
      <c r="B382" t="str">
        <f t="shared" ref="B382:J382" si="161">B166</f>
        <v>1AABAA</v>
      </c>
      <c r="C382">
        <f t="shared" si="161"/>
        <v>72</v>
      </c>
      <c r="D382">
        <f t="shared" si="161"/>
        <v>5</v>
      </c>
      <c r="E382">
        <f t="shared" si="161"/>
        <v>2.8</v>
      </c>
      <c r="F382" t="str">
        <f t="shared" si="161"/>
        <v>Improved</v>
      </c>
      <c r="G382" t="str">
        <f t="shared" si="161"/>
        <v>Current</v>
      </c>
      <c r="H382" t="str">
        <f t="shared" si="161"/>
        <v>None</v>
      </c>
      <c r="I382" t="str">
        <f t="shared" si="161"/>
        <v>Improved</v>
      </c>
      <c r="J382" t="str">
        <f t="shared" si="161"/>
        <v>ASHP</v>
      </c>
      <c r="K382" t="s">
        <v>21</v>
      </c>
      <c r="L382" s="4">
        <f t="shared" si="140"/>
        <v>13479403.864609385</v>
      </c>
      <c r="M382" s="4">
        <f t="shared" si="141"/>
        <v>2481915.1</v>
      </c>
      <c r="N382" s="4">
        <f>Table3[[#This Row],[Natural Gas kWh]]+Table3[[#This Row],[Electricity kWh]]</f>
        <v>15961318.964609385</v>
      </c>
      <c r="O382" s="9">
        <f>Table3[[#This Row],[Total Energy kWh]]/$V$20</f>
        <v>147.09561508881532</v>
      </c>
      <c r="P382" s="9">
        <f t="shared" si="142"/>
        <v>83.017969578539876</v>
      </c>
      <c r="Q382" s="12">
        <f>((L382*Processed!$V$21)+(Table3[[#This Row],[Natural Gas kWh]]*Processed!$V$22))/Processed!$V$20</f>
        <v>25.463709026151857</v>
      </c>
      <c r="R382" s="10">
        <f>1-(O382/Processed!$V$23)</f>
        <v>0.31880759850871043</v>
      </c>
      <c r="S382" s="11">
        <f>1-(Processed!Q382/Processed!$V$24)</f>
        <v>0.34453576513970718</v>
      </c>
    </row>
    <row r="383" spans="1:19">
      <c r="B383" t="str">
        <f t="shared" ref="B383:J383" si="162">B167</f>
        <v>1AABAB</v>
      </c>
      <c r="C383">
        <f t="shared" si="162"/>
        <v>72</v>
      </c>
      <c r="D383">
        <f t="shared" si="162"/>
        <v>5</v>
      </c>
      <c r="E383">
        <f t="shared" si="162"/>
        <v>2.8</v>
      </c>
      <c r="F383" t="str">
        <f t="shared" si="162"/>
        <v>Improved</v>
      </c>
      <c r="G383" t="str">
        <f t="shared" si="162"/>
        <v>Current</v>
      </c>
      <c r="H383">
        <f t="shared" si="162"/>
        <v>0.75</v>
      </c>
      <c r="I383" t="str">
        <f t="shared" si="162"/>
        <v>Improved</v>
      </c>
      <c r="J383" t="str">
        <f t="shared" si="162"/>
        <v>ASHP</v>
      </c>
      <c r="K383" t="s">
        <v>21</v>
      </c>
      <c r="L383" s="4">
        <f t="shared" si="140"/>
        <v>12630658.93505522</v>
      </c>
      <c r="M383" s="4">
        <f t="shared" si="141"/>
        <v>1863743.7</v>
      </c>
      <c r="N383" s="4">
        <f>Table3[[#This Row],[Natural Gas kWh]]+Table3[[#This Row],[Electricity kWh]]</f>
        <v>14494402.63505522</v>
      </c>
      <c r="O383" s="9">
        <f>Table3[[#This Row],[Total Energy kWh]]/$V$20</f>
        <v>133.57687266796441</v>
      </c>
      <c r="P383" s="9">
        <f t="shared" si="142"/>
        <v>53.049280345022567</v>
      </c>
      <c r="Q383" s="12">
        <f>((L383*Processed!$V$21)+(Table3[[#This Row],[Natural Gas kWh]]*Processed!$V$22))/Processed!$V$20</f>
        <v>23.051584483426758</v>
      </c>
      <c r="R383" s="10">
        <f>1-(O383/Processed!$V$23)</f>
        <v>0.38141221530331282</v>
      </c>
      <c r="S383" s="11">
        <f>1-(Processed!Q383/Processed!$V$24)</f>
        <v>0.40662653778250057</v>
      </c>
    </row>
    <row r="384" spans="1:19">
      <c r="B384" t="str">
        <f t="shared" ref="B384:J384" si="163">B168</f>
        <v>1AABBA</v>
      </c>
      <c r="C384">
        <f t="shared" si="163"/>
        <v>72</v>
      </c>
      <c r="D384">
        <f t="shared" si="163"/>
        <v>5</v>
      </c>
      <c r="E384">
        <f t="shared" si="163"/>
        <v>2.8</v>
      </c>
      <c r="F384" t="str">
        <f t="shared" si="163"/>
        <v>Improved</v>
      </c>
      <c r="G384">
        <f t="shared" si="163"/>
        <v>0.25</v>
      </c>
      <c r="H384" t="str">
        <f t="shared" si="163"/>
        <v>None</v>
      </c>
      <c r="I384" t="str">
        <f t="shared" si="163"/>
        <v>Improved</v>
      </c>
      <c r="J384" t="str">
        <f t="shared" si="163"/>
        <v>ASHP</v>
      </c>
      <c r="K384" t="s">
        <v>21</v>
      </c>
      <c r="L384" s="4">
        <f t="shared" si="140"/>
        <v>13044351.900718702</v>
      </c>
      <c r="M384" s="4">
        <f t="shared" si="141"/>
        <v>2523726.1999999997</v>
      </c>
      <c r="N384" s="4">
        <f>Table3[[#This Row],[Natural Gas kWh]]+Table3[[#This Row],[Electricity kWh]]</f>
        <v>15568078.100718701</v>
      </c>
      <c r="O384" s="9">
        <f>Table3[[#This Row],[Total Energy kWh]]/$V$20</f>
        <v>143.47160338399863</v>
      </c>
      <c r="P384" s="9">
        <f t="shared" si="142"/>
        <v>85.589212841643899</v>
      </c>
      <c r="Q384" s="12">
        <f>((L384*Processed!$V$21)+(Table3[[#This Row],[Natural Gas kWh]]*Processed!$V$22))/Processed!$V$20</f>
        <v>24.855333453936321</v>
      </c>
      <c r="R384" s="10">
        <f>1-(O384/Processed!$V$23)</f>
        <v>0.33559021459652572</v>
      </c>
      <c r="S384" s="11">
        <f>1-(Processed!Q384/Processed!$V$24)</f>
        <v>0.36019603005007061</v>
      </c>
    </row>
    <row r="385" spans="2:19">
      <c r="B385" t="str">
        <f t="shared" ref="B385:J385" si="164">B169</f>
        <v>1AABBB</v>
      </c>
      <c r="C385">
        <f t="shared" si="164"/>
        <v>72</v>
      </c>
      <c r="D385">
        <f t="shared" si="164"/>
        <v>5</v>
      </c>
      <c r="E385">
        <f t="shared" si="164"/>
        <v>2.8</v>
      </c>
      <c r="F385" t="str">
        <f t="shared" si="164"/>
        <v>Improved</v>
      </c>
      <c r="G385">
        <f t="shared" si="164"/>
        <v>0.25</v>
      </c>
      <c r="H385">
        <f t="shared" si="164"/>
        <v>0.75</v>
      </c>
      <c r="I385" t="str">
        <f t="shared" si="164"/>
        <v>Improved</v>
      </c>
      <c r="J385" t="str">
        <f t="shared" si="164"/>
        <v>ASHP</v>
      </c>
      <c r="K385" t="s">
        <v>21</v>
      </c>
      <c r="L385" s="4">
        <f t="shared" si="140"/>
        <v>12218092.969298197</v>
      </c>
      <c r="M385" s="4">
        <f t="shared" si="141"/>
        <v>1883433.3</v>
      </c>
      <c r="N385" s="4">
        <f>Table3[[#This Row],[Natural Gas kWh]]+Table3[[#This Row],[Electricity kWh]]</f>
        <v>14101526.269298198</v>
      </c>
      <c r="O385" s="9">
        <f>Table3[[#This Row],[Total Energy kWh]]/$V$20</f>
        <v>129.95622008887463</v>
      </c>
      <c r="P385" s="9">
        <f t="shared" si="142"/>
        <v>55.754211322050715</v>
      </c>
      <c r="Q385" s="12">
        <f>((L385*Processed!$V$21)+(Table3[[#This Row],[Natural Gas kWh]]*Processed!$V$22))/Processed!$V$20</f>
        <v>22.439702635822016</v>
      </c>
      <c r="R385" s="10">
        <f>1-(O385/Processed!$V$23)</f>
        <v>0.39817927544869258</v>
      </c>
      <c r="S385" s="11">
        <f>1-(Processed!Q385/Processed!$V$24)</f>
        <v>0.42237705812709136</v>
      </c>
    </row>
    <row r="386" spans="2:19">
      <c r="B386" t="str">
        <f t="shared" ref="B386:J386" si="165">B170</f>
        <v>1ABAAA</v>
      </c>
      <c r="C386">
        <f t="shared" si="165"/>
        <v>72</v>
      </c>
      <c r="D386">
        <f t="shared" si="165"/>
        <v>5</v>
      </c>
      <c r="E386">
        <f t="shared" si="165"/>
        <v>4</v>
      </c>
      <c r="F386" t="str">
        <f t="shared" si="165"/>
        <v>Current</v>
      </c>
      <c r="G386" t="str">
        <f t="shared" si="165"/>
        <v>Current</v>
      </c>
      <c r="H386" t="str">
        <f t="shared" si="165"/>
        <v>None</v>
      </c>
      <c r="I386" t="str">
        <f t="shared" si="165"/>
        <v>Improved</v>
      </c>
      <c r="J386" t="str">
        <f t="shared" si="165"/>
        <v>ASHP</v>
      </c>
      <c r="K386" t="s">
        <v>21</v>
      </c>
      <c r="L386" s="4">
        <f t="shared" si="140"/>
        <v>13286254.880640753</v>
      </c>
      <c r="M386" s="4">
        <f t="shared" si="141"/>
        <v>2403332.5</v>
      </c>
      <c r="N386" s="4">
        <f>Table3[[#This Row],[Natural Gas kWh]]+Table3[[#This Row],[Electricity kWh]]</f>
        <v>15689587.380640753</v>
      </c>
      <c r="O386" s="9">
        <f>Table3[[#This Row],[Total Energy kWh]]/$V$20</f>
        <v>144.59140321437377</v>
      </c>
      <c r="P386" s="9">
        <f t="shared" si="142"/>
        <v>77.765862367173781</v>
      </c>
      <c r="Q386" s="12">
        <f>((L386*Processed!$V$21)+(Table3[[#This Row],[Natural Gas kWh]]*Processed!$V$22))/Processed!$V$20</f>
        <v>25.023509046731505</v>
      </c>
      <c r="R386" s="10">
        <f>1-(O386/Processed!$V$23)</f>
        <v>0.33040447785527605</v>
      </c>
      <c r="S386" s="11">
        <f>1-(Processed!Q386/Processed!$V$24)</f>
        <v>0.35586700295741658</v>
      </c>
    </row>
    <row r="387" spans="2:19">
      <c r="B387" t="str">
        <f t="shared" ref="B387:J387" si="166">B171</f>
        <v>1ABAAB</v>
      </c>
      <c r="C387">
        <f t="shared" si="166"/>
        <v>72</v>
      </c>
      <c r="D387">
        <f t="shared" si="166"/>
        <v>5</v>
      </c>
      <c r="E387">
        <f t="shared" si="166"/>
        <v>4</v>
      </c>
      <c r="F387" t="str">
        <f t="shared" si="166"/>
        <v>Current</v>
      </c>
      <c r="G387" t="str">
        <f t="shared" si="166"/>
        <v>Current</v>
      </c>
      <c r="H387">
        <f t="shared" si="166"/>
        <v>0.75</v>
      </c>
      <c r="I387" t="str">
        <f t="shared" si="166"/>
        <v>Improved</v>
      </c>
      <c r="J387" t="str">
        <f t="shared" si="166"/>
        <v>ASHP</v>
      </c>
      <c r="K387" t="s">
        <v>21</v>
      </c>
      <c r="L387" s="4">
        <f t="shared" si="140"/>
        <v>12403050.953946685</v>
      </c>
      <c r="M387" s="4">
        <f t="shared" si="141"/>
        <v>1768753.0999999999</v>
      </c>
      <c r="N387" s="4">
        <f>Table3[[#This Row],[Natural Gas kWh]]+Table3[[#This Row],[Electricity kWh]]</f>
        <v>14171804.053946685</v>
      </c>
      <c r="O387" s="9">
        <f>Table3[[#This Row],[Total Energy kWh]]/$V$20</f>
        <v>130.60388297831813</v>
      </c>
      <c r="P387" s="9">
        <f t="shared" si="142"/>
        <v>47.012509149565126</v>
      </c>
      <c r="Q387" s="12">
        <f>((L387*Processed!$V$21)+(Table3[[#This Row],[Natural Gas kWh]]*Processed!$V$22))/Processed!$V$20</f>
        <v>22.528668033054515</v>
      </c>
      <c r="R387" s="10">
        <f>1-(O387/Processed!$V$23)</f>
        <v>0.39517998115463482</v>
      </c>
      <c r="S387" s="11">
        <f>1-(Processed!Q387/Processed!$V$24)</f>
        <v>0.42008698970201819</v>
      </c>
    </row>
    <row r="388" spans="2:19">
      <c r="B388" t="str">
        <f t="shared" ref="B388:J388" si="167">B172</f>
        <v>1ABABA</v>
      </c>
      <c r="C388">
        <f t="shared" si="167"/>
        <v>72</v>
      </c>
      <c r="D388">
        <f t="shared" si="167"/>
        <v>5</v>
      </c>
      <c r="E388">
        <f t="shared" si="167"/>
        <v>4</v>
      </c>
      <c r="F388" t="str">
        <f t="shared" si="167"/>
        <v>Current</v>
      </c>
      <c r="G388">
        <f t="shared" si="167"/>
        <v>0.25</v>
      </c>
      <c r="H388" t="str">
        <f t="shared" si="167"/>
        <v>None</v>
      </c>
      <c r="I388" t="str">
        <f t="shared" si="167"/>
        <v>Improved</v>
      </c>
      <c r="J388" t="str">
        <f t="shared" si="167"/>
        <v>ASHP</v>
      </c>
      <c r="K388" t="s">
        <v>21</v>
      </c>
      <c r="L388" s="4">
        <f t="shared" si="140"/>
        <v>12851810.916699603</v>
      </c>
      <c r="M388" s="4">
        <f t="shared" si="141"/>
        <v>2429556</v>
      </c>
      <c r="N388" s="4">
        <f>Table3[[#This Row],[Natural Gas kWh]]+Table3[[#This Row],[Electricity kWh]]</f>
        <v>15281366.916699603</v>
      </c>
      <c r="O388" s="9">
        <f>Table3[[#This Row],[Total Energy kWh]]/$V$20</f>
        <v>140.82934317607703</v>
      </c>
      <c r="P388" s="9">
        <f t="shared" si="142"/>
        <v>80.241682682946603</v>
      </c>
      <c r="Q388" s="12">
        <f>((L388*Processed!$V$21)+(Table3[[#This Row],[Natural Gas kWh]]*Processed!$V$22))/Processed!$V$20</f>
        <v>24.388792227575621</v>
      </c>
      <c r="R388" s="10">
        <f>1-(O388/Processed!$V$23)</f>
        <v>0.34782638883810468</v>
      </c>
      <c r="S388" s="11">
        <f>1-(Processed!Q388/Processed!$V$24)</f>
        <v>0.3722053209060584</v>
      </c>
    </row>
    <row r="389" spans="2:19">
      <c r="B389" t="str">
        <f t="shared" ref="B389:J389" si="168">B173</f>
        <v>1ABABB</v>
      </c>
      <c r="C389">
        <f t="shared" si="168"/>
        <v>72</v>
      </c>
      <c r="D389">
        <f t="shared" si="168"/>
        <v>5</v>
      </c>
      <c r="E389">
        <f t="shared" si="168"/>
        <v>4</v>
      </c>
      <c r="F389" t="str">
        <f t="shared" si="168"/>
        <v>Current</v>
      </c>
      <c r="G389">
        <f t="shared" si="168"/>
        <v>0.25</v>
      </c>
      <c r="H389">
        <f t="shared" si="168"/>
        <v>0.75</v>
      </c>
      <c r="I389" t="str">
        <f t="shared" si="168"/>
        <v>Improved</v>
      </c>
      <c r="J389" t="str">
        <f t="shared" si="168"/>
        <v>ASHP</v>
      </c>
      <c r="K389" t="s">
        <v>21</v>
      </c>
      <c r="L389" s="4">
        <f t="shared" si="140"/>
        <v>11980356.989030287</v>
      </c>
      <c r="M389" s="4">
        <f t="shared" si="141"/>
        <v>1795972.8</v>
      </c>
      <c r="N389" s="4">
        <f>Table3[[#This Row],[Natural Gas kWh]]+Table3[[#This Row],[Electricity kWh]]</f>
        <v>13776329.789030287</v>
      </c>
      <c r="O389" s="9">
        <f>Table3[[#This Row],[Total Energy kWh]]/$V$20</f>
        <v>126.95928879542768</v>
      </c>
      <c r="P389" s="9">
        <f t="shared" si="142"/>
        <v>49.607970653553501</v>
      </c>
      <c r="Q389" s="12">
        <f>((L389*Processed!$V$21)+(Table3[[#This Row],[Natural Gas kWh]]*Processed!$V$22))/Processed!$V$20</f>
        <v>21.914104024032838</v>
      </c>
      <c r="R389" s="10">
        <f>1-(O389/Processed!$V$23)</f>
        <v>0.41205791366407973</v>
      </c>
      <c r="S389" s="11">
        <f>1-(Processed!Q389/Processed!$V$24)</f>
        <v>0.43590655186919336</v>
      </c>
    </row>
    <row r="390" spans="2:19">
      <c r="B390" t="str">
        <f t="shared" ref="B390:J390" si="169">B174</f>
        <v>1ABBAA</v>
      </c>
      <c r="C390">
        <f t="shared" si="169"/>
        <v>72</v>
      </c>
      <c r="D390">
        <f t="shared" si="169"/>
        <v>5</v>
      </c>
      <c r="E390">
        <f t="shared" si="169"/>
        <v>4</v>
      </c>
      <c r="F390" t="str">
        <f t="shared" si="169"/>
        <v>Improved</v>
      </c>
      <c r="G390" t="str">
        <f t="shared" si="169"/>
        <v>Current</v>
      </c>
      <c r="H390" t="str">
        <f t="shared" si="169"/>
        <v>None</v>
      </c>
      <c r="I390" t="str">
        <f t="shared" si="169"/>
        <v>Improved</v>
      </c>
      <c r="J390" t="str">
        <f t="shared" si="169"/>
        <v>ASHP</v>
      </c>
      <c r="K390" t="s">
        <v>21</v>
      </c>
      <c r="L390" s="4">
        <f t="shared" si="140"/>
        <v>13216056.886467187</v>
      </c>
      <c r="M390" s="4">
        <f t="shared" si="141"/>
        <v>2369930.5</v>
      </c>
      <c r="N390" s="4">
        <f>Table3[[#This Row],[Natural Gas kWh]]+Table3[[#This Row],[Electricity kWh]]</f>
        <v>15585987.386467187</v>
      </c>
      <c r="O390" s="9">
        <f>Table3[[#This Row],[Total Energy kWh]]/$V$20</f>
        <v>143.63665098494036</v>
      </c>
      <c r="P390" s="9">
        <f t="shared" si="142"/>
        <v>75.83941727911558</v>
      </c>
      <c r="Q390" s="12">
        <f>((L390*Processed!$V$21)+(Table3[[#This Row],[Natural Gas kWh]]*Processed!$V$22))/Processed!$V$20</f>
        <v>24.855044674337663</v>
      </c>
      <c r="R390" s="10">
        <f>1-(O390/Processed!$V$23)</f>
        <v>0.33482588745068931</v>
      </c>
      <c r="S390" s="11">
        <f>1-(Processed!Q390/Processed!$V$24)</f>
        <v>0.36020346355861732</v>
      </c>
    </row>
    <row r="391" spans="2:19">
      <c r="B391" t="str">
        <f t="shared" ref="B391:J391" si="170">B175</f>
        <v>1ABBAB</v>
      </c>
      <c r="C391">
        <f t="shared" si="170"/>
        <v>72</v>
      </c>
      <c r="D391">
        <f t="shared" si="170"/>
        <v>5</v>
      </c>
      <c r="E391">
        <f t="shared" si="170"/>
        <v>4</v>
      </c>
      <c r="F391" t="str">
        <f t="shared" si="170"/>
        <v>Improved</v>
      </c>
      <c r="G391" t="str">
        <f t="shared" si="170"/>
        <v>Current</v>
      </c>
      <c r="H391">
        <f t="shared" si="170"/>
        <v>0.75</v>
      </c>
      <c r="I391" t="str">
        <f t="shared" si="170"/>
        <v>Improved</v>
      </c>
      <c r="J391" t="str">
        <f t="shared" si="170"/>
        <v>ASHP</v>
      </c>
      <c r="K391" t="s">
        <v>21</v>
      </c>
      <c r="L391" s="4">
        <f t="shared" si="140"/>
        <v>12328921.960099394</v>
      </c>
      <c r="M391" s="4">
        <f t="shared" si="141"/>
        <v>1736904</v>
      </c>
      <c r="N391" s="4">
        <f>Table3[[#This Row],[Natural Gas kWh]]+Table3[[#This Row],[Electricity kWh]]</f>
        <v>14065825.960099394</v>
      </c>
      <c r="O391" s="9">
        <f>Table3[[#This Row],[Total Energy kWh]]/$V$20</f>
        <v>129.62721476343111</v>
      </c>
      <c r="P391" s="9">
        <f t="shared" si="142"/>
        <v>45.040433104576941</v>
      </c>
      <c r="Q391" s="12">
        <f>((L391*Processed!$V$21)+(Table3[[#This Row],[Natural Gas kWh]]*Processed!$V$22))/Processed!$V$20</f>
        <v>22.356764166071869</v>
      </c>
      <c r="R391" s="10">
        <f>1-(O391/Processed!$V$23)</f>
        <v>0.39970288257734132</v>
      </c>
      <c r="S391" s="11">
        <f>1-(Processed!Q391/Processed!$V$24)</f>
        <v>0.42451198672525559</v>
      </c>
    </row>
    <row r="392" spans="2:19">
      <c r="B392" t="str">
        <f t="shared" ref="B392:J392" si="171">B176</f>
        <v>1ABBBA</v>
      </c>
      <c r="C392">
        <f t="shared" si="171"/>
        <v>72</v>
      </c>
      <c r="D392">
        <f t="shared" si="171"/>
        <v>5</v>
      </c>
      <c r="E392">
        <f t="shared" si="171"/>
        <v>4</v>
      </c>
      <c r="F392" t="str">
        <f t="shared" si="171"/>
        <v>Improved</v>
      </c>
      <c r="G392">
        <f t="shared" si="171"/>
        <v>0.25</v>
      </c>
      <c r="H392" t="str">
        <f t="shared" si="171"/>
        <v>None</v>
      </c>
      <c r="I392" t="str">
        <f t="shared" si="171"/>
        <v>Improved</v>
      </c>
      <c r="J392" t="str">
        <f t="shared" si="171"/>
        <v>ASHP</v>
      </c>
      <c r="K392" t="s">
        <v>21</v>
      </c>
      <c r="L392" s="4">
        <f t="shared" si="140"/>
        <v>12783109.922401786</v>
      </c>
      <c r="M392" s="4">
        <f t="shared" si="141"/>
        <v>2398498</v>
      </c>
      <c r="N392" s="4">
        <f>Table3[[#This Row],[Natural Gas kWh]]+Table3[[#This Row],[Electricity kWh]]</f>
        <v>15181607.922401786</v>
      </c>
      <c r="O392" s="9">
        <f>Table3[[#This Row],[Total Energy kWh]]/$V$20</f>
        <v>139.90998866286822</v>
      </c>
      <c r="P392" s="9">
        <f t="shared" si="142"/>
        <v>78.304760755259537</v>
      </c>
      <c r="Q392" s="12">
        <f>((L392*Processed!$V$21)+(Table3[[#This Row],[Natural Gas kWh]]*Processed!$V$22))/Processed!$V$20</f>
        <v>24.226777501563831</v>
      </c>
      <c r="R392" s="10">
        <f>1-(O392/Processed!$V$23)</f>
        <v>0.35208387338852076</v>
      </c>
      <c r="S392" s="11">
        <f>1-(Processed!Q392/Processed!$V$24)</f>
        <v>0.37637576042499699</v>
      </c>
    </row>
    <row r="393" spans="2:19">
      <c r="B393" t="str">
        <f t="shared" ref="B393:J393" si="172">B177</f>
        <v>1ABBBB</v>
      </c>
      <c r="C393">
        <f t="shared" si="172"/>
        <v>72</v>
      </c>
      <c r="D393">
        <f t="shared" si="172"/>
        <v>5</v>
      </c>
      <c r="E393">
        <f t="shared" si="172"/>
        <v>4</v>
      </c>
      <c r="F393" t="str">
        <f t="shared" si="172"/>
        <v>Improved</v>
      </c>
      <c r="G393">
        <f t="shared" si="172"/>
        <v>0.25</v>
      </c>
      <c r="H393">
        <f t="shared" si="172"/>
        <v>0.75</v>
      </c>
      <c r="I393" t="str">
        <f t="shared" si="172"/>
        <v>Improved</v>
      </c>
      <c r="J393" t="str">
        <f t="shared" si="172"/>
        <v>ASHP</v>
      </c>
      <c r="K393" t="s">
        <v>21</v>
      </c>
      <c r="L393" s="4">
        <f t="shared" si="140"/>
        <v>11903869.995378708</v>
      </c>
      <c r="M393" s="4">
        <f t="shared" si="141"/>
        <v>1765207.8</v>
      </c>
      <c r="N393" s="4">
        <f>Table3[[#This Row],[Natural Gas kWh]]+Table3[[#This Row],[Electricity kWh]]</f>
        <v>13669077.795378709</v>
      </c>
      <c r="O393" s="9">
        <f>Table3[[#This Row],[Total Energy kWh]]/$V$20</f>
        <v>125.97088063124895</v>
      </c>
      <c r="P393" s="9">
        <f t="shared" si="142"/>
        <v>47.601545155751154</v>
      </c>
      <c r="Q393" s="12">
        <f>((L393*Processed!$V$21)+(Table3[[#This Row],[Natural Gas kWh]]*Processed!$V$22))/Processed!$V$20</f>
        <v>21.740404181684145</v>
      </c>
      <c r="R393" s="10">
        <f>1-(O393/Processed!$V$23)</f>
        <v>0.41663518220198947</v>
      </c>
      <c r="S393" s="11">
        <f>1-(Processed!Q393/Processed!$V$24)</f>
        <v>0.44037777929892508</v>
      </c>
    </row>
    <row r="394" spans="2:19">
      <c r="B394" t="str">
        <f t="shared" ref="B394:J394" si="173">B178</f>
        <v>1ACAAA</v>
      </c>
      <c r="C394">
        <f t="shared" si="173"/>
        <v>72</v>
      </c>
      <c r="D394">
        <f t="shared" si="173"/>
        <v>5</v>
      </c>
      <c r="E394">
        <f t="shared" si="173"/>
        <v>5.5</v>
      </c>
      <c r="F394" t="str">
        <f t="shared" si="173"/>
        <v>Current</v>
      </c>
      <c r="G394" t="str">
        <f t="shared" si="173"/>
        <v>Current</v>
      </c>
      <c r="H394" t="str">
        <f t="shared" si="173"/>
        <v>None</v>
      </c>
      <c r="I394" t="str">
        <f t="shared" si="173"/>
        <v>Improved</v>
      </c>
      <c r="J394" t="str">
        <f t="shared" si="173"/>
        <v>ASHP</v>
      </c>
      <c r="K394" t="s">
        <v>21</v>
      </c>
      <c r="L394" s="4">
        <f t="shared" si="140"/>
        <v>13156272.891429259</v>
      </c>
      <c r="M394" s="4">
        <f t="shared" si="141"/>
        <v>2339341.3000000003</v>
      </c>
      <c r="N394" s="4">
        <f>Table3[[#This Row],[Natural Gas kWh]]+Table3[[#This Row],[Electricity kWh]]</f>
        <v>15495614.191429259</v>
      </c>
      <c r="O394" s="9">
        <f>Table3[[#This Row],[Total Energy kWh]]/$V$20</f>
        <v>142.80379370409028</v>
      </c>
      <c r="P394" s="9">
        <f t="shared" si="142"/>
        <v>74.117294865768088</v>
      </c>
      <c r="Q394" s="12">
        <f>((L394*Processed!$V$21)+(Table3[[#This Row],[Natural Gas kWh]]*Processed!$V$22))/Processed!$V$20</f>
        <v>24.70782088475163</v>
      </c>
      <c r="R394" s="10">
        <f>1-(O394/Processed!$V$23)</f>
        <v>0.33868280766479097</v>
      </c>
      <c r="S394" s="11">
        <f>1-(Processed!Q394/Processed!$V$24)</f>
        <v>0.36399316789804148</v>
      </c>
    </row>
    <row r="395" spans="2:19">
      <c r="B395" t="str">
        <f t="shared" ref="B395:J395" si="174">B179</f>
        <v>1ACAAB</v>
      </c>
      <c r="C395">
        <f t="shared" si="174"/>
        <v>72</v>
      </c>
      <c r="D395">
        <f t="shared" si="174"/>
        <v>5</v>
      </c>
      <c r="E395">
        <f t="shared" si="174"/>
        <v>5.5</v>
      </c>
      <c r="F395" t="str">
        <f t="shared" si="174"/>
        <v>Current</v>
      </c>
      <c r="G395" t="str">
        <f t="shared" si="174"/>
        <v>Current</v>
      </c>
      <c r="H395">
        <f t="shared" si="174"/>
        <v>0.75</v>
      </c>
      <c r="I395" t="str">
        <f t="shared" si="174"/>
        <v>Improved</v>
      </c>
      <c r="J395" t="str">
        <f t="shared" si="174"/>
        <v>ASHP</v>
      </c>
      <c r="K395" t="s">
        <v>21</v>
      </c>
      <c r="L395" s="4">
        <f t="shared" si="140"/>
        <v>12256566.966104856</v>
      </c>
      <c r="M395" s="4">
        <f t="shared" si="141"/>
        <v>1708922.5</v>
      </c>
      <c r="N395" s="4">
        <f>Table3[[#This Row],[Natural Gas kWh]]+Table3[[#This Row],[Electricity kWh]]</f>
        <v>13965489.466104856</v>
      </c>
      <c r="O395" s="9">
        <f>Table3[[#This Row],[Total Energy kWh]]/$V$20</f>
        <v>128.70253815414171</v>
      </c>
      <c r="P395" s="9">
        <f t="shared" si="142"/>
        <v>43.032849213939329</v>
      </c>
      <c r="Q395" s="12">
        <f>((L395*Processed!$V$21)+(Table3[[#This Row],[Natural Gas kWh]]*Processed!$V$22))/Processed!$V$20</f>
        <v>22.194411729170206</v>
      </c>
      <c r="R395" s="10">
        <f>1-(O395/Processed!$V$23)</f>
        <v>0.40398501348725557</v>
      </c>
      <c r="S395" s="11">
        <f>1-(Processed!Q395/Processed!$V$24)</f>
        <v>0.42869111929868242</v>
      </c>
    </row>
    <row r="396" spans="2:19">
      <c r="B396" t="str">
        <f t="shared" ref="B396:J396" si="175">B180</f>
        <v>1ACABA</v>
      </c>
      <c r="C396">
        <f t="shared" si="175"/>
        <v>72</v>
      </c>
      <c r="D396">
        <f t="shared" si="175"/>
        <v>5</v>
      </c>
      <c r="E396">
        <f t="shared" si="175"/>
        <v>5.5</v>
      </c>
      <c r="F396" t="str">
        <f t="shared" si="175"/>
        <v>Current</v>
      </c>
      <c r="G396">
        <f t="shared" si="175"/>
        <v>0.25</v>
      </c>
      <c r="H396" t="str">
        <f t="shared" si="175"/>
        <v>None</v>
      </c>
      <c r="I396" t="str">
        <f t="shared" si="175"/>
        <v>Improved</v>
      </c>
      <c r="J396" t="str">
        <f t="shared" si="175"/>
        <v>ASHP</v>
      </c>
      <c r="K396" t="s">
        <v>21</v>
      </c>
      <c r="L396" s="4">
        <f t="shared" si="140"/>
        <v>12719089.927715447</v>
      </c>
      <c r="M396" s="4">
        <f t="shared" si="141"/>
        <v>2365154.6</v>
      </c>
      <c r="N396" s="4">
        <f>Table3[[#This Row],[Natural Gas kWh]]+Table3[[#This Row],[Electricity kWh]]</f>
        <v>15084244.527715446</v>
      </c>
      <c r="O396" s="9">
        <f>Table3[[#This Row],[Total Energy kWh]]/$V$20</f>
        <v>139.01271141026288</v>
      </c>
      <c r="P396" s="9">
        <f t="shared" si="142"/>
        <v>76.486688852383054</v>
      </c>
      <c r="Q396" s="12">
        <f>((L396*Processed!$V$21)+(Table3[[#This Row],[Natural Gas kWh]]*Processed!$V$22))/Processed!$V$20</f>
        <v>24.068094676096351</v>
      </c>
      <c r="R396" s="10">
        <f>1-(O396/Processed!$V$23)</f>
        <v>0.35623911925452889</v>
      </c>
      <c r="S396" s="11">
        <f>1-(Processed!Q396/Processed!$V$24)</f>
        <v>0.38046043311245548</v>
      </c>
    </row>
    <row r="397" spans="2:19">
      <c r="B397" t="str">
        <f t="shared" ref="B397:J397" si="176">B181</f>
        <v>1ACABB</v>
      </c>
      <c r="C397">
        <f t="shared" si="176"/>
        <v>72</v>
      </c>
      <c r="D397">
        <f t="shared" si="176"/>
        <v>5</v>
      </c>
      <c r="E397">
        <f t="shared" si="176"/>
        <v>5.5</v>
      </c>
      <c r="F397" t="str">
        <f t="shared" si="176"/>
        <v>Current</v>
      </c>
      <c r="G397">
        <f t="shared" si="176"/>
        <v>0.25</v>
      </c>
      <c r="H397">
        <f t="shared" si="176"/>
        <v>0.75</v>
      </c>
      <c r="I397" t="str">
        <f t="shared" si="176"/>
        <v>Improved</v>
      </c>
      <c r="J397" t="str">
        <f t="shared" si="176"/>
        <v>ASHP</v>
      </c>
      <c r="K397" t="s">
        <v>21</v>
      </c>
      <c r="L397" s="4">
        <f t="shared" si="140"/>
        <v>11826932.001764564</v>
      </c>
      <c r="M397" s="4">
        <f t="shared" si="141"/>
        <v>1732655.5</v>
      </c>
      <c r="N397" s="4">
        <f>Table3[[#This Row],[Natural Gas kWh]]+Table3[[#This Row],[Electricity kWh]]</f>
        <v>13559587.501764564</v>
      </c>
      <c r="O397" s="9">
        <f>Table3[[#This Row],[Total Energy kWh]]/$V$20</f>
        <v>124.96184484159159</v>
      </c>
      <c r="P397" s="9">
        <f t="shared" si="142"/>
        <v>45.547720059277331</v>
      </c>
      <c r="Q397" s="12">
        <f>((L397*Processed!$V$21)+(Table3[[#This Row],[Natural Gas kWh]]*Processed!$V$22))/Processed!$V$20</f>
        <v>21.562868216603384</v>
      </c>
      <c r="R397" s="10">
        <f>1-(O397/Processed!$V$23)</f>
        <v>0.4213079762368922</v>
      </c>
      <c r="S397" s="11">
        <f>1-(Processed!Q397/Processed!$V$24)</f>
        <v>0.44494775280091303</v>
      </c>
    </row>
    <row r="398" spans="2:19">
      <c r="B398" t="str">
        <f t="shared" ref="B398:J398" si="177">B182</f>
        <v>1ACBAA</v>
      </c>
      <c r="C398">
        <f t="shared" si="177"/>
        <v>72</v>
      </c>
      <c r="D398">
        <f t="shared" si="177"/>
        <v>5</v>
      </c>
      <c r="E398">
        <f t="shared" si="177"/>
        <v>5.5</v>
      </c>
      <c r="F398" t="str">
        <f t="shared" si="177"/>
        <v>Improved</v>
      </c>
      <c r="G398" t="str">
        <f t="shared" si="177"/>
        <v>Current</v>
      </c>
      <c r="H398" t="str">
        <f t="shared" si="177"/>
        <v>None</v>
      </c>
      <c r="I398" t="str">
        <f t="shared" si="177"/>
        <v>Improved</v>
      </c>
      <c r="J398" t="str">
        <f t="shared" si="177"/>
        <v>ASHP</v>
      </c>
      <c r="K398" t="s">
        <v>21</v>
      </c>
      <c r="L398" s="4">
        <f t="shared" si="140"/>
        <v>13074972.89817716</v>
      </c>
      <c r="M398" s="4">
        <f t="shared" si="141"/>
        <v>2312561.1</v>
      </c>
      <c r="N398" s="4">
        <f>Table3[[#This Row],[Natural Gas kWh]]+Table3[[#This Row],[Electricity kWh]]</f>
        <v>15387533.99817716</v>
      </c>
      <c r="O398" s="9">
        <f>Table3[[#This Row],[Total Energy kWh]]/$V$20</f>
        <v>141.80775305478141</v>
      </c>
      <c r="P398" s="9">
        <f t="shared" si="142"/>
        <v>72.056497810551548</v>
      </c>
      <c r="Q398" s="12">
        <f>((L398*Processed!$V$21)+(Table3[[#This Row],[Natural Gas kWh]]*Processed!$V$22))/Processed!$V$20</f>
        <v>24.533557978791396</v>
      </c>
      <c r="R398" s="10">
        <f>1-(O398/Processed!$V$23)</f>
        <v>0.34329542185778361</v>
      </c>
      <c r="S398" s="11">
        <f>1-(Processed!Q398/Processed!$V$24)</f>
        <v>0.36847888921234206</v>
      </c>
    </row>
    <row r="399" spans="2:19">
      <c r="B399" t="str">
        <f t="shared" ref="B399:J399" si="178">B183</f>
        <v>1ACBAB</v>
      </c>
      <c r="C399">
        <f t="shared" si="178"/>
        <v>72</v>
      </c>
      <c r="D399">
        <f t="shared" si="178"/>
        <v>5</v>
      </c>
      <c r="E399">
        <f t="shared" si="178"/>
        <v>5.5</v>
      </c>
      <c r="F399" t="str">
        <f t="shared" si="178"/>
        <v>Improved</v>
      </c>
      <c r="G399" t="str">
        <f t="shared" si="178"/>
        <v>Current</v>
      </c>
      <c r="H399">
        <f t="shared" si="178"/>
        <v>0.75</v>
      </c>
      <c r="I399" t="str">
        <f t="shared" si="178"/>
        <v>Improved</v>
      </c>
      <c r="J399" t="str">
        <f t="shared" si="178"/>
        <v>ASHP</v>
      </c>
      <c r="K399" t="s">
        <v>21</v>
      </c>
      <c r="L399" s="4">
        <f t="shared" si="140"/>
        <v>12182235.97227433</v>
      </c>
      <c r="M399" s="4">
        <f t="shared" si="141"/>
        <v>1679476</v>
      </c>
      <c r="N399" s="4">
        <f>Table3[[#This Row],[Natural Gas kWh]]+Table3[[#This Row],[Electricity kWh]]</f>
        <v>13861711.97227433</v>
      </c>
      <c r="O399" s="9">
        <f>Table3[[#This Row],[Total Energy kWh]]/$V$20</f>
        <v>127.74615013124559</v>
      </c>
      <c r="P399" s="9">
        <f t="shared" si="142"/>
        <v>41.065800971886439</v>
      </c>
      <c r="Q399" s="12">
        <f>((L399*Processed!$V$21)+(Table3[[#This Row],[Natural Gas kWh]]*Processed!$V$22))/Processed!$V$20</f>
        <v>22.026398330315484</v>
      </c>
      <c r="R399" s="10">
        <f>1-(O399/Processed!$V$23)</f>
        <v>0.40841399835999126</v>
      </c>
      <c r="S399" s="11">
        <f>1-(Processed!Q399/Processed!$V$24)</f>
        <v>0.4330159713386379</v>
      </c>
    </row>
    <row r="400" spans="2:19">
      <c r="B400" t="str">
        <f t="shared" ref="B400:J400" si="179">B184</f>
        <v>1ACBBA</v>
      </c>
      <c r="C400">
        <f t="shared" si="179"/>
        <v>72</v>
      </c>
      <c r="D400">
        <f t="shared" si="179"/>
        <v>5</v>
      </c>
      <c r="E400">
        <f t="shared" si="179"/>
        <v>5.5</v>
      </c>
      <c r="F400" t="str">
        <f t="shared" si="179"/>
        <v>Improved</v>
      </c>
      <c r="G400">
        <f t="shared" si="179"/>
        <v>0.25</v>
      </c>
      <c r="H400" t="str">
        <f t="shared" si="179"/>
        <v>None</v>
      </c>
      <c r="I400" t="str">
        <f t="shared" si="179"/>
        <v>Improved</v>
      </c>
      <c r="J400" t="str">
        <f t="shared" si="179"/>
        <v>ASHP</v>
      </c>
      <c r="K400" t="s">
        <v>21</v>
      </c>
      <c r="L400" s="4">
        <f t="shared" si="140"/>
        <v>12648473.933576576</v>
      </c>
      <c r="M400" s="4">
        <f t="shared" si="141"/>
        <v>2335356.5</v>
      </c>
      <c r="N400" s="4">
        <f>Table3[[#This Row],[Natural Gas kWh]]+Table3[[#This Row],[Electricity kWh]]</f>
        <v>14983830.433576576</v>
      </c>
      <c r="O400" s="9">
        <f>Table3[[#This Row],[Total Energy kWh]]/$V$20</f>
        <v>138.08731965700653</v>
      </c>
      <c r="P400" s="9">
        <f t="shared" si="142"/>
        <v>74.593815554816047</v>
      </c>
      <c r="Q400" s="12">
        <f>((L400*Processed!$V$21)+(Table3[[#This Row],[Natural Gas kWh]]*Processed!$V$22))/Processed!$V$20</f>
        <v>23.905285837886812</v>
      </c>
      <c r="R400" s="10">
        <f>1-(O400/Processed!$V$23)</f>
        <v>0.36052456196021609</v>
      </c>
      <c r="S400" s="11">
        <f>1-(Processed!Q400/Processed!$V$24)</f>
        <v>0.38465131396394137</v>
      </c>
    </row>
    <row r="401" spans="2:19">
      <c r="B401" t="str">
        <f t="shared" ref="B401:J401" si="180">B185</f>
        <v>1ACBBB</v>
      </c>
      <c r="C401">
        <f t="shared" si="180"/>
        <v>72</v>
      </c>
      <c r="D401">
        <f t="shared" si="180"/>
        <v>5</v>
      </c>
      <c r="E401">
        <f t="shared" si="180"/>
        <v>5.5</v>
      </c>
      <c r="F401" t="str">
        <f t="shared" si="180"/>
        <v>Improved</v>
      </c>
      <c r="G401">
        <f t="shared" si="180"/>
        <v>0.25</v>
      </c>
      <c r="H401">
        <f t="shared" si="180"/>
        <v>0.75</v>
      </c>
      <c r="I401" t="str">
        <f t="shared" si="180"/>
        <v>Improved</v>
      </c>
      <c r="J401" t="str">
        <f t="shared" si="180"/>
        <v>ASHP</v>
      </c>
      <c r="K401" t="s">
        <v>21</v>
      </c>
      <c r="L401" s="4">
        <f t="shared" si="140"/>
        <v>11750833.008080779</v>
      </c>
      <c r="M401" s="4">
        <f t="shared" si="141"/>
        <v>1703384.8</v>
      </c>
      <c r="N401" s="4">
        <f>Table3[[#This Row],[Natural Gas kWh]]+Table3[[#This Row],[Electricity kWh]]</f>
        <v>13454217.808080779</v>
      </c>
      <c r="O401" s="9">
        <f>Table3[[#This Row],[Total Energy kWh]]/$V$20</f>
        <v>123.99078349393587</v>
      </c>
      <c r="P401" s="9">
        <f t="shared" si="142"/>
        <v>43.541488977055721</v>
      </c>
      <c r="Q401" s="12">
        <f>((L401*Processed!$V$21)+(Table3[[#This Row],[Natural Gas kWh]]*Processed!$V$22))/Processed!$V$20</f>
        <v>21.392392755136317</v>
      </c>
      <c r="R401" s="10">
        <f>1-(O401/Processed!$V$23)</f>
        <v>0.42580491253921204</v>
      </c>
      <c r="S401" s="11">
        <f>1-(Processed!Q401/Processed!$V$24)</f>
        <v>0.44933598107505035</v>
      </c>
    </row>
    <row r="402" spans="2:19">
      <c r="B402" t="str">
        <f t="shared" ref="B402:J402" si="181">B186</f>
        <v>1BAAAA</v>
      </c>
      <c r="C402">
        <f t="shared" si="181"/>
        <v>72</v>
      </c>
      <c r="D402">
        <f t="shared" si="181"/>
        <v>10</v>
      </c>
      <c r="E402">
        <f t="shared" si="181"/>
        <v>2.8</v>
      </c>
      <c r="F402" t="str">
        <f t="shared" si="181"/>
        <v>Current</v>
      </c>
      <c r="G402" t="str">
        <f t="shared" si="181"/>
        <v>Current</v>
      </c>
      <c r="H402" t="str">
        <f t="shared" si="181"/>
        <v>None</v>
      </c>
      <c r="I402" t="str">
        <f t="shared" si="181"/>
        <v>Improved</v>
      </c>
      <c r="J402" t="str">
        <f t="shared" si="181"/>
        <v>ASHP</v>
      </c>
      <c r="K402" t="s">
        <v>21</v>
      </c>
      <c r="L402" s="4">
        <f t="shared" si="140"/>
        <v>13353195.87508465</v>
      </c>
      <c r="M402" s="4">
        <f t="shared" si="141"/>
        <v>2442067.1</v>
      </c>
      <c r="N402" s="4">
        <f>Table3[[#This Row],[Natural Gas kWh]]+Table3[[#This Row],[Electricity kWh]]</f>
        <v>15795262.975084649</v>
      </c>
      <c r="O402" s="9">
        <f>Table3[[#This Row],[Total Energy kWh]]/$V$20</f>
        <v>145.5652836686813</v>
      </c>
      <c r="P402" s="9">
        <f t="shared" si="142"/>
        <v>79.853105341804024</v>
      </c>
      <c r="Q402" s="12">
        <f>((L402*Processed!$V$21)+(Table3[[#This Row],[Natural Gas kWh]]*Processed!$V$22))/Processed!$V$20</f>
        <v>25.196208096123257</v>
      </c>
      <c r="R402" s="10">
        <f>1-(O402/Processed!$V$23)</f>
        <v>0.32589448641172003</v>
      </c>
      <c r="S402" s="11">
        <f>1-(Processed!Q402/Processed!$V$24)</f>
        <v>0.35142153705319934</v>
      </c>
    </row>
    <row r="403" spans="2:19">
      <c r="B403" t="str">
        <f t="shared" ref="B403:J403" si="182">B187</f>
        <v>1BAAAB</v>
      </c>
      <c r="C403">
        <f t="shared" si="182"/>
        <v>72</v>
      </c>
      <c r="D403">
        <f t="shared" si="182"/>
        <v>10</v>
      </c>
      <c r="E403">
        <f t="shared" si="182"/>
        <v>2.8</v>
      </c>
      <c r="F403" t="str">
        <f t="shared" si="182"/>
        <v>Current</v>
      </c>
      <c r="G403" t="str">
        <f t="shared" si="182"/>
        <v>Current</v>
      </c>
      <c r="H403">
        <f t="shared" si="182"/>
        <v>0.75</v>
      </c>
      <c r="I403" t="str">
        <f t="shared" si="182"/>
        <v>Improved</v>
      </c>
      <c r="J403" t="str">
        <f t="shared" si="182"/>
        <v>ASHP</v>
      </c>
      <c r="K403" t="s">
        <v>21</v>
      </c>
      <c r="L403" s="4">
        <f t="shared" si="140"/>
        <v>12484200.947211236</v>
      </c>
      <c r="M403" s="4">
        <f t="shared" si="141"/>
        <v>1807546.3</v>
      </c>
      <c r="N403" s="4">
        <f>Table3[[#This Row],[Natural Gas kWh]]+Table3[[#This Row],[Electricity kWh]]</f>
        <v>14291747.247211237</v>
      </c>
      <c r="O403" s="9">
        <f>Table3[[#This Row],[Total Energy kWh]]/$V$20</f>
        <v>131.70925013676447</v>
      </c>
      <c r="P403" s="9">
        <f t="shared" si="142"/>
        <v>49.395463622936845</v>
      </c>
      <c r="Q403" s="12">
        <f>((L403*Processed!$V$21)+(Table3[[#This Row],[Natural Gas kWh]]*Processed!$V$22))/Processed!$V$20</f>
        <v>22.723730623015456</v>
      </c>
      <c r="R403" s="10">
        <f>1-(O403/Processed!$V$23)</f>
        <v>0.3900610813918034</v>
      </c>
      <c r="S403" s="11">
        <f>1-(Processed!Q403/Processed!$V$24)</f>
        <v>0.41506586135236168</v>
      </c>
    </row>
    <row r="404" spans="2:19">
      <c r="B404" t="str">
        <f t="shared" ref="B404:J404" si="183">B188</f>
        <v>1BAABA</v>
      </c>
      <c r="C404">
        <f t="shared" si="183"/>
        <v>72</v>
      </c>
      <c r="D404">
        <f t="shared" si="183"/>
        <v>10</v>
      </c>
      <c r="E404">
        <f t="shared" si="183"/>
        <v>2.8</v>
      </c>
      <c r="F404" t="str">
        <f t="shared" si="183"/>
        <v>Current</v>
      </c>
      <c r="G404">
        <f t="shared" si="183"/>
        <v>0.25</v>
      </c>
      <c r="H404" t="str">
        <f t="shared" si="183"/>
        <v>None</v>
      </c>
      <c r="I404" t="str">
        <f t="shared" si="183"/>
        <v>Improved</v>
      </c>
      <c r="J404" t="str">
        <f t="shared" si="183"/>
        <v>ASHP</v>
      </c>
      <c r="K404" t="s">
        <v>21</v>
      </c>
      <c r="L404" s="4">
        <f t="shared" si="140"/>
        <v>12920488.910999332</v>
      </c>
      <c r="M404" s="4">
        <f t="shared" si="141"/>
        <v>2467616.6999999997</v>
      </c>
      <c r="N404" s="4">
        <f>Table3[[#This Row],[Natural Gas kWh]]+Table3[[#This Row],[Electricity kWh]]</f>
        <v>15388105.610999331</v>
      </c>
      <c r="O404" s="9">
        <f>Table3[[#This Row],[Total Energy kWh]]/$V$20</f>
        <v>141.81302089886475</v>
      </c>
      <c r="P404" s="9">
        <f t="shared" si="142"/>
        <v>82.356627177616204</v>
      </c>
      <c r="Q404" s="12">
        <f>((L404*Processed!$V$21)+(Table3[[#This Row],[Natural Gas kWh]]*Processed!$V$22))/Processed!$V$20</f>
        <v>24.563032602654641</v>
      </c>
      <c r="R404" s="10">
        <f>1-(O404/Processed!$V$23)</f>
        <v>0.34327102673655829</v>
      </c>
      <c r="S404" s="11">
        <f>1-(Processed!Q404/Processed!$V$24)</f>
        <v>0.36772017956173797</v>
      </c>
    </row>
    <row r="405" spans="2:19">
      <c r="B405" t="str">
        <f t="shared" ref="B405:J405" si="184">B189</f>
        <v>1BAABB</v>
      </c>
      <c r="C405">
        <f t="shared" si="184"/>
        <v>72</v>
      </c>
      <c r="D405">
        <f t="shared" si="184"/>
        <v>10</v>
      </c>
      <c r="E405">
        <f t="shared" si="184"/>
        <v>2.8</v>
      </c>
      <c r="F405" t="str">
        <f t="shared" si="184"/>
        <v>Current</v>
      </c>
      <c r="G405">
        <f t="shared" si="184"/>
        <v>0.25</v>
      </c>
      <c r="H405">
        <f t="shared" si="184"/>
        <v>0.75</v>
      </c>
      <c r="I405" t="str">
        <f t="shared" si="184"/>
        <v>Improved</v>
      </c>
      <c r="J405" t="str">
        <f t="shared" si="184"/>
        <v>ASHP</v>
      </c>
      <c r="K405" t="s">
        <v>21</v>
      </c>
      <c r="L405" s="4">
        <f t="shared" si="140"/>
        <v>12067189.981823148</v>
      </c>
      <c r="M405" s="4">
        <f t="shared" si="141"/>
        <v>1831337.9000000001</v>
      </c>
      <c r="N405" s="4">
        <f>Table3[[#This Row],[Natural Gas kWh]]+Table3[[#This Row],[Electricity kWh]]</f>
        <v>13898527.881823149</v>
      </c>
      <c r="O405" s="9">
        <f>Table3[[#This Row],[Total Energy kWh]]/$V$20</f>
        <v>128.08543655689408</v>
      </c>
      <c r="P405" s="9">
        <f t="shared" si="142"/>
        <v>52.066415076797526</v>
      </c>
      <c r="Q405" s="12">
        <f>((L405*Processed!$V$21)+(Table3[[#This Row],[Natural Gas kWh]]*Processed!$V$22))/Processed!$V$20</f>
        <v>22.112067465869782</v>
      </c>
      <c r="R405" s="10">
        <f>1-(O405/Processed!$V$23)</f>
        <v>0.4068427799729486</v>
      </c>
      <c r="S405" s="11">
        <f>1-(Processed!Q405/Processed!$V$24)</f>
        <v>0.43081075236093247</v>
      </c>
    </row>
    <row r="406" spans="2:19">
      <c r="B406" t="str">
        <f t="shared" ref="B406:J406" si="185">B190</f>
        <v>1BABAA</v>
      </c>
      <c r="C406">
        <f t="shared" si="185"/>
        <v>72</v>
      </c>
      <c r="D406">
        <f t="shared" si="185"/>
        <v>10</v>
      </c>
      <c r="E406">
        <f t="shared" si="185"/>
        <v>2.8</v>
      </c>
      <c r="F406" t="str">
        <f t="shared" si="185"/>
        <v>Improved</v>
      </c>
      <c r="G406" t="str">
        <f t="shared" si="185"/>
        <v>Current</v>
      </c>
      <c r="H406" t="str">
        <f t="shared" si="185"/>
        <v>None</v>
      </c>
      <c r="I406" t="str">
        <f t="shared" si="185"/>
        <v>Improved</v>
      </c>
      <c r="J406" t="str">
        <f t="shared" si="185"/>
        <v>ASHP</v>
      </c>
      <c r="K406" t="s">
        <v>21</v>
      </c>
      <c r="L406" s="4">
        <f t="shared" si="140"/>
        <v>13280577.881111944</v>
      </c>
      <c r="M406" s="4">
        <f t="shared" si="141"/>
        <v>2410921.1999999997</v>
      </c>
      <c r="N406" s="4">
        <f>Table3[[#This Row],[Natural Gas kWh]]+Table3[[#This Row],[Electricity kWh]]</f>
        <v>15691499.081111943</v>
      </c>
      <c r="O406" s="9">
        <f>Table3[[#This Row],[Total Energy kWh]]/$V$20</f>
        <v>144.60902097875143</v>
      </c>
      <c r="P406" s="9">
        <f t="shared" si="142"/>
        <v>77.980688883677331</v>
      </c>
      <c r="Q406" s="12">
        <f>((L406*Processed!$V$21)+(Table3[[#This Row],[Natural Gas kWh]]*Processed!$V$22))/Processed!$V$20</f>
        <v>25.027902778770493</v>
      </c>
      <c r="R406" s="10">
        <f>1-(O406/Processed!$V$23)</f>
        <v>0.3303228908737873</v>
      </c>
      <c r="S406" s="11">
        <f>1-(Processed!Q406/Processed!$V$24)</f>
        <v>0.35575390340046831</v>
      </c>
    </row>
    <row r="407" spans="2:19">
      <c r="B407" t="str">
        <f t="shared" ref="B407:J407" si="186">B191</f>
        <v>1BABAB</v>
      </c>
      <c r="C407">
        <f t="shared" si="186"/>
        <v>72</v>
      </c>
      <c r="D407">
        <f t="shared" si="186"/>
        <v>10</v>
      </c>
      <c r="E407">
        <f t="shared" si="186"/>
        <v>2.8</v>
      </c>
      <c r="F407" t="str">
        <f t="shared" si="186"/>
        <v>Improved</v>
      </c>
      <c r="G407" t="str">
        <f t="shared" si="186"/>
        <v>Current</v>
      </c>
      <c r="H407">
        <f t="shared" si="186"/>
        <v>0.75</v>
      </c>
      <c r="I407" t="str">
        <f t="shared" si="186"/>
        <v>Improved</v>
      </c>
      <c r="J407" t="str">
        <f t="shared" si="186"/>
        <v>ASHP</v>
      </c>
      <c r="K407" t="s">
        <v>21</v>
      </c>
      <c r="L407" s="4">
        <f t="shared" si="140"/>
        <v>12406875.953629211</v>
      </c>
      <c r="M407" s="4">
        <f t="shared" si="141"/>
        <v>1775902.3</v>
      </c>
      <c r="N407" s="4">
        <f>Table3[[#This Row],[Natural Gas kWh]]+Table3[[#This Row],[Electricity kWh]]</f>
        <v>14182778.253629211</v>
      </c>
      <c r="O407" s="9">
        <f>Table3[[#This Row],[Total Energy kWh]]/$V$20</f>
        <v>130.70501852081233</v>
      </c>
      <c r="P407" s="9">
        <f t="shared" si="142"/>
        <v>47.414079932020634</v>
      </c>
      <c r="Q407" s="12">
        <f>((L407*Processed!$V$21)+(Table3[[#This Row],[Natural Gas kWh]]*Processed!$V$22))/Processed!$V$20</f>
        <v>22.547178780881328</v>
      </c>
      <c r="R407" s="10">
        <f>1-(O407/Processed!$V$23)</f>
        <v>0.39471162753970102</v>
      </c>
      <c r="S407" s="11">
        <f>1-(Processed!Q407/Processed!$V$24)</f>
        <v>0.41961050243346931</v>
      </c>
    </row>
    <row r="408" spans="2:19">
      <c r="B408" t="str">
        <f t="shared" ref="B408:J408" si="187">B192</f>
        <v>1BABBA</v>
      </c>
      <c r="C408">
        <f t="shared" si="187"/>
        <v>72</v>
      </c>
      <c r="D408">
        <f t="shared" si="187"/>
        <v>10</v>
      </c>
      <c r="E408">
        <f t="shared" si="187"/>
        <v>2.8</v>
      </c>
      <c r="F408" t="str">
        <f t="shared" si="187"/>
        <v>Improved</v>
      </c>
      <c r="G408">
        <f t="shared" si="187"/>
        <v>0.25</v>
      </c>
      <c r="H408" t="str">
        <f t="shared" si="187"/>
        <v>None</v>
      </c>
      <c r="I408" t="str">
        <f t="shared" si="187"/>
        <v>Improved</v>
      </c>
      <c r="J408" t="str">
        <f t="shared" si="187"/>
        <v>ASHP</v>
      </c>
      <c r="K408" t="s">
        <v>21</v>
      </c>
      <c r="L408" s="4">
        <f t="shared" si="140"/>
        <v>12854619.916466456</v>
      </c>
      <c r="M408" s="4">
        <f t="shared" si="141"/>
        <v>2432632.5</v>
      </c>
      <c r="N408" s="4">
        <f>Table3[[#This Row],[Natural Gas kWh]]+Table3[[#This Row],[Electricity kWh]]</f>
        <v>15287252.416466456</v>
      </c>
      <c r="O408" s="9">
        <f>Table3[[#This Row],[Total Energy kWh]]/$V$20</f>
        <v>140.88358250368083</v>
      </c>
      <c r="P408" s="9">
        <f t="shared" si="142"/>
        <v>80.562063358711114</v>
      </c>
      <c r="Q408" s="12">
        <f>((L408*Processed!$V$21)+(Table3[[#This Row],[Natural Gas kWh]]*Processed!$V$22))/Processed!$V$20</f>
        <v>24.398579958712094</v>
      </c>
      <c r="R408" s="10">
        <f>1-(O408/Processed!$V$23)</f>
        <v>0.3475752092376565</v>
      </c>
      <c r="S408" s="11">
        <f>1-(Processed!Q408/Processed!$V$24)</f>
        <v>0.37195337380385907</v>
      </c>
    </row>
    <row r="409" spans="2:19">
      <c r="B409" t="str">
        <f t="shared" ref="B409:J409" si="188">B193</f>
        <v>1BABBB</v>
      </c>
      <c r="C409">
        <f t="shared" si="188"/>
        <v>72</v>
      </c>
      <c r="D409">
        <f t="shared" si="188"/>
        <v>10</v>
      </c>
      <c r="E409">
        <f t="shared" si="188"/>
        <v>2.8</v>
      </c>
      <c r="F409" t="str">
        <f t="shared" si="188"/>
        <v>Improved</v>
      </c>
      <c r="G409">
        <f t="shared" si="188"/>
        <v>0.25</v>
      </c>
      <c r="H409">
        <f t="shared" si="188"/>
        <v>0.75</v>
      </c>
      <c r="I409" t="str">
        <f t="shared" si="188"/>
        <v>Improved</v>
      </c>
      <c r="J409" t="str">
        <f t="shared" si="188"/>
        <v>ASHP</v>
      </c>
      <c r="K409" t="s">
        <v>21</v>
      </c>
      <c r="L409" s="4">
        <f t="shared" si="140"/>
        <v>11987580.988430694</v>
      </c>
      <c r="M409" s="4">
        <f t="shared" si="141"/>
        <v>1802272.3</v>
      </c>
      <c r="N409" s="4">
        <f>Table3[[#This Row],[Natural Gas kWh]]+Table3[[#This Row],[Electricity kWh]]</f>
        <v>13789853.288430694</v>
      </c>
      <c r="O409" s="9">
        <f>Table3[[#This Row],[Total Energy kWh]]/$V$20</f>
        <v>127.08391806114605</v>
      </c>
      <c r="P409" s="9">
        <f t="shared" si="142"/>
        <v>50.051154470937007</v>
      </c>
      <c r="Q409" s="12">
        <f>((L409*Processed!$V$21)+(Table3[[#This Row],[Natural Gas kWh]]*Processed!$V$22))/Processed!$V$20</f>
        <v>21.936452092256619</v>
      </c>
      <c r="R409" s="10">
        <f>1-(O409/Processed!$V$23)</f>
        <v>0.41148076179752324</v>
      </c>
      <c r="S409" s="11">
        <f>1-(Processed!Q409/Processed!$V$24)</f>
        <v>0.43533128769915974</v>
      </c>
    </row>
    <row r="410" spans="2:19">
      <c r="B410" t="str">
        <f t="shared" ref="B410:J410" si="189">B194</f>
        <v>1BBAAA</v>
      </c>
      <c r="C410">
        <f t="shared" si="189"/>
        <v>72</v>
      </c>
      <c r="D410">
        <f t="shared" si="189"/>
        <v>10</v>
      </c>
      <c r="E410">
        <f t="shared" si="189"/>
        <v>4</v>
      </c>
      <c r="F410" t="str">
        <f t="shared" si="189"/>
        <v>Current</v>
      </c>
      <c r="G410" t="str">
        <f t="shared" si="189"/>
        <v>Current</v>
      </c>
      <c r="H410" t="str">
        <f t="shared" si="189"/>
        <v>None</v>
      </c>
      <c r="I410" t="str">
        <f t="shared" si="189"/>
        <v>Improved</v>
      </c>
      <c r="J410" t="str">
        <f t="shared" si="189"/>
        <v>ASHP</v>
      </c>
      <c r="K410" t="s">
        <v>21</v>
      </c>
      <c r="L410" s="4">
        <f t="shared" si="140"/>
        <v>13089598.896963203</v>
      </c>
      <c r="M410" s="4">
        <f t="shared" si="141"/>
        <v>2317190.5</v>
      </c>
      <c r="N410" s="4">
        <f>Table3[[#This Row],[Natural Gas kWh]]+Table3[[#This Row],[Electricity kWh]]</f>
        <v>15406789.396963203</v>
      </c>
      <c r="O410" s="9">
        <f>Table3[[#This Row],[Total Energy kWh]]/$V$20</f>
        <v>141.98520610452584</v>
      </c>
      <c r="P410" s="9">
        <f t="shared" si="142"/>
        <v>72.638426847174884</v>
      </c>
      <c r="Q410" s="12">
        <f>((L410*Processed!$V$21)+(Table3[[#This Row],[Natural Gas kWh]]*Processed!$V$22))/Processed!$V$20</f>
        <v>24.56457826563009</v>
      </c>
      <c r="R410" s="10">
        <f>1-(O410/Processed!$V$23)</f>
        <v>0.34247364570195216</v>
      </c>
      <c r="S410" s="11">
        <f>1-(Processed!Q410/Processed!$V$24)</f>
        <v>0.36768039247500539</v>
      </c>
    </row>
    <row r="411" spans="2:19">
      <c r="B411" t="str">
        <f t="shared" ref="B411:J411" si="190">B195</f>
        <v>1BBAAB</v>
      </c>
      <c r="C411">
        <f t="shared" si="190"/>
        <v>72</v>
      </c>
      <c r="D411">
        <f t="shared" si="190"/>
        <v>10</v>
      </c>
      <c r="E411">
        <f t="shared" si="190"/>
        <v>4</v>
      </c>
      <c r="F411" t="str">
        <f t="shared" si="190"/>
        <v>Current</v>
      </c>
      <c r="G411" t="str">
        <f t="shared" si="190"/>
        <v>Current</v>
      </c>
      <c r="H411">
        <f t="shared" si="190"/>
        <v>0.75</v>
      </c>
      <c r="I411" t="str">
        <f t="shared" si="190"/>
        <v>Improved</v>
      </c>
      <c r="J411" t="str">
        <f t="shared" si="190"/>
        <v>ASHP</v>
      </c>
      <c r="K411" t="s">
        <v>21</v>
      </c>
      <c r="L411" s="4">
        <f t="shared" si="140"/>
        <v>12184312.972101938</v>
      </c>
      <c r="M411" s="4">
        <f t="shared" si="141"/>
        <v>1684603.5</v>
      </c>
      <c r="N411" s="4">
        <f>Table3[[#This Row],[Natural Gas kWh]]+Table3[[#This Row],[Electricity kWh]]</f>
        <v>13868916.472101938</v>
      </c>
      <c r="O411" s="9">
        <f>Table3[[#This Row],[Total Energy kWh]]/$V$20</f>
        <v>127.8125450410835</v>
      </c>
      <c r="P411" s="9">
        <f t="shared" si="142"/>
        <v>41.400735814042612</v>
      </c>
      <c r="Q411" s="12">
        <f>((L411*Processed!$V$21)+(Table3[[#This Row],[Natural Gas kWh]]*Processed!$V$22))/Processed!$V$20</f>
        <v>22.038630540727645</v>
      </c>
      <c r="R411" s="10">
        <f>1-(O411/Processed!$V$23)</f>
        <v>0.40810652686907045</v>
      </c>
      <c r="S411" s="11">
        <f>1-(Processed!Q411/Processed!$V$24)</f>
        <v>0.43270110061692868</v>
      </c>
    </row>
    <row r="412" spans="2:19">
      <c r="B412" t="str">
        <f t="shared" ref="B412:J412" si="191">B196</f>
        <v>1BBABA</v>
      </c>
      <c r="C412">
        <f t="shared" si="191"/>
        <v>72</v>
      </c>
      <c r="D412">
        <f t="shared" si="191"/>
        <v>10</v>
      </c>
      <c r="E412">
        <f t="shared" si="191"/>
        <v>4</v>
      </c>
      <c r="F412" t="str">
        <f t="shared" si="191"/>
        <v>Current</v>
      </c>
      <c r="G412">
        <f t="shared" si="191"/>
        <v>0.25</v>
      </c>
      <c r="H412" t="str">
        <f t="shared" si="191"/>
        <v>None</v>
      </c>
      <c r="I412" t="str">
        <f t="shared" si="191"/>
        <v>Improved</v>
      </c>
      <c r="J412" t="str">
        <f t="shared" si="191"/>
        <v>ASHP</v>
      </c>
      <c r="K412" t="s">
        <v>21</v>
      </c>
      <c r="L412" s="4">
        <f t="shared" si="140"/>
        <v>12644270.933925424</v>
      </c>
      <c r="M412" s="4">
        <f t="shared" si="141"/>
        <v>2341831.8000000003</v>
      </c>
      <c r="N412" s="4">
        <f>Table3[[#This Row],[Natural Gas kWh]]+Table3[[#This Row],[Electricity kWh]]</f>
        <v>14986102.733925425</v>
      </c>
      <c r="O412" s="9">
        <f>Table3[[#This Row],[Total Energy kWh]]/$V$20</f>
        <v>138.10826062173643</v>
      </c>
      <c r="P412" s="9">
        <f t="shared" si="142"/>
        <v>74.859028109328605</v>
      </c>
      <c r="Q412" s="12">
        <f>((L412*Processed!$V$21)+(Table3[[#This Row],[Natural Gas kWh]]*Processed!$V$22))/Processed!$V$20</f>
        <v>23.910039297539335</v>
      </c>
      <c r="R412" s="10">
        <f>1-(O412/Processed!$V$23)</f>
        <v>0.36042758540489661</v>
      </c>
      <c r="S412" s="11">
        <f>1-(Processed!Q412/Processed!$V$24)</f>
        <v>0.38452895461751302</v>
      </c>
    </row>
    <row r="413" spans="2:19">
      <c r="B413" t="str">
        <f t="shared" ref="B413:J413" si="192">B197</f>
        <v>1BBABB</v>
      </c>
      <c r="C413">
        <f t="shared" si="192"/>
        <v>72</v>
      </c>
      <c r="D413">
        <f t="shared" si="192"/>
        <v>10</v>
      </c>
      <c r="E413">
        <f t="shared" si="192"/>
        <v>4</v>
      </c>
      <c r="F413" t="str">
        <f t="shared" si="192"/>
        <v>Current</v>
      </c>
      <c r="G413">
        <f t="shared" si="192"/>
        <v>0.25</v>
      </c>
      <c r="H413">
        <f t="shared" si="192"/>
        <v>0.75</v>
      </c>
      <c r="I413" t="str">
        <f t="shared" si="192"/>
        <v>Improved</v>
      </c>
      <c r="J413" t="str">
        <f t="shared" si="192"/>
        <v>ASHP</v>
      </c>
      <c r="K413" t="s">
        <v>21</v>
      </c>
      <c r="L413" s="4">
        <f t="shared" si="140"/>
        <v>11755086.007727779</v>
      </c>
      <c r="M413" s="4">
        <f t="shared" si="141"/>
        <v>1707897</v>
      </c>
      <c r="N413" s="4">
        <f>Table3[[#This Row],[Natural Gas kWh]]+Table3[[#This Row],[Electricity kWh]]</f>
        <v>13462983.007727779</v>
      </c>
      <c r="O413" s="9">
        <f>Table3[[#This Row],[Total Energy kWh]]/$V$20</f>
        <v>124.07156143191898</v>
      </c>
      <c r="P413" s="9">
        <f t="shared" si="142"/>
        <v>43.907311594602284</v>
      </c>
      <c r="Q413" s="12">
        <f>((L413*Processed!$V$21)+(Table3[[#This Row],[Natural Gas kWh]]*Processed!$V$22))/Processed!$V$20</f>
        <v>21.406956671244398</v>
      </c>
      <c r="R413" s="10">
        <f>1-(O413/Processed!$V$23)</f>
        <v>0.42543083396773995</v>
      </c>
      <c r="S413" s="11">
        <f>1-(Processed!Q413/Processed!$V$24)</f>
        <v>0.44896108965139536</v>
      </c>
    </row>
    <row r="414" spans="2:19">
      <c r="B414" t="str">
        <f t="shared" ref="B414:J414" si="193">B198</f>
        <v>1BBBAA</v>
      </c>
      <c r="C414">
        <f t="shared" si="193"/>
        <v>72</v>
      </c>
      <c r="D414">
        <f t="shared" si="193"/>
        <v>10</v>
      </c>
      <c r="E414">
        <f t="shared" si="193"/>
        <v>4</v>
      </c>
      <c r="F414" t="str">
        <f t="shared" si="193"/>
        <v>Improved</v>
      </c>
      <c r="G414" t="str">
        <f t="shared" si="193"/>
        <v>Current</v>
      </c>
      <c r="H414" t="str">
        <f t="shared" si="193"/>
        <v>None</v>
      </c>
      <c r="I414" t="str">
        <f t="shared" si="193"/>
        <v>Improved</v>
      </c>
      <c r="J414" t="str">
        <f t="shared" si="193"/>
        <v>ASHP</v>
      </c>
      <c r="K414" t="s">
        <v>21</v>
      </c>
      <c r="L414" s="4">
        <f t="shared" si="140"/>
        <v>13011457.903448904</v>
      </c>
      <c r="M414" s="4">
        <f t="shared" si="141"/>
        <v>2289677.8000000003</v>
      </c>
      <c r="N414" s="4">
        <f>Table3[[#This Row],[Natural Gas kWh]]+Table3[[#This Row],[Electricity kWh]]</f>
        <v>15301135.703448905</v>
      </c>
      <c r="O414" s="9">
        <f>Table3[[#This Row],[Total Energy kWh]]/$V$20</f>
        <v>141.01152748383353</v>
      </c>
      <c r="P414" s="9">
        <f t="shared" si="142"/>
        <v>70.604151317431231</v>
      </c>
      <c r="Q414" s="12">
        <f>((L414*Processed!$V$21)+(Table3[[#This Row],[Natural Gas kWh]]*Processed!$V$22))/Processed!$V$20</f>
        <v>24.393981893714713</v>
      </c>
      <c r="R414" s="10">
        <f>1-(O414/Processed!$V$23)</f>
        <v>0.34698270246417884</v>
      </c>
      <c r="S414" s="11">
        <f>1-(Processed!Q414/Processed!$V$24)</f>
        <v>0.37207173311876685</v>
      </c>
    </row>
    <row r="415" spans="2:19">
      <c r="B415" t="str">
        <f t="shared" ref="B415:J415" si="194">B199</f>
        <v>1BBBAB</v>
      </c>
      <c r="C415">
        <f t="shared" si="194"/>
        <v>72</v>
      </c>
      <c r="D415">
        <f t="shared" si="194"/>
        <v>10</v>
      </c>
      <c r="E415">
        <f t="shared" si="194"/>
        <v>4</v>
      </c>
      <c r="F415" t="str">
        <f t="shared" si="194"/>
        <v>Improved</v>
      </c>
      <c r="G415" t="str">
        <f t="shared" si="194"/>
        <v>Current</v>
      </c>
      <c r="H415">
        <f t="shared" si="194"/>
        <v>0.75</v>
      </c>
      <c r="I415" t="str">
        <f t="shared" si="194"/>
        <v>Improved</v>
      </c>
      <c r="J415" t="str">
        <f t="shared" si="194"/>
        <v>ASHP</v>
      </c>
      <c r="K415" t="s">
        <v>21</v>
      </c>
      <c r="L415" s="4">
        <f t="shared" si="140"/>
        <v>12107390.978486465</v>
      </c>
      <c r="M415" s="4">
        <f t="shared" si="141"/>
        <v>1656329</v>
      </c>
      <c r="N415" s="4">
        <f>Table3[[#This Row],[Natural Gas kWh]]+Table3[[#This Row],[Electricity kWh]]</f>
        <v>13763719.978486465</v>
      </c>
      <c r="O415" s="9">
        <f>Table3[[#This Row],[Total Energy kWh]]/$V$20</f>
        <v>126.8430798629322</v>
      </c>
      <c r="P415" s="9">
        <f t="shared" si="142"/>
        <v>39.428252036378147</v>
      </c>
      <c r="Q415" s="12">
        <f>((L415*Processed!$V$21)+(Table3[[#This Row],[Natural Gas kWh]]*Processed!$V$22))/Processed!$V$20</f>
        <v>21.868610042791484</v>
      </c>
      <c r="R415" s="10">
        <f>1-(O415/Processed!$V$23)</f>
        <v>0.41259607139062748</v>
      </c>
      <c r="S415" s="11">
        <f>1-(Processed!Q415/Processed!$V$24)</f>
        <v>0.43707761762298769</v>
      </c>
    </row>
    <row r="416" spans="2:19">
      <c r="B416" t="str">
        <f t="shared" ref="B416:J416" si="195">B200</f>
        <v>1BBBBA</v>
      </c>
      <c r="C416">
        <f t="shared" si="195"/>
        <v>72</v>
      </c>
      <c r="D416">
        <f t="shared" si="195"/>
        <v>10</v>
      </c>
      <c r="E416">
        <f t="shared" si="195"/>
        <v>4</v>
      </c>
      <c r="F416" t="str">
        <f t="shared" si="195"/>
        <v>Improved</v>
      </c>
      <c r="G416">
        <f t="shared" si="195"/>
        <v>0.25</v>
      </c>
      <c r="H416" t="str">
        <f t="shared" si="195"/>
        <v>None</v>
      </c>
      <c r="I416" t="str">
        <f t="shared" si="195"/>
        <v>Improved</v>
      </c>
      <c r="J416" t="str">
        <f t="shared" si="195"/>
        <v>ASHP</v>
      </c>
      <c r="K416" t="s">
        <v>21</v>
      </c>
      <c r="L416" s="4">
        <f t="shared" si="140"/>
        <v>12580702.939201569</v>
      </c>
      <c r="M416" s="4">
        <f t="shared" si="141"/>
        <v>2314114</v>
      </c>
      <c r="N416" s="4">
        <f>Table3[[#This Row],[Natural Gas kWh]]+Table3[[#This Row],[Electricity kWh]]</f>
        <v>14894816.939201569</v>
      </c>
      <c r="O416" s="9">
        <f>Table3[[#This Row],[Total Energy kWh]]/$V$20</f>
        <v>137.26699304519406</v>
      </c>
      <c r="P416" s="9">
        <f t="shared" si="142"/>
        <v>73.068136584726403</v>
      </c>
      <c r="Q416" s="12">
        <f>((L416*Processed!$V$21)+(Table3[[#This Row],[Natural Gas kWh]]*Processed!$V$22))/Processed!$V$20</f>
        <v>23.761915000099858</v>
      </c>
      <c r="R416" s="10">
        <f>1-(O416/Processed!$V$23)</f>
        <v>0.36432345327570737</v>
      </c>
      <c r="S416" s="11">
        <f>1-(Processed!Q416/Processed!$V$24)</f>
        <v>0.38834183903217834</v>
      </c>
    </row>
    <row r="417" spans="2:19">
      <c r="B417" t="str">
        <f t="shared" ref="B417:J417" si="196">B201</f>
        <v>1BBBBB</v>
      </c>
      <c r="C417">
        <f t="shared" si="196"/>
        <v>72</v>
      </c>
      <c r="D417">
        <f t="shared" si="196"/>
        <v>10</v>
      </c>
      <c r="E417">
        <f t="shared" si="196"/>
        <v>4</v>
      </c>
      <c r="F417" t="str">
        <f t="shared" si="196"/>
        <v>Improved</v>
      </c>
      <c r="G417">
        <f t="shared" si="196"/>
        <v>0.25</v>
      </c>
      <c r="H417">
        <f t="shared" si="196"/>
        <v>0.75</v>
      </c>
      <c r="I417" t="str">
        <f t="shared" si="196"/>
        <v>Improved</v>
      </c>
      <c r="J417" t="str">
        <f t="shared" si="196"/>
        <v>ASHP</v>
      </c>
      <c r="K417" t="s">
        <v>21</v>
      </c>
      <c r="L417" s="4">
        <f t="shared" si="140"/>
        <v>11678806.01405902</v>
      </c>
      <c r="M417" s="4">
        <f t="shared" si="141"/>
        <v>1679593.2</v>
      </c>
      <c r="N417" s="4">
        <f>Table3[[#This Row],[Natural Gas kWh]]+Table3[[#This Row],[Electricity kWh]]</f>
        <v>13358399.214059019</v>
      </c>
      <c r="O417" s="9">
        <f>Table3[[#This Row],[Total Energy kWh]]/$V$20</f>
        <v>123.10774274675028</v>
      </c>
      <c r="P417" s="9">
        <f t="shared" si="142"/>
        <v>41.887725242070253</v>
      </c>
      <c r="Q417" s="12">
        <f>((L417*Processed!$V$21)+(Table3[[#This Row],[Natural Gas kWh]]*Processed!$V$22))/Processed!$V$20</f>
        <v>21.237890676682476</v>
      </c>
      <c r="R417" s="10">
        <f>1-(O417/Processed!$V$23)</f>
        <v>0.42989422986404746</v>
      </c>
      <c r="S417" s="11">
        <f>1-(Processed!Q417/Processed!$V$24)</f>
        <v>0.45331303667736134</v>
      </c>
    </row>
    <row r="418" spans="2:19">
      <c r="B418" t="str">
        <f t="shared" ref="B418:J418" si="197">B202</f>
        <v>1BCAAA</v>
      </c>
      <c r="C418">
        <f t="shared" si="197"/>
        <v>72</v>
      </c>
      <c r="D418">
        <f t="shared" si="197"/>
        <v>10</v>
      </c>
      <c r="E418">
        <f t="shared" si="197"/>
        <v>5.5</v>
      </c>
      <c r="F418" t="str">
        <f t="shared" si="197"/>
        <v>Current</v>
      </c>
      <c r="G418" t="str">
        <f t="shared" si="197"/>
        <v>Current</v>
      </c>
      <c r="H418" t="str">
        <f t="shared" si="197"/>
        <v>None</v>
      </c>
      <c r="I418" t="str">
        <f t="shared" si="197"/>
        <v>Improved</v>
      </c>
      <c r="J418" t="str">
        <f t="shared" si="197"/>
        <v>ASHP</v>
      </c>
      <c r="K418" t="s">
        <v>21</v>
      </c>
      <c r="L418" s="4">
        <f t="shared" si="140"/>
        <v>12955056.908130189</v>
      </c>
      <c r="M418" s="4">
        <f t="shared" si="141"/>
        <v>2253257.9</v>
      </c>
      <c r="N418" s="4">
        <f>Table3[[#This Row],[Natural Gas kWh]]+Table3[[#This Row],[Electricity kWh]]</f>
        <v>15208314.80813019</v>
      </c>
      <c r="O418" s="9">
        <f>Table3[[#This Row],[Total Energy kWh]]/$V$20</f>
        <v>140.15611279534352</v>
      </c>
      <c r="P418" s="9">
        <f t="shared" si="142"/>
        <v>68.966005634098721</v>
      </c>
      <c r="Q418" s="12">
        <f>((L418*Processed!$V$21)+(Table3[[#This Row],[Natural Gas kWh]]*Processed!$V$22))/Processed!$V$20</f>
        <v>24.241848658703013</v>
      </c>
      <c r="R418" s="10">
        <f>1-(O418/Processed!$V$23)</f>
        <v>0.35094408489948536</v>
      </c>
      <c r="S418" s="11">
        <f>1-(Processed!Q418/Processed!$V$24)</f>
        <v>0.37598781205217557</v>
      </c>
    </row>
    <row r="419" spans="2:19">
      <c r="B419" t="str">
        <f t="shared" ref="B419:J419" si="198">B203</f>
        <v>1BCAAB</v>
      </c>
      <c r="C419">
        <f t="shared" si="198"/>
        <v>72</v>
      </c>
      <c r="D419">
        <f t="shared" si="198"/>
        <v>10</v>
      </c>
      <c r="E419">
        <f t="shared" si="198"/>
        <v>5.5</v>
      </c>
      <c r="F419" t="str">
        <f t="shared" si="198"/>
        <v>Current</v>
      </c>
      <c r="G419" t="str">
        <f t="shared" si="198"/>
        <v>Current</v>
      </c>
      <c r="H419">
        <f t="shared" si="198"/>
        <v>0.75</v>
      </c>
      <c r="I419" t="str">
        <f t="shared" si="198"/>
        <v>Improved</v>
      </c>
      <c r="J419" t="str">
        <f t="shared" si="198"/>
        <v>ASHP</v>
      </c>
      <c r="K419" t="s">
        <v>21</v>
      </c>
      <c r="L419" s="4">
        <f t="shared" si="140"/>
        <v>12034396.984544966</v>
      </c>
      <c r="M419" s="4">
        <f t="shared" si="141"/>
        <v>1626179.3</v>
      </c>
      <c r="N419" s="4">
        <f>Table3[[#This Row],[Natural Gas kWh]]+Table3[[#This Row],[Electricity kWh]]</f>
        <v>13660576.284544967</v>
      </c>
      <c r="O419" s="9">
        <f>Table3[[#This Row],[Total Energy kWh]]/$V$20</f>
        <v>125.89253278493084</v>
      </c>
      <c r="P419" s="9">
        <f t="shared" si="142"/>
        <v>37.459915791102837</v>
      </c>
      <c r="Q419" s="12">
        <f>((L419*Processed!$V$21)+(Table3[[#This Row],[Natural Gas kWh]]*Processed!$V$22))/Processed!$V$20</f>
        <v>21.701459994181704</v>
      </c>
      <c r="R419" s="10">
        <f>1-(O419/Processed!$V$23)</f>
        <v>0.41699800714108015</v>
      </c>
      <c r="S419" s="11">
        <f>1-(Processed!Q419/Processed!$V$24)</f>
        <v>0.44138024606593562</v>
      </c>
    </row>
    <row r="420" spans="2:19">
      <c r="B420" t="str">
        <f t="shared" ref="B420:J420" si="199">B204</f>
        <v>1BCABA</v>
      </c>
      <c r="C420">
        <f t="shared" si="199"/>
        <v>72</v>
      </c>
      <c r="D420">
        <f t="shared" si="199"/>
        <v>10</v>
      </c>
      <c r="E420">
        <f t="shared" si="199"/>
        <v>5.5</v>
      </c>
      <c r="F420" t="str">
        <f t="shared" si="199"/>
        <v>Current</v>
      </c>
      <c r="G420">
        <f t="shared" si="199"/>
        <v>0.25</v>
      </c>
      <c r="H420" t="str">
        <f t="shared" si="199"/>
        <v>None</v>
      </c>
      <c r="I420" t="str">
        <f t="shared" si="199"/>
        <v>Improved</v>
      </c>
      <c r="J420" t="str">
        <f t="shared" si="199"/>
        <v>ASHP</v>
      </c>
      <c r="K420" t="s">
        <v>21</v>
      </c>
      <c r="L420" s="4">
        <f t="shared" si="140"/>
        <v>12507492.945277998</v>
      </c>
      <c r="M420" s="4">
        <f t="shared" si="141"/>
        <v>2279598.6</v>
      </c>
      <c r="N420" s="4">
        <f>Table3[[#This Row],[Natural Gas kWh]]+Table3[[#This Row],[Electricity kWh]]</f>
        <v>14787091.545277998</v>
      </c>
      <c r="O420" s="9">
        <f>Table3[[#This Row],[Total Energy kWh]]/$V$20</f>
        <v>136.27422213979409</v>
      </c>
      <c r="P420" s="9">
        <f t="shared" si="142"/>
        <v>71.098785058084999</v>
      </c>
      <c r="Q420" s="12">
        <f>((L420*Processed!$V$21)+(Table3[[#This Row],[Natural Gas kWh]]*Processed!$V$22))/Processed!$V$20</f>
        <v>23.586782236345368</v>
      </c>
      <c r="R420" s="10">
        <f>1-(O420/Processed!$V$23)</f>
        <v>0.36892092544897204</v>
      </c>
      <c r="S420" s="11">
        <f>1-(Processed!Q420/Processed!$V$24)</f>
        <v>0.39284995145505475</v>
      </c>
    </row>
    <row r="421" spans="2:19">
      <c r="B421" t="str">
        <f t="shared" ref="B421:J421" si="200">B205</f>
        <v>1BCABB</v>
      </c>
      <c r="C421">
        <f t="shared" si="200"/>
        <v>72</v>
      </c>
      <c r="D421">
        <f t="shared" si="200"/>
        <v>10</v>
      </c>
      <c r="E421">
        <f t="shared" si="200"/>
        <v>5.5</v>
      </c>
      <c r="F421" t="str">
        <f t="shared" si="200"/>
        <v>Current</v>
      </c>
      <c r="G421">
        <f t="shared" si="200"/>
        <v>0.25</v>
      </c>
      <c r="H421">
        <f t="shared" si="200"/>
        <v>0.75</v>
      </c>
      <c r="I421" t="str">
        <f t="shared" si="200"/>
        <v>Improved</v>
      </c>
      <c r="J421" t="str">
        <f t="shared" si="200"/>
        <v>ASHP</v>
      </c>
      <c r="K421" t="s">
        <v>21</v>
      </c>
      <c r="L421" s="4">
        <f t="shared" si="140"/>
        <v>11603970.020270407</v>
      </c>
      <c r="M421" s="4">
        <f t="shared" si="141"/>
        <v>1650176</v>
      </c>
      <c r="N421" s="4">
        <f>Table3[[#This Row],[Natural Gas kWh]]+Table3[[#This Row],[Electricity kWh]]</f>
        <v>13254146.020270407</v>
      </c>
      <c r="O421" s="9">
        <f>Table3[[#This Row],[Total Energy kWh]]/$V$20</f>
        <v>122.14697078928788</v>
      </c>
      <c r="P421" s="9">
        <f t="shared" si="142"/>
        <v>39.854389387633525</v>
      </c>
      <c r="Q421" s="12">
        <f>((L421*Processed!$V$21)+(Table3[[#This Row],[Natural Gas kWh]]*Processed!$V$22))/Processed!$V$20</f>
        <v>21.069137409384282</v>
      </c>
      <c r="R421" s="10">
        <f>1-(O421/Processed!$V$23)</f>
        <v>0.43434351651745406</v>
      </c>
      <c r="S421" s="11">
        <f>1-(Processed!Q421/Processed!$V$24)</f>
        <v>0.45765693375520589</v>
      </c>
    </row>
    <row r="422" spans="2:19">
      <c r="B422" t="str">
        <f t="shared" ref="B422:J422" si="201">B206</f>
        <v>1BCBAA</v>
      </c>
      <c r="C422">
        <f t="shared" si="201"/>
        <v>72</v>
      </c>
      <c r="D422">
        <f t="shared" si="201"/>
        <v>10</v>
      </c>
      <c r="E422">
        <f t="shared" si="201"/>
        <v>5.5</v>
      </c>
      <c r="F422" t="str">
        <f t="shared" si="201"/>
        <v>Improved</v>
      </c>
      <c r="G422" t="str">
        <f t="shared" si="201"/>
        <v>Current</v>
      </c>
      <c r="H422" t="str">
        <f t="shared" si="201"/>
        <v>None</v>
      </c>
      <c r="I422" t="str">
        <f t="shared" si="201"/>
        <v>Improved</v>
      </c>
      <c r="J422" t="str">
        <f t="shared" si="201"/>
        <v>ASHP</v>
      </c>
      <c r="K422" t="s">
        <v>21</v>
      </c>
      <c r="L422" s="4">
        <f t="shared" si="140"/>
        <v>12873608.914890373</v>
      </c>
      <c r="M422" s="4">
        <f t="shared" si="141"/>
        <v>2227356.6999999997</v>
      </c>
      <c r="N422" s="4">
        <f>Table3[[#This Row],[Natural Gas kWh]]+Table3[[#This Row],[Electricity kWh]]</f>
        <v>15100965.614890372</v>
      </c>
      <c r="O422" s="9">
        <f>Table3[[#This Row],[Total Energy kWh]]/$V$20</f>
        <v>139.16680886351239</v>
      </c>
      <c r="P422" s="9">
        <f t="shared" si="142"/>
        <v>66.884581625808707</v>
      </c>
      <c r="Q422" s="12">
        <f>((L422*Processed!$V$21)+(Table3[[#This Row],[Natural Gas kWh]]*Processed!$V$22))/Processed!$V$20</f>
        <v>24.068893007697937</v>
      </c>
      <c r="R422" s="10">
        <f>1-(O422/Processed!$V$23)</f>
        <v>0.35552550169237829</v>
      </c>
      <c r="S422" s="11">
        <f>1-(Processed!Q422/Processed!$V$24)</f>
        <v>0.38043988316775335</v>
      </c>
    </row>
    <row r="423" spans="2:19">
      <c r="B423" t="str">
        <f t="shared" ref="B423:J423" si="202">B207</f>
        <v>1BCBAB</v>
      </c>
      <c r="C423">
        <f t="shared" si="202"/>
        <v>72</v>
      </c>
      <c r="D423">
        <f t="shared" si="202"/>
        <v>10</v>
      </c>
      <c r="E423">
        <f t="shared" si="202"/>
        <v>5.5</v>
      </c>
      <c r="F423" t="str">
        <f t="shared" si="202"/>
        <v>Improved</v>
      </c>
      <c r="G423" t="str">
        <f t="shared" si="202"/>
        <v>Current</v>
      </c>
      <c r="H423">
        <f t="shared" si="202"/>
        <v>0.75</v>
      </c>
      <c r="I423" t="str">
        <f t="shared" si="202"/>
        <v>Improved</v>
      </c>
      <c r="J423" t="str">
        <f t="shared" si="202"/>
        <v>ASHP</v>
      </c>
      <c r="K423" t="s">
        <v>21</v>
      </c>
      <c r="L423" s="4">
        <f t="shared" si="140"/>
        <v>11960566.990672855</v>
      </c>
      <c r="M423" s="4">
        <f t="shared" si="141"/>
        <v>1597260.2</v>
      </c>
      <c r="N423" s="4">
        <f>Table3[[#This Row],[Natural Gas kWh]]+Table3[[#This Row],[Electricity kWh]]</f>
        <v>13557827.190672854</v>
      </c>
      <c r="O423" s="9">
        <f>Table3[[#This Row],[Total Energy kWh]]/$V$20</f>
        <v>124.94562224473998</v>
      </c>
      <c r="P423" s="9">
        <f t="shared" si="142"/>
        <v>35.510346049801939</v>
      </c>
      <c r="Q423" s="12">
        <f>((L423*Processed!$V$21)+(Table3[[#This Row],[Natural Gas kWh]]*Processed!$V$22))/Processed!$V$20</f>
        <v>21.53515497517725</v>
      </c>
      <c r="R423" s="10">
        <f>1-(O423/Processed!$V$23)</f>
        <v>0.42138310226767894</v>
      </c>
      <c r="S423" s="11">
        <f>1-(Processed!Q423/Processed!$V$24)</f>
        <v>0.44566112250554735</v>
      </c>
    </row>
    <row r="424" spans="2:19">
      <c r="B424" t="str">
        <f t="shared" ref="B424:J424" si="203">B208</f>
        <v>1BCBBA</v>
      </c>
      <c r="C424">
        <f t="shared" si="203"/>
        <v>72</v>
      </c>
      <c r="D424">
        <f t="shared" si="203"/>
        <v>10</v>
      </c>
      <c r="E424">
        <f t="shared" si="203"/>
        <v>5.5</v>
      </c>
      <c r="F424" t="str">
        <f t="shared" si="203"/>
        <v>Improved</v>
      </c>
      <c r="G424">
        <f t="shared" si="203"/>
        <v>0.25</v>
      </c>
      <c r="H424" t="str">
        <f t="shared" si="203"/>
        <v>None</v>
      </c>
      <c r="I424" t="str">
        <f t="shared" si="203"/>
        <v>Improved</v>
      </c>
      <c r="J424" t="str">
        <f t="shared" si="203"/>
        <v>ASHP</v>
      </c>
      <c r="K424" t="s">
        <v>21</v>
      </c>
      <c r="L424" s="4">
        <f t="shared" si="140"/>
        <v>12442842.950643949</v>
      </c>
      <c r="M424" s="4">
        <f t="shared" si="141"/>
        <v>2251324.1</v>
      </c>
      <c r="N424" s="4">
        <f>Table3[[#This Row],[Natural Gas kWh]]+Table3[[#This Row],[Electricity kWh]]</f>
        <v>14694167.050643949</v>
      </c>
      <c r="O424" s="9">
        <f>Table3[[#This Row],[Total Energy kWh]]/$V$20</f>
        <v>135.41785270533069</v>
      </c>
      <c r="P424" s="9">
        <f t="shared" si="142"/>
        <v>69.346830653959202</v>
      </c>
      <c r="Q424" s="12">
        <f>((L424*Processed!$V$21)+(Table3[[#This Row],[Natural Gas kWh]]*Processed!$V$22))/Processed!$V$20</f>
        <v>23.435988014836134</v>
      </c>
      <c r="R424" s="10">
        <f>1-(O424/Processed!$V$23)</f>
        <v>0.37288672926490252</v>
      </c>
      <c r="S424" s="11">
        <f>1-(Processed!Q424/Processed!$V$24)</f>
        <v>0.3967315626893565</v>
      </c>
    </row>
    <row r="425" spans="2:19">
      <c r="B425" t="str">
        <f t="shared" ref="B425:J425" si="204">B209</f>
        <v>1BCBBB</v>
      </c>
      <c r="C425">
        <f t="shared" si="204"/>
        <v>72</v>
      </c>
      <c r="D425">
        <f t="shared" si="204"/>
        <v>10</v>
      </c>
      <c r="E425">
        <f t="shared" si="204"/>
        <v>5.5</v>
      </c>
      <c r="F425" t="str">
        <f t="shared" si="204"/>
        <v>Improved</v>
      </c>
      <c r="G425">
        <f t="shared" si="204"/>
        <v>0.25</v>
      </c>
      <c r="H425">
        <f t="shared" si="204"/>
        <v>0.75</v>
      </c>
      <c r="I425" t="str">
        <f t="shared" si="204"/>
        <v>Improved</v>
      </c>
      <c r="J425" t="str">
        <f t="shared" si="204"/>
        <v>ASHP</v>
      </c>
      <c r="K425" t="s">
        <v>21</v>
      </c>
      <c r="L425" s="4">
        <f t="shared" si="140"/>
        <v>11527031.026656346</v>
      </c>
      <c r="M425" s="4">
        <f t="shared" si="141"/>
        <v>1620202.0999999999</v>
      </c>
      <c r="N425" s="4">
        <f>Table3[[#This Row],[Natural Gas kWh]]+Table3[[#This Row],[Electricity kWh]]</f>
        <v>13147233.126656346</v>
      </c>
      <c r="O425" s="9">
        <f>Table3[[#This Row],[Total Energy kWh]]/$V$20</f>
        <v>121.16168768818858</v>
      </c>
      <c r="P425" s="9">
        <f t="shared" si="142"/>
        <v>37.84374615181563</v>
      </c>
      <c r="Q425" s="12">
        <f>((L425*Processed!$V$21)+(Table3[[#This Row],[Natural Gas kWh]]*Processed!$V$22))/Processed!$V$20</f>
        <v>20.896114639444647</v>
      </c>
      <c r="R425" s="10">
        <f>1-(O425/Processed!$V$23)</f>
        <v>0.43890631304528649</v>
      </c>
      <c r="S425" s="11">
        <f>1-(Processed!Q425/Processed!$V$24)</f>
        <v>0.46211073258692426</v>
      </c>
    </row>
    <row r="426" spans="2:19">
      <c r="B426" t="str">
        <f t="shared" ref="B426:J426" si="205">B210</f>
        <v>1CAAAA</v>
      </c>
      <c r="C426">
        <f t="shared" si="205"/>
        <v>72</v>
      </c>
      <c r="D426">
        <f t="shared" si="205"/>
        <v>15</v>
      </c>
      <c r="E426">
        <f t="shared" si="205"/>
        <v>2.8</v>
      </c>
      <c r="F426" t="str">
        <f t="shared" si="205"/>
        <v>Current</v>
      </c>
      <c r="G426" t="str">
        <f t="shared" si="205"/>
        <v>Current</v>
      </c>
      <c r="H426" t="str">
        <f t="shared" si="205"/>
        <v>None</v>
      </c>
      <c r="I426" t="str">
        <f t="shared" si="205"/>
        <v>Improved</v>
      </c>
      <c r="J426" t="str">
        <f t="shared" si="205"/>
        <v>ASHP</v>
      </c>
      <c r="K426" t="s">
        <v>21</v>
      </c>
      <c r="L426" s="4">
        <f t="shared" si="140"/>
        <v>13292899.880089218</v>
      </c>
      <c r="M426" s="4">
        <f t="shared" si="141"/>
        <v>2407668.9</v>
      </c>
      <c r="N426" s="4">
        <f>Table3[[#This Row],[Natural Gas kWh]]+Table3[[#This Row],[Electricity kWh]]</f>
        <v>15700568.780089218</v>
      </c>
      <c r="O426" s="9">
        <f>Table3[[#This Row],[Total Energy kWh]]/$V$20</f>
        <v>144.69260510815144</v>
      </c>
      <c r="P426" s="9">
        <f t="shared" si="142"/>
        <v>78.266315074167807</v>
      </c>
      <c r="Q426" s="12">
        <f>((L426*Processed!$V$21)+(Table3[[#This Row],[Natural Gas kWh]]*Processed!$V$22))/Processed!$V$20</f>
        <v>25.041512632727873</v>
      </c>
      <c r="R426" s="10">
        <f>1-(O426/Processed!$V$23)</f>
        <v>0.32993581697088292</v>
      </c>
      <c r="S426" s="11">
        <f>1-(Processed!Q426/Processed!$V$24)</f>
        <v>0.35540357059932093</v>
      </c>
    </row>
    <row r="427" spans="2:19">
      <c r="B427" t="str">
        <f t="shared" ref="B427:J427" si="206">B211</f>
        <v>1CAAAB</v>
      </c>
      <c r="C427">
        <f t="shared" si="206"/>
        <v>72</v>
      </c>
      <c r="D427">
        <f t="shared" si="206"/>
        <v>15</v>
      </c>
      <c r="E427">
        <f t="shared" si="206"/>
        <v>2.8</v>
      </c>
      <c r="F427" t="str">
        <f t="shared" si="206"/>
        <v>Current</v>
      </c>
      <c r="G427" t="str">
        <f t="shared" si="206"/>
        <v>Current</v>
      </c>
      <c r="H427">
        <f t="shared" si="206"/>
        <v>0.75</v>
      </c>
      <c r="I427" t="str">
        <f t="shared" si="206"/>
        <v>Improved</v>
      </c>
      <c r="J427" t="str">
        <f t="shared" si="206"/>
        <v>ASHP</v>
      </c>
      <c r="K427" t="s">
        <v>21</v>
      </c>
      <c r="L427" s="4">
        <f t="shared" ref="L427:L449" si="207">L211-200000</f>
        <v>12407473.953579577</v>
      </c>
      <c r="M427" s="4">
        <f t="shared" ref="M427:M449" si="208">M211</f>
        <v>1775052.5999999999</v>
      </c>
      <c r="N427" s="4">
        <f>Table3[[#This Row],[Natural Gas kWh]]+Table3[[#This Row],[Electricity kWh]]</f>
        <v>14182526.553579576</v>
      </c>
      <c r="O427" s="9">
        <f>Table3[[#This Row],[Total Energy kWh]]/$V$20</f>
        <v>130.70269891466319</v>
      </c>
      <c r="P427" s="9">
        <f t="shared" ref="P427:P449" si="209">P211</f>
        <v>47.458644303472944</v>
      </c>
      <c r="Q427" s="12">
        <f>((L427*Processed!$V$21)+(Table3[[#This Row],[Natural Gas kWh]]*Processed!$V$22))/Processed!$V$20</f>
        <v>22.546627835284824</v>
      </c>
      <c r="R427" s="10">
        <f>1-(O427/Processed!$V$23)</f>
        <v>0.39472236951921069</v>
      </c>
      <c r="S427" s="11">
        <f>1-(Processed!Q427/Processed!$V$24)</f>
        <v>0.41962468438683254</v>
      </c>
    </row>
    <row r="428" spans="2:19">
      <c r="B428" t="str">
        <f t="shared" ref="B428:J428" si="210">B212</f>
        <v>1CAABA</v>
      </c>
      <c r="C428">
        <f t="shared" si="210"/>
        <v>72</v>
      </c>
      <c r="D428">
        <f t="shared" si="210"/>
        <v>15</v>
      </c>
      <c r="E428">
        <f t="shared" si="210"/>
        <v>2.8</v>
      </c>
      <c r="F428" t="str">
        <f t="shared" si="210"/>
        <v>Current</v>
      </c>
      <c r="G428">
        <f t="shared" si="210"/>
        <v>0.25</v>
      </c>
      <c r="H428" t="str">
        <f t="shared" si="210"/>
        <v>None</v>
      </c>
      <c r="I428" t="str">
        <f t="shared" si="210"/>
        <v>Improved</v>
      </c>
      <c r="J428" t="str">
        <f t="shared" si="210"/>
        <v>ASHP</v>
      </c>
      <c r="K428" t="s">
        <v>21</v>
      </c>
      <c r="L428" s="4">
        <f t="shared" si="207"/>
        <v>12850712.916790741</v>
      </c>
      <c r="M428" s="4">
        <f t="shared" si="208"/>
        <v>2431460.5</v>
      </c>
      <c r="N428" s="4">
        <f>Table3[[#This Row],[Natural Gas kWh]]+Table3[[#This Row],[Electricity kWh]]</f>
        <v>15282173.416790741</v>
      </c>
      <c r="O428" s="9">
        <f>Table3[[#This Row],[Total Energy kWh]]/$V$20</f>
        <v>140.83677568383143</v>
      </c>
      <c r="P428" s="9">
        <f t="shared" si="209"/>
        <v>80.51612727732801</v>
      </c>
      <c r="Q428" s="12">
        <f>((L428*Processed!$V$21)+(Table3[[#This Row],[Natural Gas kWh]]*Processed!$V$22))/Processed!$V$20</f>
        <v>24.390406782025764</v>
      </c>
      <c r="R428" s="10">
        <f>1-(O428/Processed!$V$23)</f>
        <v>0.34779196926819933</v>
      </c>
      <c r="S428" s="11">
        <f>1-(Processed!Q428/Processed!$V$24)</f>
        <v>0.37216376047602773</v>
      </c>
    </row>
    <row r="429" spans="2:19">
      <c r="B429" t="str">
        <f t="shared" ref="B429:J429" si="211">B213</f>
        <v>1CAABB</v>
      </c>
      <c r="C429">
        <f t="shared" si="211"/>
        <v>72</v>
      </c>
      <c r="D429">
        <f t="shared" si="211"/>
        <v>15</v>
      </c>
      <c r="E429">
        <f t="shared" si="211"/>
        <v>2.8</v>
      </c>
      <c r="F429" t="str">
        <f t="shared" si="211"/>
        <v>Current</v>
      </c>
      <c r="G429">
        <f t="shared" si="211"/>
        <v>0.25</v>
      </c>
      <c r="H429">
        <f t="shared" si="211"/>
        <v>0.75</v>
      </c>
      <c r="I429" t="str">
        <f t="shared" si="211"/>
        <v>Improved</v>
      </c>
      <c r="J429" t="str">
        <f t="shared" si="211"/>
        <v>ASHP</v>
      </c>
      <c r="K429" t="s">
        <v>21</v>
      </c>
      <c r="L429" s="4">
        <f t="shared" si="207"/>
        <v>11988119.988385959</v>
      </c>
      <c r="M429" s="4">
        <f t="shared" si="208"/>
        <v>1801627.7</v>
      </c>
      <c r="N429" s="4">
        <f>Table3[[#This Row],[Natural Gas kWh]]+Table3[[#This Row],[Electricity kWh]]</f>
        <v>13789747.688385958</v>
      </c>
      <c r="O429" s="9">
        <f>Table3[[#This Row],[Total Energy kWh]]/$V$20</f>
        <v>127.08294487693938</v>
      </c>
      <c r="P429" s="9">
        <f t="shared" si="209"/>
        <v>50.102293869321365</v>
      </c>
      <c r="Q429" s="12">
        <f>((L429*Processed!$V$21)+(Table3[[#This Row],[Natural Gas kWh]]*Processed!$V$22))/Processed!$V$20</f>
        <v>21.93616784141992</v>
      </c>
      <c r="R429" s="10">
        <f>1-(O429/Processed!$V$23)</f>
        <v>0.41148526856467893</v>
      </c>
      <c r="S429" s="11">
        <f>1-(Processed!Q429/Processed!$V$24)</f>
        <v>0.43533860463232898</v>
      </c>
    </row>
    <row r="430" spans="2:19">
      <c r="B430" t="str">
        <f t="shared" ref="B430:J430" si="212">B214</f>
        <v>1CABAA</v>
      </c>
      <c r="C430">
        <f t="shared" si="212"/>
        <v>72</v>
      </c>
      <c r="D430">
        <f t="shared" si="212"/>
        <v>15</v>
      </c>
      <c r="E430">
        <f t="shared" si="212"/>
        <v>2.8</v>
      </c>
      <c r="F430" t="str">
        <f t="shared" si="212"/>
        <v>Improved</v>
      </c>
      <c r="G430" t="str">
        <f t="shared" si="212"/>
        <v>Current</v>
      </c>
      <c r="H430" t="str">
        <f t="shared" si="212"/>
        <v>None</v>
      </c>
      <c r="I430" t="str">
        <f t="shared" si="212"/>
        <v>Improved</v>
      </c>
      <c r="J430" t="str">
        <f t="shared" si="212"/>
        <v>ASHP</v>
      </c>
      <c r="K430" t="s">
        <v>21</v>
      </c>
      <c r="L430" s="4">
        <f t="shared" si="207"/>
        <v>13222152.885961218</v>
      </c>
      <c r="M430" s="4">
        <f t="shared" si="208"/>
        <v>2377577.8000000003</v>
      </c>
      <c r="N430" s="4">
        <f>Table3[[#This Row],[Natural Gas kWh]]+Table3[[#This Row],[Electricity kWh]]</f>
        <v>15599730.685961219</v>
      </c>
      <c r="O430" s="9">
        <f>Table3[[#This Row],[Total Energy kWh]]/$V$20</f>
        <v>143.76330587460876</v>
      </c>
      <c r="P430" s="9">
        <f t="shared" si="209"/>
        <v>76.400935379977412</v>
      </c>
      <c r="Q430" s="12">
        <f>((L430*Processed!$V$21)+(Table3[[#This Row],[Natural Gas kWh]]*Processed!$V$22))/Processed!$V$20</f>
        <v>24.877985518541667</v>
      </c>
      <c r="R430" s="10">
        <f>1-(O430/Processed!$V$23)</f>
        <v>0.33423935502141378</v>
      </c>
      <c r="S430" s="11">
        <f>1-(Processed!Q430/Processed!$V$24)</f>
        <v>0.35961294067454797</v>
      </c>
    </row>
    <row r="431" spans="2:19">
      <c r="B431" t="str">
        <f t="shared" ref="B431:J431" si="213">B215</f>
        <v>1CABAB</v>
      </c>
      <c r="C431">
        <f t="shared" si="213"/>
        <v>72</v>
      </c>
      <c r="D431">
        <f t="shared" si="213"/>
        <v>15</v>
      </c>
      <c r="E431">
        <f t="shared" si="213"/>
        <v>2.8</v>
      </c>
      <c r="F431" t="str">
        <f t="shared" si="213"/>
        <v>Improved</v>
      </c>
      <c r="G431" t="str">
        <f t="shared" si="213"/>
        <v>Current</v>
      </c>
      <c r="H431">
        <f t="shared" si="213"/>
        <v>0.75</v>
      </c>
      <c r="I431" t="str">
        <f t="shared" si="213"/>
        <v>Improved</v>
      </c>
      <c r="J431" t="str">
        <f t="shared" si="213"/>
        <v>ASHP</v>
      </c>
      <c r="K431" t="s">
        <v>21</v>
      </c>
      <c r="L431" s="4">
        <f t="shared" si="207"/>
        <v>12329555.96004677</v>
      </c>
      <c r="M431" s="4">
        <f t="shared" si="208"/>
        <v>1748243.0999999999</v>
      </c>
      <c r="N431" s="4">
        <f>Table3[[#This Row],[Natural Gas kWh]]+Table3[[#This Row],[Electricity kWh]]</f>
        <v>14077799.06004677</v>
      </c>
      <c r="O431" s="9">
        <f>Table3[[#This Row],[Total Energy kWh]]/$V$20</f>
        <v>129.73755592666356</v>
      </c>
      <c r="P431" s="9">
        <f t="shared" si="209"/>
        <v>45.472265212218218</v>
      </c>
      <c r="Q431" s="12">
        <f>((L431*Processed!$V$21)+(Table3[[#This Row],[Natural Gas kWh]]*Processed!$V$22))/Processed!$V$20</f>
        <v>22.377612131314361</v>
      </c>
      <c r="R431" s="10">
        <f>1-(O431/Processed!$V$23)</f>
        <v>0.39919189819537815</v>
      </c>
      <c r="S431" s="11">
        <f>1-(Processed!Q431/Processed!$V$24)</f>
        <v>0.42397533687695466</v>
      </c>
    </row>
    <row r="432" spans="2:19">
      <c r="B432" t="str">
        <f t="shared" ref="B432:J432" si="214">B216</f>
        <v>1CABBA</v>
      </c>
      <c r="C432">
        <f t="shared" si="214"/>
        <v>72</v>
      </c>
      <c r="D432">
        <f t="shared" si="214"/>
        <v>15</v>
      </c>
      <c r="E432">
        <f t="shared" si="214"/>
        <v>2.8</v>
      </c>
      <c r="F432" t="str">
        <f t="shared" si="214"/>
        <v>Improved</v>
      </c>
      <c r="G432">
        <f t="shared" si="214"/>
        <v>0.25</v>
      </c>
      <c r="H432" t="str">
        <f t="shared" si="214"/>
        <v>None</v>
      </c>
      <c r="I432" t="str">
        <f t="shared" si="214"/>
        <v>Improved</v>
      </c>
      <c r="J432" t="str">
        <f t="shared" si="214"/>
        <v>ASHP</v>
      </c>
      <c r="K432" t="s">
        <v>21</v>
      </c>
      <c r="L432" s="4">
        <f t="shared" si="207"/>
        <v>12787354.922049452</v>
      </c>
      <c r="M432" s="4">
        <f t="shared" si="208"/>
        <v>2396417.6999999997</v>
      </c>
      <c r="N432" s="4">
        <f>Table3[[#This Row],[Natural Gas kWh]]+Table3[[#This Row],[Electricity kWh]]</f>
        <v>15183772.622049451</v>
      </c>
      <c r="O432" s="9">
        <f>Table3[[#This Row],[Total Energy kWh]]/$V$20</f>
        <v>139.92993800583051</v>
      </c>
      <c r="P432" s="9">
        <f t="shared" si="209"/>
        <v>78.746084123543994</v>
      </c>
      <c r="Q432" s="12">
        <f>((L432*Processed!$V$21)+(Table3[[#This Row],[Natural Gas kWh]]*Processed!$V$22))/Processed!$V$20</f>
        <v>24.229785459138732</v>
      </c>
      <c r="R432" s="10">
        <f>1-(O432/Processed!$V$23)</f>
        <v>0.35199148898377519</v>
      </c>
      <c r="S432" s="11">
        <f>1-(Processed!Q432/Processed!$V$24)</f>
        <v>0.37629833224639586</v>
      </c>
    </row>
    <row r="433" spans="2:19">
      <c r="B433" t="str">
        <f t="shared" ref="B433:J433" si="215">B217</f>
        <v>1CABBB</v>
      </c>
      <c r="C433">
        <f t="shared" si="215"/>
        <v>72</v>
      </c>
      <c r="D433">
        <f t="shared" si="215"/>
        <v>15</v>
      </c>
      <c r="E433">
        <f t="shared" si="215"/>
        <v>2.8</v>
      </c>
      <c r="F433" t="str">
        <f t="shared" si="215"/>
        <v>Improved</v>
      </c>
      <c r="G433">
        <f t="shared" si="215"/>
        <v>0.25</v>
      </c>
      <c r="H433">
        <f t="shared" si="215"/>
        <v>0.75</v>
      </c>
      <c r="I433" t="str">
        <f t="shared" si="215"/>
        <v>Improved</v>
      </c>
      <c r="J433" t="str">
        <f t="shared" si="215"/>
        <v>ASHP</v>
      </c>
      <c r="K433" t="s">
        <v>21</v>
      </c>
      <c r="L433" s="4">
        <f t="shared" si="207"/>
        <v>11909846.994882619</v>
      </c>
      <c r="M433" s="4">
        <f t="shared" si="208"/>
        <v>1771331.5</v>
      </c>
      <c r="N433" s="4">
        <f>Table3[[#This Row],[Natural Gas kWh]]+Table3[[#This Row],[Electricity kWh]]</f>
        <v>13681178.494882619</v>
      </c>
      <c r="O433" s="9">
        <f>Table3[[#This Row],[Total Energy kWh]]/$V$20</f>
        <v>126.08239772081274</v>
      </c>
      <c r="P433" s="9">
        <f t="shared" si="209"/>
        <v>48.080822765742695</v>
      </c>
      <c r="Q433" s="12">
        <f>((L433*Processed!$V$21)+(Table3[[#This Row],[Natural Gas kWh]]*Processed!$V$22))/Processed!$V$20</f>
        <v>21.760490777364851</v>
      </c>
      <c r="R433" s="10">
        <f>1-(O433/Processed!$V$23)</f>
        <v>0.41611875216427963</v>
      </c>
      <c r="S433" s="11">
        <f>1-(Processed!Q433/Processed!$V$24)</f>
        <v>0.43986072795124909</v>
      </c>
    </row>
    <row r="434" spans="2:19">
      <c r="B434" t="str">
        <f t="shared" ref="B434:J434" si="216">B218</f>
        <v>1CBAAA</v>
      </c>
      <c r="C434">
        <f t="shared" si="216"/>
        <v>72</v>
      </c>
      <c r="D434">
        <f t="shared" si="216"/>
        <v>15</v>
      </c>
      <c r="E434">
        <f t="shared" si="216"/>
        <v>4</v>
      </c>
      <c r="F434" t="str">
        <f t="shared" si="216"/>
        <v>Current</v>
      </c>
      <c r="G434" t="str">
        <f t="shared" si="216"/>
        <v>Current</v>
      </c>
      <c r="H434" t="str">
        <f t="shared" si="216"/>
        <v>None</v>
      </c>
      <c r="I434" t="str">
        <f t="shared" si="216"/>
        <v>Improved</v>
      </c>
      <c r="J434" t="str">
        <f t="shared" si="216"/>
        <v>ASHP</v>
      </c>
      <c r="K434" t="s">
        <v>21</v>
      </c>
      <c r="L434" s="4">
        <f t="shared" si="207"/>
        <v>13015793.903089017</v>
      </c>
      <c r="M434" s="4">
        <f t="shared" si="208"/>
        <v>2288359.3000000003</v>
      </c>
      <c r="N434" s="4">
        <f>Table3[[#This Row],[Natural Gas kWh]]+Table3[[#This Row],[Electricity kWh]]</f>
        <v>15304153.203089017</v>
      </c>
      <c r="O434" s="9">
        <f>Table3[[#This Row],[Total Energy kWh]]/$V$20</f>
        <v>141.03933602312634</v>
      </c>
      <c r="P434" s="9">
        <f t="shared" si="209"/>
        <v>70.752852234534913</v>
      </c>
      <c r="Q434" s="12">
        <f>((L434*Processed!$V$21)+(Table3[[#This Row],[Natural Gas kWh]]*Processed!$V$22))/Processed!$V$20</f>
        <v>24.398466325918562</v>
      </c>
      <c r="R434" s="10">
        <f>1-(O434/Processed!$V$23)</f>
        <v>0.34685392251617431</v>
      </c>
      <c r="S434" s="11">
        <f>1-(Processed!Q434/Processed!$V$24)</f>
        <v>0.37195629883854231</v>
      </c>
    </row>
    <row r="435" spans="2:19">
      <c r="B435" t="str">
        <f t="shared" ref="B435:J435" si="217">B219</f>
        <v>1CBAAB</v>
      </c>
      <c r="C435">
        <f t="shared" si="217"/>
        <v>72</v>
      </c>
      <c r="D435">
        <f t="shared" si="217"/>
        <v>15</v>
      </c>
      <c r="E435">
        <f t="shared" si="217"/>
        <v>4</v>
      </c>
      <c r="F435" t="str">
        <f t="shared" si="217"/>
        <v>Current</v>
      </c>
      <c r="G435" t="str">
        <f t="shared" si="217"/>
        <v>Current</v>
      </c>
      <c r="H435">
        <f t="shared" si="217"/>
        <v>0.75</v>
      </c>
      <c r="I435" t="str">
        <f t="shared" si="217"/>
        <v>Improved</v>
      </c>
      <c r="J435" t="str">
        <f t="shared" si="217"/>
        <v>ASHP</v>
      </c>
      <c r="K435" t="s">
        <v>21</v>
      </c>
      <c r="L435" s="4">
        <f t="shared" si="207"/>
        <v>12106424.978566643</v>
      </c>
      <c r="M435" s="4">
        <f t="shared" si="208"/>
        <v>1657149.4000000001</v>
      </c>
      <c r="N435" s="4">
        <f>Table3[[#This Row],[Natural Gas kWh]]+Table3[[#This Row],[Electricity kWh]]</f>
        <v>13763574.378566643</v>
      </c>
      <c r="O435" s="9">
        <f>Table3[[#This Row],[Total Energy kWh]]/$V$20</f>
        <v>126.84173804965157</v>
      </c>
      <c r="P435" s="9">
        <f t="shared" si="209"/>
        <v>39.477433777873081</v>
      </c>
      <c r="Q435" s="12">
        <f>((L435*Processed!$V$21)+(Table3[[#This Row],[Natural Gas kWh]]*Processed!$V$22))/Processed!$V$20</f>
        <v>21.868533146652126</v>
      </c>
      <c r="R435" s="10">
        <f>1-(O435/Processed!$V$23)</f>
        <v>0.41260228526050002</v>
      </c>
      <c r="S435" s="11">
        <f>1-(Processed!Q435/Processed!$V$24)</f>
        <v>0.43707959701527088</v>
      </c>
    </row>
    <row r="436" spans="2:19">
      <c r="B436" t="str">
        <f t="shared" ref="B436:J436" si="218">B220</f>
        <v>1CBABA</v>
      </c>
      <c r="C436">
        <f t="shared" si="218"/>
        <v>72</v>
      </c>
      <c r="D436">
        <f t="shared" si="218"/>
        <v>15</v>
      </c>
      <c r="E436">
        <f t="shared" si="218"/>
        <v>4</v>
      </c>
      <c r="F436" t="str">
        <f t="shared" si="218"/>
        <v>Current</v>
      </c>
      <c r="G436">
        <f t="shared" si="218"/>
        <v>0.25</v>
      </c>
      <c r="H436" t="str">
        <f t="shared" si="218"/>
        <v>None</v>
      </c>
      <c r="I436" t="str">
        <f t="shared" si="218"/>
        <v>Improved</v>
      </c>
      <c r="J436" t="str">
        <f t="shared" si="218"/>
        <v>ASHP</v>
      </c>
      <c r="K436" t="s">
        <v>21</v>
      </c>
      <c r="L436" s="4">
        <f t="shared" si="207"/>
        <v>12580383.939228047</v>
      </c>
      <c r="M436" s="4">
        <f t="shared" si="208"/>
        <v>2312033.6999999997</v>
      </c>
      <c r="N436" s="4">
        <f>Table3[[#This Row],[Natural Gas kWh]]+Table3[[#This Row],[Electricity kWh]]</f>
        <v>14892417.639228046</v>
      </c>
      <c r="O436" s="9">
        <f>Table3[[#This Row],[Total Energy kWh]]/$V$20</f>
        <v>137.24488168295824</v>
      </c>
      <c r="P436" s="9">
        <f t="shared" si="209"/>
        <v>73.149083671941469</v>
      </c>
      <c r="Q436" s="12">
        <f>((L436*Processed!$V$21)+(Table3[[#This Row],[Natural Gas kWh]]*Processed!$V$22))/Processed!$V$20</f>
        <v>23.757772637791081</v>
      </c>
      <c r="R436" s="10">
        <f>1-(O436/Processed!$V$23)</f>
        <v>0.36442584988306082</v>
      </c>
      <c r="S436" s="11">
        <f>1-(Processed!Q436/Processed!$V$24)</f>
        <v>0.38844846805226518</v>
      </c>
    </row>
    <row r="437" spans="2:19">
      <c r="B437" t="str">
        <f t="shared" ref="B437:J437" si="219">B221</f>
        <v>1CBABB</v>
      </c>
      <c r="C437">
        <f t="shared" si="219"/>
        <v>72</v>
      </c>
      <c r="D437">
        <f t="shared" si="219"/>
        <v>15</v>
      </c>
      <c r="E437">
        <f t="shared" si="219"/>
        <v>4</v>
      </c>
      <c r="F437" t="str">
        <f t="shared" si="219"/>
        <v>Current</v>
      </c>
      <c r="G437">
        <f t="shared" si="219"/>
        <v>0.25</v>
      </c>
      <c r="H437">
        <f t="shared" si="219"/>
        <v>0.75</v>
      </c>
      <c r="I437" t="str">
        <f t="shared" si="219"/>
        <v>Improved</v>
      </c>
      <c r="J437" t="str">
        <f t="shared" si="219"/>
        <v>ASHP</v>
      </c>
      <c r="K437" t="s">
        <v>21</v>
      </c>
      <c r="L437" s="4">
        <f t="shared" si="207"/>
        <v>11677654.014154635</v>
      </c>
      <c r="M437" s="4">
        <f t="shared" si="208"/>
        <v>1680325.7</v>
      </c>
      <c r="N437" s="4">
        <f>Table3[[#This Row],[Natural Gas kWh]]+Table3[[#This Row],[Electricity kWh]]</f>
        <v>13357979.714154635</v>
      </c>
      <c r="O437" s="9">
        <f>Table3[[#This Row],[Total Energy kWh]]/$V$20</f>
        <v>123.10387673814522</v>
      </c>
      <c r="P437" s="9">
        <f t="shared" si="209"/>
        <v>41.941905084120101</v>
      </c>
      <c r="Q437" s="12">
        <f>((L437*Processed!$V$21)+(Table3[[#This Row],[Natural Gas kWh]]*Processed!$V$22))/Processed!$V$20</f>
        <v>21.237368466039573</v>
      </c>
      <c r="R437" s="10">
        <f>1-(O437/Processed!$V$23)</f>
        <v>0.42991213315561927</v>
      </c>
      <c r="S437" s="11">
        <f>1-(Processed!Q437/Processed!$V$24)</f>
        <v>0.4533264789610103</v>
      </c>
    </row>
    <row r="438" spans="2:19">
      <c r="B438" t="str">
        <f t="shared" ref="B438:J438" si="220">B222</f>
        <v>1CBBAA</v>
      </c>
      <c r="C438">
        <f t="shared" si="220"/>
        <v>72</v>
      </c>
      <c r="D438">
        <f t="shared" si="220"/>
        <v>15</v>
      </c>
      <c r="E438">
        <f t="shared" si="220"/>
        <v>4</v>
      </c>
      <c r="F438" t="str">
        <f t="shared" si="220"/>
        <v>Improved</v>
      </c>
      <c r="G438" t="str">
        <f t="shared" si="220"/>
        <v>Current</v>
      </c>
      <c r="H438" t="str">
        <f t="shared" si="220"/>
        <v>None</v>
      </c>
      <c r="I438" t="str">
        <f t="shared" si="220"/>
        <v>Improved</v>
      </c>
      <c r="J438" t="str">
        <f t="shared" si="220"/>
        <v>ASHP</v>
      </c>
      <c r="K438" t="s">
        <v>21</v>
      </c>
      <c r="L438" s="4">
        <f t="shared" si="207"/>
        <v>12947368.908768291</v>
      </c>
      <c r="M438" s="4">
        <f t="shared" si="208"/>
        <v>2254840.1</v>
      </c>
      <c r="N438" s="4">
        <f>Table3[[#This Row],[Natural Gas kWh]]+Table3[[#This Row],[Electricity kWh]]</f>
        <v>15202209.00876829</v>
      </c>
      <c r="O438" s="9">
        <f>Table3[[#This Row],[Total Energy kWh]]/$V$20</f>
        <v>140.09984324050669</v>
      </c>
      <c r="P438" s="9">
        <f t="shared" si="209"/>
        <v>68.942964687564384</v>
      </c>
      <c r="Q438" s="12">
        <f>((L438*Processed!$V$21)+(Table3[[#This Row],[Natural Gas kWh]]*Processed!$V$22))/Processed!$V$20</f>
        <v>24.232574457751859</v>
      </c>
      <c r="R438" s="10">
        <f>1-(O438/Processed!$V$23)</f>
        <v>0.35120466638022496</v>
      </c>
      <c r="S438" s="11">
        <f>1-(Processed!Q438/Processed!$V$24)</f>
        <v>0.3762265403153735</v>
      </c>
    </row>
    <row r="439" spans="2:19">
      <c r="B439" t="str">
        <f t="shared" ref="B439:J439" si="221">B223</f>
        <v>1CBBAB</v>
      </c>
      <c r="C439">
        <f t="shared" si="221"/>
        <v>72</v>
      </c>
      <c r="D439">
        <f t="shared" si="221"/>
        <v>15</v>
      </c>
      <c r="E439">
        <f t="shared" si="221"/>
        <v>4</v>
      </c>
      <c r="F439" t="str">
        <f t="shared" si="221"/>
        <v>Improved</v>
      </c>
      <c r="G439" t="str">
        <f t="shared" si="221"/>
        <v>Current</v>
      </c>
      <c r="H439">
        <f t="shared" si="221"/>
        <v>0.75</v>
      </c>
      <c r="I439" t="str">
        <f t="shared" si="221"/>
        <v>Improved</v>
      </c>
      <c r="J439" t="str">
        <f t="shared" si="221"/>
        <v>ASHP</v>
      </c>
      <c r="K439" t="s">
        <v>21</v>
      </c>
      <c r="L439" s="4">
        <f t="shared" si="207"/>
        <v>12030067.984904274</v>
      </c>
      <c r="M439" s="4">
        <f t="shared" si="208"/>
        <v>1627380.5999999999</v>
      </c>
      <c r="N439" s="4">
        <f>Table3[[#This Row],[Natural Gas kWh]]+Table3[[#This Row],[Electricity kWh]]</f>
        <v>13657448.584904274</v>
      </c>
      <c r="O439" s="9">
        <f>Table3[[#This Row],[Total Energy kWh]]/$V$20</f>
        <v>125.8637086693624</v>
      </c>
      <c r="P439" s="9">
        <f t="shared" si="209"/>
        <v>37.507590811847024</v>
      </c>
      <c r="Q439" s="12">
        <f>((L439*Processed!$V$21)+(Table3[[#This Row],[Natural Gas kWh]]*Processed!$V$22))/Processed!$V$20</f>
        <v>21.6967813122798</v>
      </c>
      <c r="R439" s="10">
        <f>1-(O439/Processed!$V$23)</f>
        <v>0.41713149017178142</v>
      </c>
      <c r="S439" s="11">
        <f>1-(Processed!Q439/Processed!$V$24)</f>
        <v>0.44150068054976654</v>
      </c>
    </row>
    <row r="440" spans="2:19">
      <c r="B440" t="str">
        <f t="shared" ref="B440:J440" si="222">B224</f>
        <v>1CBBBA</v>
      </c>
      <c r="C440">
        <f t="shared" si="222"/>
        <v>72</v>
      </c>
      <c r="D440">
        <f t="shared" si="222"/>
        <v>15</v>
      </c>
      <c r="E440">
        <f t="shared" si="222"/>
        <v>4</v>
      </c>
      <c r="F440" t="str">
        <f t="shared" si="222"/>
        <v>Improved</v>
      </c>
      <c r="G440">
        <f t="shared" si="222"/>
        <v>0.25</v>
      </c>
      <c r="H440" t="str">
        <f t="shared" si="222"/>
        <v>None</v>
      </c>
      <c r="I440" t="str">
        <f t="shared" si="222"/>
        <v>Improved</v>
      </c>
      <c r="J440" t="str">
        <f t="shared" si="222"/>
        <v>ASHP</v>
      </c>
      <c r="K440" t="s">
        <v>21</v>
      </c>
      <c r="L440" s="4">
        <f t="shared" si="207"/>
        <v>12502498.945692502</v>
      </c>
      <c r="M440" s="4">
        <f t="shared" si="208"/>
        <v>2283524.8000000003</v>
      </c>
      <c r="N440" s="4">
        <f>Table3[[#This Row],[Natural Gas kWh]]+Table3[[#This Row],[Electricity kWh]]</f>
        <v>14786023.745692503</v>
      </c>
      <c r="O440" s="9">
        <f>Table3[[#This Row],[Total Energy kWh]]/$V$20</f>
        <v>136.26438155975382</v>
      </c>
      <c r="P440" s="9">
        <f t="shared" si="209"/>
        <v>71.167789088166444</v>
      </c>
      <c r="Q440" s="12">
        <f>((L440*Processed!$V$21)+(Table3[[#This Row],[Natural Gas kWh]]*Processed!$V$22))/Processed!$V$20</f>
        <v>23.58583299573349</v>
      </c>
      <c r="R440" s="10">
        <f>1-(O440/Processed!$V$23)</f>
        <v>0.36896649668062065</v>
      </c>
      <c r="S440" s="11">
        <f>1-(Processed!Q440/Processed!$V$24)</f>
        <v>0.39287438596578228</v>
      </c>
    </row>
    <row r="441" spans="2:19">
      <c r="B441" t="str">
        <f t="shared" ref="B441:J441" si="223">B225</f>
        <v>1CBBBB</v>
      </c>
      <c r="C441">
        <f t="shared" si="223"/>
        <v>72</v>
      </c>
      <c r="D441">
        <f t="shared" si="223"/>
        <v>15</v>
      </c>
      <c r="E441">
        <f t="shared" si="223"/>
        <v>4</v>
      </c>
      <c r="F441" t="str">
        <f t="shared" si="223"/>
        <v>Improved</v>
      </c>
      <c r="G441">
        <f t="shared" si="223"/>
        <v>0.25</v>
      </c>
      <c r="H441">
        <f t="shared" si="223"/>
        <v>0.75</v>
      </c>
      <c r="I441" t="str">
        <f t="shared" si="223"/>
        <v>Improved</v>
      </c>
      <c r="J441" t="str">
        <f t="shared" si="223"/>
        <v>ASHP</v>
      </c>
      <c r="K441" t="s">
        <v>21</v>
      </c>
      <c r="L441" s="4">
        <f t="shared" si="207"/>
        <v>11601436.02048073</v>
      </c>
      <c r="M441" s="4">
        <f t="shared" si="208"/>
        <v>1651435.9000000001</v>
      </c>
      <c r="N441" s="4">
        <f>Table3[[#This Row],[Natural Gas kWh]]+Table3[[#This Row],[Electricity kWh]]</f>
        <v>13252871.92048073</v>
      </c>
      <c r="O441" s="9">
        <f>Table3[[#This Row],[Total Energy kWh]]/$V$20</f>
        <v>122.13522899697971</v>
      </c>
      <c r="P441" s="9">
        <f t="shared" si="209"/>
        <v>39.92038807686265</v>
      </c>
      <c r="Q441" s="12">
        <f>((L441*Processed!$V$21)+(Table3[[#This Row],[Natural Gas kWh]]*Processed!$V$22))/Processed!$V$20</f>
        <v>21.067373523302226</v>
      </c>
      <c r="R441" s="10">
        <f>1-(O441/Processed!$V$23)</f>
        <v>0.43439789216757374</v>
      </c>
      <c r="S441" s="11">
        <f>1-(Processed!Q441/Processed!$V$24)</f>
        <v>0.45770233814778538</v>
      </c>
    </row>
    <row r="442" spans="2:19">
      <c r="B442" t="str">
        <f t="shared" ref="B442:J442" si="224">B226</f>
        <v>1CCAAA</v>
      </c>
      <c r="C442">
        <f t="shared" si="224"/>
        <v>72</v>
      </c>
      <c r="D442">
        <f t="shared" si="224"/>
        <v>15</v>
      </c>
      <c r="E442">
        <f t="shared" si="224"/>
        <v>5.5</v>
      </c>
      <c r="F442" t="str">
        <f t="shared" si="224"/>
        <v>Current</v>
      </c>
      <c r="G442" t="str">
        <f t="shared" si="224"/>
        <v>Current</v>
      </c>
      <c r="H442" t="str">
        <f t="shared" si="224"/>
        <v>None</v>
      </c>
      <c r="I442" t="str">
        <f t="shared" si="224"/>
        <v>Improved</v>
      </c>
      <c r="J442" t="str">
        <f t="shared" si="224"/>
        <v>ASHP</v>
      </c>
      <c r="K442" t="s">
        <v>21</v>
      </c>
      <c r="L442" s="4">
        <f t="shared" si="207"/>
        <v>12877216.914590908</v>
      </c>
      <c r="M442" s="4">
        <f t="shared" si="208"/>
        <v>2228323.6</v>
      </c>
      <c r="N442" s="4">
        <f>Table3[[#This Row],[Natural Gas kWh]]+Table3[[#This Row],[Electricity kWh]]</f>
        <v>15105540.514590908</v>
      </c>
      <c r="O442" s="9">
        <f>Table3[[#This Row],[Total Energy kWh]]/$V$20</f>
        <v>139.20897002117812</v>
      </c>
      <c r="P442" s="9">
        <f t="shared" si="209"/>
        <v>67.014856266204291</v>
      </c>
      <c r="Q442" s="12">
        <f>((L442*Processed!$V$21)+(Table3[[#This Row],[Natural Gas kWh]]*Processed!$V$22))/Processed!$V$20</f>
        <v>24.07623861878346</v>
      </c>
      <c r="R442" s="10">
        <f>1-(O442/Processed!$V$23)</f>
        <v>0.3553302554899499</v>
      </c>
      <c r="S442" s="11">
        <f>1-(Processed!Q442/Processed!$V$24)</f>
        <v>0.38025079895599101</v>
      </c>
    </row>
    <row r="443" spans="2:19">
      <c r="B443" t="str">
        <f t="shared" ref="B443:J443" si="225">B227</f>
        <v>1CCAAB</v>
      </c>
      <c r="C443">
        <f t="shared" si="225"/>
        <v>72</v>
      </c>
      <c r="D443">
        <f t="shared" si="225"/>
        <v>15</v>
      </c>
      <c r="E443">
        <f t="shared" si="225"/>
        <v>5.5</v>
      </c>
      <c r="F443" t="str">
        <f t="shared" si="225"/>
        <v>Current</v>
      </c>
      <c r="G443" t="str">
        <f t="shared" si="225"/>
        <v>Current</v>
      </c>
      <c r="H443">
        <f t="shared" si="225"/>
        <v>0.75</v>
      </c>
      <c r="I443" t="str">
        <f t="shared" si="225"/>
        <v>Improved</v>
      </c>
      <c r="J443" t="str">
        <f t="shared" si="225"/>
        <v>ASHP</v>
      </c>
      <c r="K443" t="s">
        <v>21</v>
      </c>
      <c r="L443" s="4">
        <f t="shared" si="207"/>
        <v>11958815.990818189</v>
      </c>
      <c r="M443" s="4">
        <f t="shared" si="208"/>
        <v>1598959.5999999999</v>
      </c>
      <c r="N443" s="4">
        <f>Table3[[#This Row],[Natural Gas kWh]]+Table3[[#This Row],[Electricity kWh]]</f>
        <v>13557775.590818189</v>
      </c>
      <c r="O443" s="9">
        <f>Table3[[#This Row],[Total Energy kWh]]/$V$20</f>
        <v>124.94514671308892</v>
      </c>
      <c r="P443" s="9">
        <f t="shared" si="209"/>
        <v>35.561110118106811</v>
      </c>
      <c r="Q443" s="12">
        <f>((L443*Processed!$V$21)+(Table3[[#This Row],[Natural Gas kWh]]*Processed!$V$22))/Processed!$V$20</f>
        <v>21.535387359898873</v>
      </c>
      <c r="R443" s="10">
        <f>1-(O443/Processed!$V$23)</f>
        <v>0.4213853044308582</v>
      </c>
      <c r="S443" s="11">
        <f>1-(Processed!Q443/Processed!$V$24)</f>
        <v>0.44565514066395484</v>
      </c>
    </row>
    <row r="444" spans="2:19">
      <c r="B444" t="str">
        <f t="shared" ref="B444:J444" si="226">B228</f>
        <v>1CCABA</v>
      </c>
      <c r="C444">
        <f t="shared" si="226"/>
        <v>72</v>
      </c>
      <c r="D444">
        <f t="shared" si="226"/>
        <v>15</v>
      </c>
      <c r="E444">
        <f t="shared" si="226"/>
        <v>5.5</v>
      </c>
      <c r="F444" t="str">
        <f t="shared" si="226"/>
        <v>Current</v>
      </c>
      <c r="G444">
        <f t="shared" si="226"/>
        <v>0.25</v>
      </c>
      <c r="H444" t="str">
        <f t="shared" si="226"/>
        <v>None</v>
      </c>
      <c r="I444" t="str">
        <f t="shared" si="226"/>
        <v>Improved</v>
      </c>
      <c r="J444" t="str">
        <f t="shared" si="226"/>
        <v>ASHP</v>
      </c>
      <c r="K444" t="s">
        <v>21</v>
      </c>
      <c r="L444" s="4">
        <f t="shared" si="207"/>
        <v>12444378.95051646</v>
      </c>
      <c r="M444" s="4">
        <f t="shared" si="208"/>
        <v>2250708.8000000003</v>
      </c>
      <c r="N444" s="4">
        <f>Table3[[#This Row],[Natural Gas kWh]]+Table3[[#This Row],[Electricity kWh]]</f>
        <v>14695087.750516461</v>
      </c>
      <c r="O444" s="9">
        <f>Table3[[#This Row],[Total Energy kWh]]/$V$20</f>
        <v>135.42633765036308</v>
      </c>
      <c r="P444" s="9">
        <f t="shared" si="209"/>
        <v>69.381109901146985</v>
      </c>
      <c r="Q444" s="12">
        <f>((L444*Processed!$V$21)+(Table3[[#This Row],[Natural Gas kWh]]*Processed!$V$22))/Processed!$V$20</f>
        <v>23.437317046402878</v>
      </c>
      <c r="R444" s="10">
        <f>1-(O444/Processed!$V$23)</f>
        <v>0.3728474359108509</v>
      </c>
      <c r="S444" s="11">
        <f>1-(Processed!Q444/Processed!$V$24)</f>
        <v>0.3966973519363941</v>
      </c>
    </row>
    <row r="445" spans="2:19">
      <c r="B445" t="str">
        <f t="shared" ref="B445:J445" si="227">B229</f>
        <v>1CCABB</v>
      </c>
      <c r="C445">
        <f t="shared" si="227"/>
        <v>72</v>
      </c>
      <c r="D445">
        <f t="shared" si="227"/>
        <v>15</v>
      </c>
      <c r="E445">
        <f t="shared" si="227"/>
        <v>5.5</v>
      </c>
      <c r="F445" t="str">
        <f t="shared" si="227"/>
        <v>Current</v>
      </c>
      <c r="G445">
        <f t="shared" si="227"/>
        <v>0.25</v>
      </c>
      <c r="H445">
        <f t="shared" si="227"/>
        <v>0.75</v>
      </c>
      <c r="I445" t="str">
        <f t="shared" si="227"/>
        <v>Improved</v>
      </c>
      <c r="J445" t="str">
        <f t="shared" si="227"/>
        <v>ASHP</v>
      </c>
      <c r="K445" t="s">
        <v>21</v>
      </c>
      <c r="L445" s="4">
        <f t="shared" si="207"/>
        <v>11525876.026752209</v>
      </c>
      <c r="M445" s="4">
        <f t="shared" si="208"/>
        <v>1621462</v>
      </c>
      <c r="N445" s="4">
        <f>Table3[[#This Row],[Natural Gas kWh]]+Table3[[#This Row],[Electricity kWh]]</f>
        <v>13147338.026752209</v>
      </c>
      <c r="O445" s="9">
        <f>Table3[[#This Row],[Total Energy kWh]]/$V$20</f>
        <v>121.16265442183749</v>
      </c>
      <c r="P445" s="9">
        <f t="shared" si="209"/>
        <v>37.899408412668635</v>
      </c>
      <c r="Q445" s="12">
        <f>((L445*Processed!$V$21)+(Table3[[#This Row],[Natural Gas kWh]]*Processed!$V$22))/Processed!$V$20</f>
        <v>20.89651120277529</v>
      </c>
      <c r="R445" s="10">
        <f>1-(O445/Processed!$V$23)</f>
        <v>0.43890183615033951</v>
      </c>
      <c r="S445" s="11">
        <f>1-(Processed!Q445/Processed!$V$24)</f>
        <v>0.4621005246050538</v>
      </c>
    </row>
    <row r="446" spans="2:19">
      <c r="B446" t="str">
        <f t="shared" ref="B446:J446" si="228">B230</f>
        <v>1CCBAA</v>
      </c>
      <c r="C446">
        <f t="shared" si="228"/>
        <v>72</v>
      </c>
      <c r="D446">
        <f t="shared" si="228"/>
        <v>15</v>
      </c>
      <c r="E446">
        <f t="shared" si="228"/>
        <v>5.5</v>
      </c>
      <c r="F446" t="str">
        <f t="shared" si="228"/>
        <v>Improved</v>
      </c>
      <c r="G446" t="str">
        <f t="shared" si="228"/>
        <v>Current</v>
      </c>
      <c r="H446" t="str">
        <f t="shared" si="228"/>
        <v>None</v>
      </c>
      <c r="I446" t="str">
        <f t="shared" si="228"/>
        <v>Improved</v>
      </c>
      <c r="J446" t="str">
        <f t="shared" si="228"/>
        <v>ASHP</v>
      </c>
      <c r="K446" t="s">
        <v>21</v>
      </c>
      <c r="L446" s="4">
        <f t="shared" si="207"/>
        <v>12813877.919848043</v>
      </c>
      <c r="M446" s="4">
        <f t="shared" si="208"/>
        <v>2180593.9</v>
      </c>
      <c r="N446" s="4">
        <f>Table3[[#This Row],[Natural Gas kWh]]+Table3[[#This Row],[Electricity kWh]]</f>
        <v>14994471.819848044</v>
      </c>
      <c r="O446" s="9">
        <f>Table3[[#This Row],[Total Energy kWh]]/$V$20</f>
        <v>138.18538807243448</v>
      </c>
      <c r="P446" s="9">
        <f t="shared" si="209"/>
        <v>65.251863377438568</v>
      </c>
      <c r="Q446" s="12">
        <f>((L446*Processed!$V$21)+(Table3[[#This Row],[Natural Gas kWh]]*Processed!$V$22))/Processed!$V$20</f>
        <v>23.893432382468465</v>
      </c>
      <c r="R446" s="10">
        <f>1-(O446/Processed!$V$23)</f>
        <v>0.36007041205659407</v>
      </c>
      <c r="S446" s="11">
        <f>1-(Processed!Q446/Processed!$V$24)</f>
        <v>0.38495643511020716</v>
      </c>
    </row>
    <row r="447" spans="2:19">
      <c r="B447" t="str">
        <f t="shared" ref="B447:J447" si="229">B231</f>
        <v>1CCBAB</v>
      </c>
      <c r="C447">
        <f t="shared" si="229"/>
        <v>72</v>
      </c>
      <c r="D447">
        <f t="shared" si="229"/>
        <v>15</v>
      </c>
      <c r="E447">
        <f t="shared" si="229"/>
        <v>5.5</v>
      </c>
      <c r="F447" t="str">
        <f t="shared" si="229"/>
        <v>Improved</v>
      </c>
      <c r="G447" t="str">
        <f t="shared" si="229"/>
        <v>Current</v>
      </c>
      <c r="H447">
        <f t="shared" si="229"/>
        <v>0.75</v>
      </c>
      <c r="I447" t="str">
        <f t="shared" si="229"/>
        <v>Improved</v>
      </c>
      <c r="J447" t="str">
        <f t="shared" si="229"/>
        <v>ASHP</v>
      </c>
      <c r="K447" t="s">
        <v>21</v>
      </c>
      <c r="L447" s="4">
        <f t="shared" si="207"/>
        <v>11883482.997070828</v>
      </c>
      <c r="M447" s="4">
        <f t="shared" si="208"/>
        <v>1557675.9000000001</v>
      </c>
      <c r="N447" s="4">
        <f>Table3[[#This Row],[Natural Gas kWh]]+Table3[[#This Row],[Electricity kWh]]</f>
        <v>13441158.897070829</v>
      </c>
      <c r="O447" s="9">
        <f>Table3[[#This Row],[Total Energy kWh]]/$V$20</f>
        <v>123.87043576129184</v>
      </c>
      <c r="P447" s="9">
        <f t="shared" si="209"/>
        <v>33.624306999941304</v>
      </c>
      <c r="Q447" s="12">
        <f>((L447*Processed!$V$21)+(Table3[[#This Row],[Natural Gas kWh]]*Processed!$V$22))/Processed!$V$20</f>
        <v>21.345077288280439</v>
      </c>
      <c r="R447" s="10">
        <f>1-(O447/Processed!$V$23)</f>
        <v>0.42636223684126084</v>
      </c>
      <c r="S447" s="11">
        <f>1-(Processed!Q447/Processed!$V$24)</f>
        <v>0.45055393389755138</v>
      </c>
    </row>
    <row r="448" spans="2:19">
      <c r="B448" t="str">
        <f t="shared" ref="B448:J448" si="230">B232</f>
        <v>1CCBBA</v>
      </c>
      <c r="C448">
        <f t="shared" si="230"/>
        <v>72</v>
      </c>
      <c r="D448">
        <f t="shared" si="230"/>
        <v>15</v>
      </c>
      <c r="E448">
        <f t="shared" si="230"/>
        <v>5.5</v>
      </c>
      <c r="F448" t="str">
        <f t="shared" si="230"/>
        <v>Improved</v>
      </c>
      <c r="G448">
        <f t="shared" si="230"/>
        <v>0.25</v>
      </c>
      <c r="H448" t="str">
        <f t="shared" si="230"/>
        <v>None</v>
      </c>
      <c r="I448" t="str">
        <f t="shared" si="230"/>
        <v>Improved</v>
      </c>
      <c r="J448" t="str">
        <f t="shared" si="230"/>
        <v>ASHP</v>
      </c>
      <c r="K448" t="s">
        <v>21</v>
      </c>
      <c r="L448" s="4">
        <f t="shared" si="207"/>
        <v>12370956.956610488</v>
      </c>
      <c r="M448" s="4">
        <f t="shared" si="208"/>
        <v>2219445.6999999997</v>
      </c>
      <c r="N448" s="4">
        <f>Table3[[#This Row],[Natural Gas kWh]]+Table3[[#This Row],[Electricity kWh]]</f>
        <v>14590402.656610487</v>
      </c>
      <c r="O448" s="9">
        <f>Table3[[#This Row],[Total Energy kWh]]/$V$20</f>
        <v>134.46158540696311</v>
      </c>
      <c r="P448" s="9">
        <f t="shared" si="209"/>
        <v>67.465122751202884</v>
      </c>
      <c r="Q448" s="12">
        <f>((L448*Processed!$V$21)+(Table3[[#This Row],[Natural Gas kWh]]*Processed!$V$22))/Processed!$V$20</f>
        <v>23.267546903229</v>
      </c>
      <c r="R448" s="10">
        <f>1-(O448/Processed!$V$23)</f>
        <v>0.37731515506841329</v>
      </c>
      <c r="S448" s="11">
        <f>1-(Processed!Q448/Processed!$V$24)</f>
        <v>0.40106742453199684</v>
      </c>
    </row>
    <row r="449" spans="1:19">
      <c r="A449" t="s">
        <v>72</v>
      </c>
      <c r="B449" t="str">
        <f t="shared" ref="B449:J449" si="231">B233</f>
        <v>1CCBBB</v>
      </c>
      <c r="C449">
        <f t="shared" si="231"/>
        <v>72</v>
      </c>
      <c r="D449">
        <f t="shared" si="231"/>
        <v>15</v>
      </c>
      <c r="E449">
        <f t="shared" si="231"/>
        <v>5.5</v>
      </c>
      <c r="F449" t="str">
        <f t="shared" si="231"/>
        <v>Improved</v>
      </c>
      <c r="G449">
        <f t="shared" si="231"/>
        <v>0.25</v>
      </c>
      <c r="H449">
        <f t="shared" si="231"/>
        <v>0.75</v>
      </c>
      <c r="I449" t="str">
        <f t="shared" si="231"/>
        <v>Improved</v>
      </c>
      <c r="J449" t="str">
        <f t="shared" si="231"/>
        <v>ASHP</v>
      </c>
      <c r="K449" t="s">
        <v>21</v>
      </c>
      <c r="L449" s="4">
        <f t="shared" si="207"/>
        <v>11449227.033114078</v>
      </c>
      <c r="M449" s="4">
        <f t="shared" si="208"/>
        <v>1593128.9000000001</v>
      </c>
      <c r="N449" s="4">
        <f>Table3[[#This Row],[Natural Gas kWh]]+Table3[[#This Row],[Electricity kWh]]</f>
        <v>13042355.933114078</v>
      </c>
      <c r="O449" s="9">
        <f>Table3[[#This Row],[Total Energy kWh]]/$V$20</f>
        <v>120.19516510148416</v>
      </c>
      <c r="P449" s="9">
        <f t="shared" si="209"/>
        <v>35.895739835809863</v>
      </c>
      <c r="Q449" s="12">
        <f>((L449*Processed!$V$21)+(Table3[[#This Row],[Natural Gas kWh]]*Processed!$V$22))/Processed!$V$20</f>
        <v>20.726815799799187</v>
      </c>
      <c r="R449" s="10">
        <f>1-(O449/Processed!$V$23)</f>
        <v>0.44338223057372683</v>
      </c>
      <c r="S449" s="11">
        <f>1-(Processed!Q449/Processed!$V$24)</f>
        <v>0.4664686733047112</v>
      </c>
    </row>
    <row r="450" spans="1:19">
      <c r="L450" s="4"/>
      <c r="M450" s="4"/>
      <c r="N450" s="4"/>
      <c r="O450" s="4"/>
      <c r="P450" s="4"/>
      <c r="Q450" s="6"/>
      <c r="R450" s="7"/>
      <c r="S450" s="3"/>
    </row>
    <row r="451" spans="1:19">
      <c r="L451" s="4"/>
      <c r="M451" s="4"/>
      <c r="N451" s="4"/>
      <c r="O451" s="4"/>
      <c r="P451" s="4"/>
      <c r="Q451" s="6"/>
      <c r="R451" s="7"/>
      <c r="S451" s="3"/>
    </row>
    <row r="452" spans="1:19">
      <c r="L452" s="4"/>
      <c r="M452" s="4"/>
      <c r="N452" s="4"/>
      <c r="O452" s="4"/>
      <c r="P452" s="4"/>
      <c r="Q452" s="6"/>
      <c r="R452" s="7"/>
      <c r="S452" s="3"/>
    </row>
    <row r="453" spans="1:19">
      <c r="L453" s="4"/>
      <c r="M453" s="4"/>
      <c r="N453" s="4"/>
      <c r="O453" s="4"/>
      <c r="P453" s="4"/>
      <c r="Q453" s="6"/>
      <c r="R453" s="7"/>
      <c r="S453" s="3"/>
    </row>
    <row r="454" spans="1:19">
      <c r="L454" s="4"/>
      <c r="M454" s="4"/>
      <c r="N454" s="4"/>
      <c r="O454" s="4"/>
      <c r="P454" s="4"/>
      <c r="Q454" s="6"/>
      <c r="R454" s="7"/>
      <c r="S454" s="3"/>
    </row>
    <row r="455" spans="1:19">
      <c r="L455" s="4"/>
      <c r="M455" s="4"/>
      <c r="N455" s="4"/>
      <c r="O455" s="4"/>
      <c r="P455" s="4"/>
      <c r="Q455" s="6"/>
      <c r="R455" s="7"/>
      <c r="S455" s="3"/>
    </row>
    <row r="456" spans="1:19">
      <c r="L456" s="4"/>
      <c r="M456" s="4"/>
      <c r="N456" s="4"/>
      <c r="O456" s="4"/>
      <c r="P456" s="4"/>
      <c r="Q456" s="6"/>
      <c r="R456" s="7"/>
      <c r="S456" s="3"/>
    </row>
    <row r="457" spans="1:19">
      <c r="L457" s="4"/>
      <c r="M457" s="4"/>
      <c r="N457" s="4"/>
      <c r="O457" s="4"/>
      <c r="P457" s="4"/>
      <c r="Q457" s="6"/>
      <c r="R457" s="7"/>
      <c r="S457" s="3"/>
    </row>
    <row r="458" spans="1:19">
      <c r="L458" s="4"/>
      <c r="M458" s="4"/>
      <c r="N458" s="4"/>
      <c r="O458" s="4"/>
      <c r="P458" s="4"/>
      <c r="Q458" s="6"/>
      <c r="R458" s="7"/>
      <c r="S458" s="3"/>
    </row>
    <row r="459" spans="1:19">
      <c r="L459" s="4"/>
      <c r="M459" s="4"/>
      <c r="N459" s="4"/>
      <c r="O459" s="4"/>
      <c r="P459" s="4"/>
      <c r="Q459" s="6"/>
      <c r="R459" s="7"/>
      <c r="S459" s="3"/>
    </row>
    <row r="460" spans="1:19">
      <c r="L460" s="4"/>
      <c r="M460" s="4"/>
      <c r="N460" s="4"/>
      <c r="O460" s="4"/>
      <c r="P460" s="4"/>
      <c r="Q460" s="6"/>
      <c r="R460" s="7"/>
      <c r="S460" s="3"/>
    </row>
    <row r="461" spans="1:19">
      <c r="L461" s="4"/>
      <c r="M461" s="4"/>
      <c r="N461" s="4"/>
      <c r="O461" s="4"/>
      <c r="P461" s="4"/>
      <c r="Q461" s="6"/>
      <c r="R461" s="7"/>
      <c r="S461" s="3"/>
    </row>
    <row r="462" spans="1:19">
      <c r="L462" s="4"/>
      <c r="M462" s="4"/>
      <c r="N462" s="4"/>
      <c r="O462" s="4"/>
      <c r="P462" s="4"/>
      <c r="Q462" s="6"/>
      <c r="R462" s="7"/>
      <c r="S462" s="3"/>
    </row>
    <row r="463" spans="1:19">
      <c r="L463" s="4"/>
      <c r="M463" s="4"/>
      <c r="N463" s="4"/>
      <c r="O463" s="4"/>
      <c r="P463" s="4"/>
      <c r="Q463" s="6"/>
      <c r="R463" s="7"/>
      <c r="S463" s="3"/>
    </row>
    <row r="464" spans="1:19">
      <c r="L464" s="4"/>
      <c r="M464" s="4"/>
      <c r="N464" s="4"/>
      <c r="O464" s="4"/>
      <c r="P464" s="4"/>
      <c r="Q464" s="6"/>
      <c r="R464" s="7"/>
      <c r="S464" s="3"/>
    </row>
    <row r="465" spans="12:19">
      <c r="L465" s="4"/>
      <c r="M465" s="4"/>
      <c r="N465" s="4"/>
      <c r="O465" s="4"/>
      <c r="P465" s="4"/>
      <c r="Q465" s="6"/>
      <c r="R465" s="7"/>
      <c r="S465" s="3"/>
    </row>
    <row r="466" spans="12:19">
      <c r="L466" s="4"/>
      <c r="M466" s="4"/>
      <c r="N466" s="4"/>
      <c r="O466" s="4"/>
      <c r="P466" s="4"/>
      <c r="Q466" s="6"/>
      <c r="R466" s="7"/>
      <c r="S466" s="3"/>
    </row>
    <row r="467" spans="12:19">
      <c r="L467" s="4"/>
      <c r="M467" s="4"/>
      <c r="N467" s="4"/>
      <c r="O467" s="4"/>
      <c r="P467" s="4"/>
      <c r="Q467" s="6"/>
      <c r="R467" s="7"/>
      <c r="S467" s="3"/>
    </row>
    <row r="468" spans="12:19">
      <c r="L468" s="4"/>
      <c r="M468" s="4"/>
      <c r="N468" s="4"/>
      <c r="O468" s="4"/>
      <c r="P468" s="4"/>
      <c r="Q468" s="6"/>
      <c r="R468" s="7"/>
      <c r="S468" s="3"/>
    </row>
    <row r="469" spans="12:19">
      <c r="L469" s="4"/>
      <c r="M469" s="4"/>
      <c r="N469" s="4"/>
      <c r="O469" s="4"/>
      <c r="P469" s="4"/>
      <c r="Q469" s="6"/>
      <c r="R469" s="7"/>
      <c r="S469" s="3"/>
    </row>
    <row r="470" spans="12:19">
      <c r="L470" s="4"/>
      <c r="M470" s="4"/>
      <c r="N470" s="4"/>
      <c r="O470" s="4"/>
      <c r="P470" s="4"/>
      <c r="Q470" s="6"/>
      <c r="R470" s="7"/>
      <c r="S470" s="3"/>
    </row>
    <row r="471" spans="12:19">
      <c r="L471" s="4"/>
      <c r="M471" s="4"/>
      <c r="N471" s="4"/>
      <c r="O471" s="4"/>
      <c r="P471" s="4"/>
      <c r="Q471" s="6"/>
      <c r="R471" s="7"/>
      <c r="S471" s="3"/>
    </row>
    <row r="472" spans="12:19">
      <c r="L472" s="4"/>
      <c r="M472" s="4"/>
      <c r="N472" s="4"/>
      <c r="O472" s="4"/>
      <c r="P472" s="4"/>
      <c r="Q472" s="6"/>
      <c r="R472" s="7"/>
      <c r="S472" s="3"/>
    </row>
    <row r="473" spans="12:19">
      <c r="L473" s="4"/>
      <c r="M473" s="4"/>
      <c r="N473" s="4"/>
      <c r="O473" s="4"/>
      <c r="P473" s="4"/>
      <c r="Q473" s="6"/>
      <c r="R473" s="7"/>
      <c r="S473" s="3"/>
    </row>
    <row r="474" spans="12:19">
      <c r="L474" s="4"/>
      <c r="M474" s="4"/>
      <c r="N474" s="4"/>
      <c r="O474" s="4"/>
      <c r="P474" s="4"/>
      <c r="Q474" s="6"/>
      <c r="R474" s="7"/>
      <c r="S474" s="3"/>
    </row>
    <row r="475" spans="12:19">
      <c r="L475" s="4"/>
      <c r="M475" s="4"/>
      <c r="N475" s="4"/>
      <c r="O475" s="4"/>
      <c r="P475" s="4"/>
      <c r="Q475" s="6"/>
      <c r="R475" s="7"/>
      <c r="S475" s="3"/>
    </row>
    <row r="476" spans="12:19">
      <c r="L476" s="4"/>
      <c r="M476" s="4"/>
      <c r="N476" s="4"/>
      <c r="O476" s="4"/>
      <c r="P476" s="4"/>
      <c r="Q476" s="6"/>
      <c r="R476" s="7"/>
      <c r="S476" s="3"/>
    </row>
    <row r="477" spans="12:19">
      <c r="L477" s="4"/>
      <c r="M477" s="4"/>
      <c r="N477" s="4"/>
      <c r="O477" s="4"/>
      <c r="P477" s="4"/>
      <c r="Q477" s="6"/>
      <c r="R477" s="7"/>
      <c r="S477" s="3"/>
    </row>
    <row r="478" spans="12:19">
      <c r="L478" s="4"/>
      <c r="M478" s="4"/>
      <c r="N478" s="4"/>
      <c r="O478" s="4"/>
      <c r="P478" s="4"/>
      <c r="Q478" s="6"/>
      <c r="R478" s="7"/>
      <c r="S478" s="3"/>
    </row>
    <row r="479" spans="12:19">
      <c r="L479" s="4"/>
      <c r="M479" s="4"/>
      <c r="N479" s="4"/>
      <c r="O479" s="4"/>
      <c r="P479" s="4"/>
      <c r="Q479" s="6"/>
      <c r="R479" s="7"/>
      <c r="S479" s="3"/>
    </row>
    <row r="480" spans="12:19">
      <c r="L480" s="4"/>
      <c r="M480" s="4"/>
      <c r="N480" s="4"/>
      <c r="O480" s="4"/>
      <c r="P480" s="4"/>
      <c r="Q480" s="6"/>
      <c r="R480" s="7"/>
      <c r="S480" s="3"/>
    </row>
    <row r="481" spans="12:19">
      <c r="L481" s="4"/>
      <c r="M481" s="4"/>
      <c r="N481" s="4"/>
      <c r="O481" s="4"/>
      <c r="P481" s="4"/>
      <c r="Q481" s="6"/>
      <c r="R481" s="7"/>
      <c r="S481" s="3"/>
    </row>
    <row r="482" spans="12:19">
      <c r="L482" s="4"/>
      <c r="M482" s="4"/>
      <c r="N482" s="4"/>
      <c r="O482" s="4"/>
      <c r="P482" s="4"/>
      <c r="Q482" s="6"/>
      <c r="R482" s="7"/>
      <c r="S482" s="3"/>
    </row>
    <row r="483" spans="12:19">
      <c r="L483" s="4"/>
      <c r="M483" s="4"/>
      <c r="N483" s="4"/>
      <c r="O483" s="4"/>
      <c r="P483" s="4"/>
      <c r="Q483" s="6"/>
      <c r="R483" s="7"/>
      <c r="S483" s="3"/>
    </row>
    <row r="484" spans="12:19">
      <c r="L484" s="4"/>
      <c r="M484" s="4"/>
      <c r="N484" s="4"/>
      <c r="O484" s="4"/>
      <c r="P484" s="4"/>
      <c r="Q484" s="6"/>
      <c r="R484" s="7"/>
      <c r="S484" s="3"/>
    </row>
    <row r="485" spans="12:19">
      <c r="L485" s="4"/>
      <c r="M485" s="4"/>
      <c r="N485" s="4"/>
      <c r="O485" s="4"/>
      <c r="P485" s="4"/>
      <c r="Q485" s="6"/>
      <c r="R485" s="7"/>
      <c r="S485" s="3"/>
    </row>
    <row r="486" spans="12:19">
      <c r="L486" s="4"/>
      <c r="M486" s="4"/>
      <c r="N486" s="4"/>
      <c r="O486" s="4"/>
      <c r="P486" s="4"/>
      <c r="Q486" s="6"/>
      <c r="R486" s="7"/>
      <c r="S486" s="3"/>
    </row>
    <row r="487" spans="12:19">
      <c r="L487" s="4"/>
      <c r="M487" s="4"/>
      <c r="N487" s="4"/>
      <c r="O487" s="4"/>
      <c r="P487" s="4"/>
      <c r="Q487" s="6"/>
      <c r="R487" s="7"/>
      <c r="S487" s="3"/>
    </row>
    <row r="488" spans="12:19">
      <c r="L488" s="4"/>
      <c r="M488" s="4"/>
      <c r="N488" s="4"/>
      <c r="O488" s="4"/>
      <c r="P488" s="4"/>
      <c r="Q488" s="6"/>
      <c r="R488" s="7"/>
      <c r="S488" s="3"/>
    </row>
    <row r="489" spans="12:19">
      <c r="L489" s="4"/>
      <c r="M489" s="4"/>
      <c r="N489" s="4"/>
      <c r="O489" s="4"/>
      <c r="P489" s="4"/>
      <c r="Q489" s="6"/>
      <c r="R489" s="7"/>
      <c r="S489" s="3"/>
    </row>
    <row r="490" spans="12:19">
      <c r="L490" s="4"/>
      <c r="M490" s="4"/>
      <c r="N490" s="4"/>
      <c r="O490" s="4"/>
      <c r="P490" s="4"/>
      <c r="Q490" s="6"/>
      <c r="R490" s="7"/>
      <c r="S490" s="3"/>
    </row>
    <row r="491" spans="12:19">
      <c r="L491" s="4"/>
      <c r="M491" s="4"/>
      <c r="N491" s="4"/>
      <c r="O491" s="4"/>
      <c r="P491" s="4"/>
      <c r="Q491" s="6"/>
      <c r="R491" s="7"/>
      <c r="S491" s="3"/>
    </row>
    <row r="492" spans="12:19">
      <c r="L492" s="4"/>
      <c r="M492" s="4"/>
      <c r="N492" s="4"/>
      <c r="O492" s="4"/>
      <c r="P492" s="4"/>
      <c r="Q492" s="6"/>
      <c r="R492" s="7"/>
      <c r="S492" s="3"/>
    </row>
    <row r="493" spans="12:19">
      <c r="L493" s="4"/>
      <c r="M493" s="4"/>
      <c r="N493" s="4"/>
      <c r="O493" s="4"/>
      <c r="P493" s="4"/>
      <c r="Q493" s="6"/>
      <c r="R493" s="7"/>
      <c r="S493" s="3"/>
    </row>
    <row r="494" spans="12:19">
      <c r="L494" s="4"/>
      <c r="M494" s="4"/>
      <c r="N494" s="4"/>
      <c r="O494" s="4"/>
      <c r="P494" s="4"/>
      <c r="Q494" s="6"/>
      <c r="R494" s="7"/>
      <c r="S494" s="3"/>
    </row>
    <row r="495" spans="12:19">
      <c r="L495" s="4"/>
      <c r="M495" s="4"/>
      <c r="N495" s="4"/>
      <c r="O495" s="4"/>
      <c r="P495" s="4"/>
      <c r="Q495" s="6"/>
      <c r="R495" s="7"/>
      <c r="S495" s="3"/>
    </row>
    <row r="496" spans="12:19">
      <c r="L496" s="4"/>
      <c r="M496" s="4"/>
      <c r="N496" s="4"/>
      <c r="O496" s="4"/>
      <c r="P496" s="4"/>
      <c r="Q496" s="6"/>
      <c r="R496" s="7"/>
      <c r="S496" s="3"/>
    </row>
    <row r="497" spans="12:19">
      <c r="L497" s="4"/>
      <c r="M497" s="4"/>
      <c r="N497" s="4"/>
      <c r="O497" s="4"/>
      <c r="P497" s="4"/>
      <c r="Q497" s="6"/>
      <c r="R497" s="7"/>
      <c r="S497" s="3"/>
    </row>
    <row r="498" spans="12:19">
      <c r="L498" s="4"/>
      <c r="M498" s="4"/>
      <c r="N498" s="4"/>
      <c r="O498" s="4"/>
      <c r="P498" s="4"/>
      <c r="Q498" s="6"/>
      <c r="R498" s="7"/>
      <c r="S498" s="3"/>
    </row>
    <row r="499" spans="12:19">
      <c r="L499" s="4"/>
      <c r="M499" s="4"/>
      <c r="N499" s="4"/>
      <c r="O499" s="4"/>
      <c r="P499" s="4"/>
      <c r="Q499" s="6"/>
      <c r="R499" s="7"/>
      <c r="S499" s="3"/>
    </row>
    <row r="500" spans="12:19">
      <c r="L500" s="4"/>
      <c r="M500" s="4"/>
      <c r="N500" s="4"/>
      <c r="O500" s="4"/>
      <c r="P500" s="4"/>
      <c r="Q500" s="6"/>
      <c r="R500" s="7"/>
      <c r="S500" s="3"/>
    </row>
    <row r="501" spans="12:19">
      <c r="L501" s="4"/>
      <c r="M501" s="4"/>
      <c r="N501" s="4"/>
      <c r="O501" s="4"/>
      <c r="P501" s="4"/>
      <c r="Q501" s="6"/>
      <c r="R501" s="7"/>
      <c r="S501" s="3"/>
    </row>
    <row r="502" spans="12:19">
      <c r="L502" s="4"/>
      <c r="M502" s="4"/>
      <c r="N502" s="4"/>
      <c r="O502" s="4"/>
      <c r="P502" s="4"/>
      <c r="Q502" s="6"/>
      <c r="R502" s="7"/>
      <c r="S502" s="3"/>
    </row>
    <row r="503" spans="12:19">
      <c r="L503" s="4"/>
      <c r="M503" s="4"/>
      <c r="N503" s="4"/>
      <c r="O503" s="4"/>
      <c r="P503" s="4"/>
      <c r="Q503" s="6"/>
      <c r="R503" s="7"/>
      <c r="S503" s="3"/>
    </row>
    <row r="504" spans="12:19">
      <c r="L504" s="4"/>
      <c r="M504" s="4"/>
      <c r="N504" s="4"/>
      <c r="O504" s="4"/>
      <c r="P504" s="4"/>
      <c r="Q504" s="6"/>
      <c r="R504" s="7"/>
      <c r="S504" s="3"/>
    </row>
    <row r="505" spans="12:19">
      <c r="L505" s="4"/>
      <c r="M505" s="4"/>
      <c r="N505" s="4"/>
      <c r="O505" s="4"/>
      <c r="P505" s="4"/>
      <c r="Q505" s="6"/>
      <c r="R505" s="7"/>
      <c r="S505" s="3"/>
    </row>
    <row r="506" spans="12:19">
      <c r="L506" s="4"/>
      <c r="M506" s="4"/>
      <c r="N506" s="4"/>
      <c r="O506" s="4"/>
      <c r="P506" s="4"/>
      <c r="Q506" s="6"/>
      <c r="R506" s="7"/>
      <c r="S506" s="3"/>
    </row>
    <row r="507" spans="12:19">
      <c r="L507" s="4"/>
      <c r="M507" s="4"/>
      <c r="N507" s="4"/>
      <c r="O507" s="4"/>
      <c r="P507" s="4"/>
      <c r="Q507" s="6"/>
      <c r="R507" s="7"/>
      <c r="S507" s="3"/>
    </row>
    <row r="508" spans="12:19">
      <c r="L508" s="4"/>
      <c r="M508" s="4"/>
      <c r="N508" s="4"/>
      <c r="O508" s="4"/>
      <c r="P508" s="4"/>
      <c r="Q508" s="6"/>
      <c r="R508" s="7"/>
      <c r="S508" s="3"/>
    </row>
    <row r="509" spans="12:19">
      <c r="L509" s="4"/>
      <c r="M509" s="4"/>
      <c r="N509" s="4"/>
      <c r="O509" s="4"/>
      <c r="P509" s="4"/>
      <c r="Q509" s="6"/>
      <c r="R509" s="7"/>
      <c r="S509" s="3"/>
    </row>
    <row r="510" spans="12:19">
      <c r="L510" s="4"/>
      <c r="M510" s="4"/>
      <c r="N510" s="4"/>
      <c r="O510" s="4"/>
      <c r="P510" s="4"/>
      <c r="Q510" s="6"/>
      <c r="R510" s="7"/>
      <c r="S510" s="3"/>
    </row>
    <row r="511" spans="12:19">
      <c r="L511" s="4"/>
      <c r="M511" s="4"/>
      <c r="N511" s="4"/>
      <c r="O511" s="4"/>
      <c r="P511" s="4"/>
      <c r="Q511" s="6"/>
      <c r="R511" s="7"/>
      <c r="S511" s="3"/>
    </row>
    <row r="512" spans="12:19">
      <c r="L512" s="4"/>
      <c r="M512" s="4"/>
      <c r="N512" s="4"/>
      <c r="O512" s="4"/>
      <c r="P512" s="4"/>
      <c r="Q512" s="6"/>
      <c r="R512" s="7"/>
      <c r="S512" s="3"/>
    </row>
    <row r="513" spans="12:19">
      <c r="L513" s="4"/>
      <c r="M513" s="4"/>
      <c r="N513" s="4"/>
      <c r="O513" s="4"/>
      <c r="P513" s="4"/>
      <c r="Q513" s="6"/>
      <c r="R513" s="7"/>
      <c r="S513" s="3"/>
    </row>
    <row r="514" spans="12:19">
      <c r="L514" s="4"/>
      <c r="M514" s="4"/>
      <c r="N514" s="4"/>
      <c r="O514" s="4"/>
      <c r="P514" s="4"/>
      <c r="Q514" s="6"/>
      <c r="R514" s="7"/>
      <c r="S514" s="3"/>
    </row>
    <row r="515" spans="12:19">
      <c r="L515" s="4"/>
      <c r="M515" s="4"/>
      <c r="N515" s="4"/>
      <c r="O515" s="4"/>
      <c r="P515" s="4"/>
      <c r="Q515" s="6"/>
      <c r="R515" s="7"/>
      <c r="S515" s="3"/>
    </row>
    <row r="516" spans="12:19">
      <c r="L516" s="4"/>
      <c r="M516" s="4"/>
      <c r="N516" s="4"/>
      <c r="O516" s="4"/>
      <c r="P516" s="4"/>
      <c r="Q516" s="6"/>
      <c r="R516" s="7"/>
      <c r="S516" s="3"/>
    </row>
    <row r="517" spans="12:19">
      <c r="L517" s="4"/>
      <c r="M517" s="4"/>
      <c r="N517" s="4"/>
      <c r="O517" s="4"/>
      <c r="P517" s="4"/>
      <c r="Q517" s="6"/>
      <c r="R517" s="7"/>
      <c r="S517" s="3"/>
    </row>
    <row r="518" spans="12:19">
      <c r="L518" s="4"/>
      <c r="M518" s="4"/>
      <c r="N518" s="4"/>
      <c r="O518" s="4"/>
      <c r="P518" s="4"/>
      <c r="Q518" s="6"/>
      <c r="R518" s="7"/>
      <c r="S518" s="3"/>
    </row>
    <row r="519" spans="12:19">
      <c r="L519" s="4"/>
      <c r="M519" s="4"/>
      <c r="N519" s="4"/>
      <c r="O519" s="4"/>
      <c r="P519" s="4"/>
      <c r="Q519" s="6"/>
      <c r="R519" s="7"/>
      <c r="S519" s="3"/>
    </row>
    <row r="520" spans="12:19">
      <c r="L520" s="4"/>
      <c r="M520" s="4"/>
      <c r="N520" s="4"/>
      <c r="O520" s="4"/>
      <c r="P520" s="4"/>
      <c r="Q520" s="6"/>
      <c r="R520" s="7"/>
      <c r="S520" s="3"/>
    </row>
    <row r="521" spans="12:19">
      <c r="L521" s="4"/>
      <c r="M521" s="4"/>
      <c r="N521" s="4"/>
      <c r="O521" s="4"/>
      <c r="P521" s="4"/>
      <c r="Q521" s="6"/>
      <c r="R521" s="7"/>
      <c r="S521" s="3"/>
    </row>
    <row r="522" spans="12:19">
      <c r="L522" s="4"/>
      <c r="M522" s="4"/>
      <c r="N522" s="4"/>
      <c r="O522" s="4"/>
      <c r="P522" s="4"/>
      <c r="Q522" s="6"/>
      <c r="R522" s="7"/>
      <c r="S522" s="3"/>
    </row>
    <row r="523" spans="12:19">
      <c r="L523" s="4"/>
      <c r="M523" s="4"/>
      <c r="N523" s="4"/>
      <c r="O523" s="4"/>
      <c r="P523" s="4"/>
      <c r="Q523" s="6"/>
      <c r="R523" s="7"/>
      <c r="S523" s="3"/>
    </row>
    <row r="524" spans="12:19">
      <c r="L524" s="4"/>
      <c r="M524" s="4"/>
      <c r="N524" s="4"/>
      <c r="O524" s="4"/>
      <c r="P524" s="4"/>
      <c r="Q524" s="6"/>
      <c r="R524" s="7"/>
      <c r="S524" s="3"/>
    </row>
    <row r="525" spans="12:19">
      <c r="L525" s="4"/>
      <c r="M525" s="4"/>
      <c r="N525" s="4"/>
      <c r="O525" s="4"/>
      <c r="P525" s="4"/>
      <c r="Q525" s="6"/>
      <c r="R525" s="7"/>
      <c r="S525" s="3"/>
    </row>
    <row r="526" spans="12:19">
      <c r="L526" s="4"/>
      <c r="M526" s="4"/>
      <c r="N526" s="4"/>
      <c r="O526" s="4"/>
      <c r="P526" s="4"/>
      <c r="Q526" s="6"/>
      <c r="R526" s="7"/>
      <c r="S526" s="3"/>
    </row>
    <row r="527" spans="12:19">
      <c r="L527" s="4"/>
      <c r="M527" s="4"/>
      <c r="N527" s="4"/>
      <c r="O527" s="4"/>
      <c r="P527" s="4"/>
      <c r="Q527" s="6"/>
      <c r="R527" s="7"/>
      <c r="S527" s="3"/>
    </row>
    <row r="528" spans="12:19">
      <c r="L528" s="4"/>
      <c r="M528" s="4"/>
      <c r="N528" s="4"/>
      <c r="O528" s="4"/>
      <c r="P528" s="4"/>
      <c r="Q528" s="6"/>
      <c r="R528" s="7"/>
      <c r="S528" s="3"/>
    </row>
    <row r="529" spans="12:19">
      <c r="L529" s="4"/>
      <c r="M529" s="4"/>
      <c r="N529" s="4"/>
      <c r="O529" s="4"/>
      <c r="P529" s="4"/>
      <c r="Q529" s="6"/>
      <c r="R529" s="7"/>
      <c r="S529" s="3"/>
    </row>
    <row r="530" spans="12:19">
      <c r="L530" s="4"/>
      <c r="M530" s="4"/>
      <c r="N530" s="4"/>
      <c r="O530" s="4"/>
      <c r="P530" s="4"/>
      <c r="Q530" s="6"/>
      <c r="R530" s="7"/>
      <c r="S530" s="3"/>
    </row>
    <row r="531" spans="12:19">
      <c r="L531" s="4"/>
      <c r="M531" s="4"/>
      <c r="N531" s="4"/>
      <c r="O531" s="4"/>
      <c r="P531" s="4"/>
      <c r="Q531" s="6"/>
      <c r="R531" s="7"/>
      <c r="S531" s="3"/>
    </row>
    <row r="532" spans="12:19">
      <c r="L532" s="4"/>
      <c r="M532" s="4"/>
      <c r="N532" s="4"/>
      <c r="O532" s="4"/>
      <c r="P532" s="4"/>
      <c r="Q532" s="6"/>
      <c r="R532" s="7"/>
      <c r="S532" s="3"/>
    </row>
    <row r="533" spans="12:19">
      <c r="L533" s="4"/>
      <c r="M533" s="4"/>
      <c r="N533" s="4"/>
      <c r="O533" s="4"/>
      <c r="P533" s="4"/>
      <c r="Q533" s="6"/>
      <c r="R533" s="7"/>
      <c r="S533" s="3"/>
    </row>
    <row r="534" spans="12:19">
      <c r="L534" s="4"/>
      <c r="M534" s="4"/>
      <c r="N534" s="4"/>
      <c r="O534" s="4"/>
      <c r="P534" s="4"/>
      <c r="Q534" s="6"/>
      <c r="R534" s="7"/>
      <c r="S534" s="3"/>
    </row>
    <row r="535" spans="12:19">
      <c r="L535" s="4"/>
      <c r="M535" s="4"/>
      <c r="N535" s="4"/>
      <c r="O535" s="4"/>
      <c r="P535" s="4"/>
      <c r="Q535" s="6"/>
      <c r="R535" s="7"/>
      <c r="S535" s="3"/>
    </row>
    <row r="536" spans="12:19">
      <c r="L536" s="4"/>
      <c r="M536" s="4"/>
      <c r="N536" s="4"/>
      <c r="O536" s="4"/>
      <c r="P536" s="4"/>
      <c r="Q536" s="6"/>
      <c r="R536" s="7"/>
      <c r="S536" s="3"/>
    </row>
    <row r="537" spans="12:19">
      <c r="L537" s="4"/>
      <c r="M537" s="4"/>
      <c r="N537" s="4"/>
      <c r="O537" s="4"/>
      <c r="P537" s="4"/>
      <c r="Q537" s="6"/>
      <c r="R537" s="7"/>
      <c r="S537" s="3"/>
    </row>
    <row r="538" spans="12:19">
      <c r="L538" s="4"/>
      <c r="M538" s="4"/>
      <c r="N538" s="4"/>
      <c r="O538" s="4"/>
      <c r="P538" s="4"/>
      <c r="Q538" s="6"/>
      <c r="R538" s="7"/>
      <c r="S538" s="3"/>
    </row>
    <row r="539" spans="12:19">
      <c r="L539" s="4"/>
      <c r="M539" s="4"/>
      <c r="N539" s="4"/>
      <c r="O539" s="4"/>
      <c r="P539" s="4"/>
      <c r="Q539" s="6"/>
      <c r="R539" s="7"/>
      <c r="S539" s="3"/>
    </row>
    <row r="540" spans="12:19">
      <c r="L540" s="4"/>
      <c r="M540" s="4"/>
      <c r="N540" s="4"/>
      <c r="O540" s="4"/>
      <c r="P540" s="4"/>
      <c r="Q540" s="6"/>
      <c r="R540" s="7"/>
      <c r="S540" s="3"/>
    </row>
    <row r="541" spans="12:19">
      <c r="L541" s="4"/>
      <c r="M541" s="4"/>
      <c r="N541" s="4"/>
      <c r="O541" s="4"/>
      <c r="P541" s="4"/>
      <c r="Q541" s="6"/>
      <c r="R541" s="7"/>
      <c r="S541" s="3"/>
    </row>
    <row r="542" spans="12:19">
      <c r="L542" s="4"/>
      <c r="M542" s="4"/>
      <c r="N542" s="4"/>
      <c r="O542" s="4"/>
      <c r="P542" s="4"/>
      <c r="Q542" s="6"/>
      <c r="R542" s="7"/>
      <c r="S542" s="3"/>
    </row>
    <row r="543" spans="12:19">
      <c r="L543" s="4"/>
      <c r="M543" s="4"/>
      <c r="N543" s="4"/>
      <c r="O543" s="4"/>
      <c r="P543" s="4"/>
      <c r="Q543" s="6"/>
      <c r="R543" s="7"/>
      <c r="S543" s="3"/>
    </row>
    <row r="544" spans="12:19">
      <c r="L544" s="4"/>
      <c r="M544" s="4"/>
      <c r="N544" s="4"/>
      <c r="O544" s="4"/>
      <c r="P544" s="4"/>
      <c r="Q544" s="6"/>
      <c r="R544" s="7"/>
      <c r="S544" s="3"/>
    </row>
    <row r="545" spans="12:19">
      <c r="L545" s="4"/>
      <c r="M545" s="4"/>
      <c r="N545" s="4"/>
      <c r="O545" s="4"/>
      <c r="P545" s="4"/>
      <c r="Q545" s="6"/>
      <c r="R545" s="7"/>
      <c r="S545" s="3"/>
    </row>
    <row r="546" spans="12:19">
      <c r="L546" s="4"/>
      <c r="M546" s="4"/>
      <c r="N546" s="4"/>
      <c r="O546" s="4"/>
      <c r="P546" s="4"/>
      <c r="Q546" s="6"/>
      <c r="R546" s="7"/>
      <c r="S546" s="3"/>
    </row>
    <row r="547" spans="12:19">
      <c r="L547" s="4"/>
      <c r="M547" s="4"/>
      <c r="N547" s="4"/>
      <c r="O547" s="4"/>
      <c r="P547" s="4"/>
      <c r="Q547" s="6"/>
      <c r="R547" s="7"/>
      <c r="S547" s="3"/>
    </row>
    <row r="548" spans="12:19">
      <c r="L548" s="4"/>
      <c r="M548" s="4"/>
      <c r="N548" s="4"/>
      <c r="O548" s="4"/>
      <c r="P548" s="4"/>
      <c r="Q548" s="6"/>
      <c r="R548" s="7"/>
      <c r="S548" s="3"/>
    </row>
    <row r="549" spans="12:19">
      <c r="L549" s="4"/>
      <c r="M549" s="4"/>
      <c r="N549" s="4"/>
      <c r="O549" s="4"/>
      <c r="P549" s="4"/>
      <c r="Q549" s="6"/>
      <c r="R549" s="7"/>
      <c r="S549" s="3"/>
    </row>
    <row r="550" spans="12:19">
      <c r="L550" s="4"/>
      <c r="M550" s="4"/>
      <c r="N550" s="4"/>
      <c r="O550" s="4"/>
      <c r="P550" s="4"/>
      <c r="Q550" s="6"/>
      <c r="R550" s="7"/>
      <c r="S550" s="3"/>
    </row>
    <row r="551" spans="12:19">
      <c r="L551" s="4"/>
      <c r="M551" s="4"/>
      <c r="N551" s="4"/>
      <c r="O551" s="4"/>
      <c r="P551" s="4"/>
      <c r="Q551" s="6"/>
      <c r="R551" s="7"/>
      <c r="S551" s="3"/>
    </row>
    <row r="552" spans="12:19">
      <c r="L552" s="4"/>
      <c r="M552" s="4"/>
      <c r="N552" s="4"/>
      <c r="O552" s="4"/>
      <c r="P552" s="4"/>
      <c r="Q552" s="6"/>
      <c r="R552" s="7"/>
      <c r="S552" s="3"/>
    </row>
    <row r="553" spans="12:19">
      <c r="L553" s="4"/>
      <c r="M553" s="4"/>
      <c r="N553" s="4"/>
      <c r="O553" s="4"/>
      <c r="P553" s="4"/>
      <c r="Q553" s="6"/>
      <c r="R553" s="7"/>
      <c r="S553" s="3"/>
    </row>
    <row r="554" spans="12:19">
      <c r="L554" s="4"/>
      <c r="M554" s="4"/>
      <c r="N554" s="4"/>
      <c r="O554" s="4"/>
      <c r="P554" s="4"/>
      <c r="Q554" s="6"/>
      <c r="R554" s="7"/>
      <c r="S554" s="3"/>
    </row>
    <row r="555" spans="12:19">
      <c r="L555" s="4"/>
      <c r="M555" s="4"/>
      <c r="N555" s="4"/>
      <c r="O555" s="4"/>
      <c r="P555" s="4"/>
      <c r="Q555" s="6"/>
      <c r="R555" s="7"/>
      <c r="S555" s="3"/>
    </row>
    <row r="556" spans="12:19">
      <c r="L556" s="4"/>
      <c r="M556" s="4"/>
      <c r="N556" s="4"/>
      <c r="O556" s="4"/>
      <c r="P556" s="4"/>
      <c r="Q556" s="6"/>
      <c r="R556" s="7"/>
      <c r="S556" s="3"/>
    </row>
    <row r="557" spans="12:19">
      <c r="L557" s="4"/>
      <c r="M557" s="4"/>
      <c r="N557" s="4"/>
      <c r="O557" s="4"/>
      <c r="P557" s="4"/>
      <c r="Q557" s="6"/>
      <c r="R557" s="7"/>
      <c r="S557" s="3"/>
    </row>
    <row r="558" spans="12:19">
      <c r="L558" s="4"/>
      <c r="M558" s="4"/>
      <c r="N558" s="4"/>
      <c r="O558" s="4"/>
      <c r="P558" s="4"/>
      <c r="Q558" s="6"/>
      <c r="R558" s="7"/>
      <c r="S558" s="3"/>
    </row>
    <row r="559" spans="12:19">
      <c r="L559" s="4"/>
      <c r="M559" s="4"/>
      <c r="N559" s="4"/>
      <c r="O559" s="4"/>
      <c r="P559" s="4"/>
      <c r="Q559" s="6"/>
      <c r="R559" s="7"/>
      <c r="S559" s="3"/>
    </row>
    <row r="560" spans="12:19">
      <c r="L560" s="4"/>
      <c r="M560" s="4"/>
      <c r="N560" s="4"/>
      <c r="O560" s="4"/>
      <c r="P560" s="4"/>
      <c r="Q560" s="6"/>
      <c r="R560" s="7"/>
      <c r="S560" s="3"/>
    </row>
    <row r="561" spans="12:19">
      <c r="L561" s="4"/>
      <c r="M561" s="4"/>
      <c r="N561" s="4"/>
      <c r="O561" s="4"/>
      <c r="P561" s="4"/>
      <c r="Q561" s="6"/>
      <c r="R561" s="7"/>
      <c r="S561" s="3"/>
    </row>
    <row r="562" spans="12:19">
      <c r="L562" s="4"/>
      <c r="M562" s="4"/>
      <c r="N562" s="4"/>
      <c r="O562" s="4"/>
      <c r="P562" s="4"/>
      <c r="Q562" s="6"/>
      <c r="R562" s="7"/>
      <c r="S562" s="3"/>
    </row>
    <row r="563" spans="12:19">
      <c r="L563" s="4"/>
      <c r="M563" s="4"/>
      <c r="N563" s="4"/>
      <c r="O563" s="4"/>
      <c r="P563" s="4"/>
      <c r="Q563" s="6"/>
      <c r="R563" s="7"/>
      <c r="S563" s="3"/>
    </row>
    <row r="564" spans="12:19">
      <c r="L564" s="4"/>
      <c r="M564" s="4"/>
      <c r="N564" s="4"/>
      <c r="O564" s="4"/>
      <c r="P564" s="4"/>
      <c r="Q564" s="6"/>
      <c r="R564" s="7"/>
      <c r="S564" s="3"/>
    </row>
    <row r="565" spans="12:19">
      <c r="L565" s="4"/>
      <c r="M565" s="4"/>
      <c r="N565" s="4"/>
      <c r="O565" s="4"/>
      <c r="P565" s="4"/>
      <c r="Q565" s="6"/>
      <c r="R565" s="7"/>
      <c r="S565" s="3"/>
    </row>
    <row r="566" spans="12:19">
      <c r="L566" s="4"/>
      <c r="M566" s="4"/>
      <c r="N566" s="4"/>
      <c r="O566" s="4"/>
      <c r="P566" s="4"/>
      <c r="Q566" s="6"/>
      <c r="R566" s="7"/>
      <c r="S566" s="3"/>
    </row>
    <row r="567" spans="12:19">
      <c r="L567" s="4"/>
      <c r="M567" s="4"/>
      <c r="N567" s="4"/>
      <c r="O567" s="4"/>
      <c r="P567" s="4"/>
      <c r="Q567" s="6"/>
      <c r="R567" s="7"/>
      <c r="S567" s="3"/>
    </row>
    <row r="568" spans="12:19">
      <c r="L568" s="4"/>
      <c r="M568" s="4"/>
      <c r="N568" s="4"/>
      <c r="O568" s="4"/>
      <c r="P568" s="4"/>
      <c r="Q568" s="6"/>
      <c r="R568" s="7"/>
      <c r="S568" s="3"/>
    </row>
    <row r="569" spans="12:19">
      <c r="L569" s="4"/>
      <c r="M569" s="4"/>
      <c r="N569" s="4"/>
      <c r="O569" s="4"/>
      <c r="P569" s="4"/>
      <c r="Q569" s="6"/>
      <c r="R569" s="7"/>
      <c r="S569" s="3"/>
    </row>
    <row r="570" spans="12:19">
      <c r="L570" s="4"/>
      <c r="M570" s="4"/>
      <c r="N570" s="4"/>
      <c r="O570" s="4"/>
      <c r="P570" s="4"/>
      <c r="Q570" s="6"/>
      <c r="R570" s="7"/>
      <c r="S570" s="3"/>
    </row>
    <row r="571" spans="12:19">
      <c r="L571" s="4"/>
      <c r="M571" s="4"/>
      <c r="N571" s="4"/>
      <c r="O571" s="4"/>
      <c r="P571" s="4"/>
      <c r="Q571" s="6"/>
      <c r="R571" s="7"/>
      <c r="S571" s="3"/>
    </row>
    <row r="572" spans="12:19">
      <c r="L572" s="4"/>
      <c r="M572" s="4"/>
      <c r="N572" s="4"/>
      <c r="O572" s="4"/>
      <c r="P572" s="4"/>
      <c r="Q572" s="6"/>
      <c r="R572" s="7"/>
      <c r="S572" s="3"/>
    </row>
    <row r="573" spans="12:19">
      <c r="L573" s="4"/>
      <c r="M573" s="4"/>
      <c r="N573" s="4"/>
      <c r="O573" s="4"/>
      <c r="P573" s="4"/>
      <c r="Q573" s="6"/>
      <c r="R573" s="7"/>
      <c r="S573" s="3"/>
    </row>
    <row r="574" spans="12:19">
      <c r="L574" s="4"/>
      <c r="M574" s="4"/>
      <c r="N574" s="4"/>
      <c r="O574" s="4"/>
      <c r="P574" s="4"/>
      <c r="Q574" s="6"/>
      <c r="R574" s="7"/>
      <c r="S574" s="3"/>
    </row>
    <row r="575" spans="12:19">
      <c r="L575" s="4"/>
      <c r="M575" s="4"/>
      <c r="N575" s="4"/>
      <c r="O575" s="4"/>
      <c r="P575" s="4"/>
      <c r="Q575" s="6"/>
      <c r="R575" s="7"/>
      <c r="S575" s="3"/>
    </row>
    <row r="576" spans="12:19">
      <c r="L576" s="4"/>
      <c r="M576" s="4"/>
      <c r="N576" s="4"/>
      <c r="O576" s="4"/>
      <c r="P576" s="4"/>
      <c r="Q576" s="6"/>
      <c r="R576" s="7"/>
      <c r="S576" s="3"/>
    </row>
    <row r="577" spans="12:19">
      <c r="L577" s="4"/>
      <c r="M577" s="4"/>
      <c r="N577" s="4"/>
      <c r="O577" s="4"/>
      <c r="P577" s="4"/>
      <c r="Q577" s="6"/>
      <c r="R577" s="7"/>
      <c r="S577" s="3"/>
    </row>
    <row r="578" spans="12:19">
      <c r="L578" s="4"/>
      <c r="M578" s="4"/>
      <c r="N578" s="4"/>
      <c r="O578" s="4"/>
      <c r="P578" s="4"/>
      <c r="Q578" s="6"/>
      <c r="R578" s="7"/>
      <c r="S578" s="3"/>
    </row>
    <row r="579" spans="12:19">
      <c r="L579" s="4"/>
      <c r="M579" s="4"/>
      <c r="N579" s="4"/>
      <c r="O579" s="4"/>
      <c r="P579" s="4"/>
      <c r="Q579" s="6"/>
      <c r="R579" s="7"/>
      <c r="S579" s="3"/>
    </row>
    <row r="580" spans="12:19">
      <c r="L580" s="4"/>
      <c r="M580" s="4"/>
      <c r="N580" s="4"/>
      <c r="O580" s="4"/>
      <c r="P580" s="4"/>
      <c r="Q580" s="6"/>
      <c r="R580" s="7"/>
      <c r="S580" s="3"/>
    </row>
    <row r="581" spans="12:19">
      <c r="L581" s="4"/>
      <c r="M581" s="4"/>
      <c r="N581" s="4"/>
      <c r="O581" s="4"/>
      <c r="P581" s="4"/>
      <c r="Q581" s="6"/>
      <c r="R581" s="7"/>
      <c r="S581" s="3"/>
    </row>
    <row r="582" spans="12:19">
      <c r="L582" s="4"/>
      <c r="M582" s="4"/>
      <c r="N582" s="4"/>
      <c r="O582" s="4"/>
      <c r="P582" s="4"/>
      <c r="Q582" s="6"/>
      <c r="R582" s="7"/>
      <c r="S582" s="3"/>
    </row>
    <row r="583" spans="12:19">
      <c r="L583" s="4"/>
      <c r="M583" s="4"/>
      <c r="N583" s="4"/>
      <c r="O583" s="4"/>
      <c r="P583" s="4"/>
      <c r="Q583" s="6"/>
      <c r="R583" s="7"/>
      <c r="S583" s="3"/>
    </row>
    <row r="584" spans="12:19">
      <c r="L584" s="4"/>
      <c r="M584" s="4"/>
      <c r="N584" s="4"/>
      <c r="O584" s="4"/>
      <c r="P584" s="4"/>
      <c r="Q584" s="6"/>
      <c r="R584" s="7"/>
      <c r="S584" s="3"/>
    </row>
    <row r="585" spans="12:19">
      <c r="L585" s="4"/>
      <c r="M585" s="4"/>
      <c r="N585" s="4"/>
      <c r="O585" s="4"/>
      <c r="P585" s="4"/>
      <c r="Q585" s="6"/>
      <c r="R585" s="7"/>
      <c r="S585" s="3"/>
    </row>
    <row r="586" spans="12:19">
      <c r="L586" s="4"/>
      <c r="M586" s="4"/>
      <c r="N586" s="4"/>
      <c r="O586" s="4"/>
      <c r="P586" s="4"/>
      <c r="Q586" s="6"/>
      <c r="R586" s="7"/>
      <c r="S586" s="3"/>
    </row>
    <row r="587" spans="12:19">
      <c r="L587" s="4"/>
      <c r="M587" s="4"/>
      <c r="N587" s="4"/>
      <c r="O587" s="4"/>
      <c r="P587" s="4"/>
      <c r="Q587" s="6"/>
      <c r="R587" s="7"/>
      <c r="S587" s="3"/>
    </row>
    <row r="588" spans="12:19">
      <c r="L588" s="4"/>
      <c r="M588" s="4"/>
      <c r="N588" s="4"/>
      <c r="O588" s="4"/>
      <c r="P588" s="4"/>
      <c r="Q588" s="6"/>
      <c r="R588" s="7"/>
      <c r="S588" s="3"/>
    </row>
    <row r="589" spans="12:19">
      <c r="L589" s="4"/>
      <c r="M589" s="4"/>
      <c r="N589" s="4"/>
      <c r="O589" s="4"/>
      <c r="P589" s="4"/>
      <c r="Q589" s="6"/>
      <c r="R589" s="7"/>
      <c r="S589" s="3"/>
    </row>
    <row r="590" spans="12:19">
      <c r="L590" s="4"/>
      <c r="M590" s="4"/>
      <c r="N590" s="4"/>
      <c r="O590" s="4"/>
      <c r="P590" s="4"/>
      <c r="Q590" s="6"/>
      <c r="R590" s="7"/>
      <c r="S590" s="3"/>
    </row>
    <row r="591" spans="12:19">
      <c r="L591" s="4"/>
      <c r="M591" s="4"/>
      <c r="N591" s="4"/>
      <c r="O591" s="4"/>
      <c r="P591" s="4"/>
      <c r="Q591" s="6"/>
      <c r="R591" s="7"/>
      <c r="S591" s="3"/>
    </row>
    <row r="592" spans="12:19">
      <c r="L592" s="4"/>
      <c r="M592" s="4"/>
      <c r="N592" s="4"/>
      <c r="O592" s="4"/>
      <c r="P592" s="4"/>
      <c r="Q592" s="6"/>
      <c r="R592" s="7"/>
      <c r="S592" s="3"/>
    </row>
    <row r="593" spans="12:19">
      <c r="L593" s="4"/>
      <c r="M593" s="4"/>
      <c r="N593" s="4"/>
      <c r="O593" s="4"/>
      <c r="P593" s="4"/>
      <c r="Q593" s="6"/>
      <c r="R593" s="7"/>
      <c r="S593" s="3"/>
    </row>
    <row r="594" spans="12:19">
      <c r="L594" s="4"/>
      <c r="M594" s="4"/>
      <c r="N594" s="4"/>
      <c r="O594" s="4"/>
      <c r="P594" s="4"/>
      <c r="Q594" s="6"/>
      <c r="R594" s="7"/>
      <c r="S594" s="3"/>
    </row>
    <row r="595" spans="12:19">
      <c r="L595" s="4"/>
      <c r="M595" s="4"/>
      <c r="N595" s="4"/>
      <c r="O595" s="4"/>
      <c r="P595" s="4"/>
      <c r="Q595" s="6"/>
      <c r="R595" s="7"/>
      <c r="S595" s="3"/>
    </row>
    <row r="596" spans="12:19">
      <c r="L596" s="4"/>
      <c r="M596" s="4"/>
      <c r="N596" s="4"/>
      <c r="O596" s="4"/>
      <c r="P596" s="4"/>
      <c r="Q596" s="6"/>
      <c r="R596" s="7"/>
      <c r="S596" s="3"/>
    </row>
    <row r="597" spans="12:19">
      <c r="L597" s="4"/>
      <c r="M597" s="4"/>
      <c r="N597" s="4"/>
      <c r="O597" s="4"/>
      <c r="P597" s="4"/>
      <c r="Q597" s="6"/>
      <c r="R597" s="7"/>
      <c r="S597" s="3"/>
    </row>
    <row r="598" spans="12:19">
      <c r="L598" s="4"/>
      <c r="M598" s="4"/>
      <c r="N598" s="4"/>
      <c r="O598" s="4"/>
      <c r="P598" s="4"/>
      <c r="Q598" s="6"/>
      <c r="R598" s="7"/>
      <c r="S598" s="3"/>
    </row>
    <row r="599" spans="12:19">
      <c r="L599" s="4"/>
      <c r="M599" s="4"/>
      <c r="N599" s="4"/>
      <c r="O599" s="4"/>
      <c r="P599" s="4"/>
      <c r="Q599" s="6"/>
      <c r="R599" s="7"/>
      <c r="S599" s="3"/>
    </row>
    <row r="600" spans="12:19">
      <c r="L600" s="4"/>
      <c r="M600" s="4"/>
      <c r="N600" s="4"/>
      <c r="O600" s="4"/>
      <c r="P600" s="4"/>
      <c r="Q600" s="6"/>
      <c r="R600" s="7"/>
      <c r="S600" s="3"/>
    </row>
    <row r="601" spans="12:19">
      <c r="L601" s="4"/>
      <c r="M601" s="4"/>
      <c r="N601" s="4"/>
      <c r="O601" s="4"/>
      <c r="P601" s="4"/>
      <c r="Q601" s="6"/>
      <c r="R601" s="7"/>
      <c r="S601" s="3"/>
    </row>
    <row r="602" spans="12:19">
      <c r="L602" s="4"/>
      <c r="M602" s="4"/>
      <c r="N602" s="4"/>
      <c r="O602" s="4"/>
      <c r="P602" s="4"/>
      <c r="Q602" s="6"/>
      <c r="R602" s="7"/>
      <c r="S602" s="3"/>
    </row>
    <row r="603" spans="12:19">
      <c r="L603" s="4"/>
      <c r="M603" s="4"/>
      <c r="N603" s="4"/>
      <c r="O603" s="4"/>
      <c r="P603" s="4"/>
      <c r="Q603" s="6"/>
      <c r="R603" s="7"/>
      <c r="S603" s="3"/>
    </row>
    <row r="604" spans="12:19">
      <c r="L604" s="4"/>
      <c r="M604" s="4"/>
      <c r="N604" s="4"/>
      <c r="O604" s="4"/>
      <c r="P604" s="4"/>
      <c r="Q604" s="6"/>
      <c r="R604" s="7"/>
      <c r="S604" s="3"/>
    </row>
    <row r="605" spans="12:19">
      <c r="L605" s="4"/>
      <c r="M605" s="4"/>
      <c r="N605" s="4"/>
      <c r="O605" s="4"/>
      <c r="P605" s="4"/>
      <c r="Q605" s="6"/>
      <c r="R605" s="7"/>
      <c r="S605" s="3"/>
    </row>
    <row r="606" spans="12:19">
      <c r="L606" s="4"/>
      <c r="M606" s="4"/>
      <c r="N606" s="4"/>
      <c r="O606" s="4"/>
      <c r="P606" s="4"/>
      <c r="Q606" s="6"/>
      <c r="R606" s="7"/>
      <c r="S606" s="3"/>
    </row>
    <row r="607" spans="12:19">
      <c r="L607" s="4"/>
      <c r="M607" s="4"/>
      <c r="N607" s="4"/>
      <c r="O607" s="4"/>
      <c r="P607" s="4"/>
      <c r="Q607" s="6"/>
      <c r="R607" s="7"/>
      <c r="S607" s="3"/>
    </row>
    <row r="608" spans="12:19">
      <c r="L608" s="4"/>
      <c r="M608" s="4"/>
      <c r="N608" s="4"/>
      <c r="O608" s="4"/>
      <c r="P608" s="4"/>
      <c r="Q608" s="6"/>
      <c r="R608" s="7"/>
      <c r="S608" s="3"/>
    </row>
    <row r="609" spans="12:19">
      <c r="L609" s="4"/>
      <c r="M609" s="4"/>
      <c r="N609" s="4"/>
      <c r="O609" s="4"/>
      <c r="P609" s="4"/>
      <c r="Q609" s="6"/>
      <c r="R609" s="7"/>
      <c r="S609" s="3"/>
    </row>
    <row r="610" spans="12:19">
      <c r="L610" s="4"/>
      <c r="M610" s="4"/>
      <c r="N610" s="4"/>
      <c r="O610" s="4"/>
      <c r="P610" s="4"/>
      <c r="Q610" s="6"/>
      <c r="R610" s="7"/>
      <c r="S610" s="3"/>
    </row>
    <row r="611" spans="12:19">
      <c r="L611" s="4"/>
      <c r="M611" s="4"/>
      <c r="N611" s="4"/>
      <c r="O611" s="4"/>
      <c r="P611" s="4"/>
      <c r="Q611" s="6"/>
      <c r="R611" s="7"/>
      <c r="S611" s="3"/>
    </row>
    <row r="612" spans="12:19">
      <c r="L612" s="4"/>
      <c r="M612" s="4"/>
      <c r="N612" s="4"/>
      <c r="O612" s="4"/>
      <c r="P612" s="4"/>
      <c r="Q612" s="6"/>
      <c r="R612" s="7"/>
      <c r="S612" s="3"/>
    </row>
    <row r="613" spans="12:19">
      <c r="L613" s="4"/>
      <c r="M613" s="4"/>
      <c r="N613" s="4"/>
      <c r="O613" s="4"/>
      <c r="P613" s="4"/>
      <c r="Q613" s="6"/>
      <c r="R613" s="7"/>
      <c r="S613" s="3"/>
    </row>
    <row r="614" spans="12:19">
      <c r="L614" s="4"/>
      <c r="M614" s="4"/>
      <c r="N614" s="4"/>
      <c r="O614" s="4"/>
      <c r="P614" s="4"/>
      <c r="Q614" s="6"/>
      <c r="R614" s="7"/>
      <c r="S614" s="3"/>
    </row>
    <row r="615" spans="12:19">
      <c r="L615" s="4"/>
      <c r="M615" s="4"/>
      <c r="N615" s="4"/>
      <c r="O615" s="4"/>
      <c r="P615" s="4"/>
      <c r="Q615" s="6"/>
      <c r="R615" s="7"/>
      <c r="S615" s="3"/>
    </row>
    <row r="616" spans="12:19">
      <c r="L616" s="4"/>
      <c r="M616" s="4"/>
      <c r="N616" s="4"/>
      <c r="O616" s="4"/>
      <c r="P616" s="4"/>
      <c r="Q616" s="6"/>
      <c r="R616" s="7"/>
      <c r="S616" s="3"/>
    </row>
    <row r="617" spans="12:19">
      <c r="L617" s="4"/>
      <c r="M617" s="4"/>
      <c r="N617" s="4"/>
      <c r="O617" s="4"/>
      <c r="P617" s="4"/>
      <c r="Q617" s="6"/>
      <c r="R617" s="7"/>
      <c r="S617" s="3"/>
    </row>
    <row r="618" spans="12:19">
      <c r="L618" s="4"/>
      <c r="M618" s="4"/>
      <c r="N618" s="4"/>
      <c r="O618" s="4"/>
      <c r="P618" s="4"/>
      <c r="Q618" s="6"/>
      <c r="R618" s="7"/>
      <c r="S618" s="3"/>
    </row>
    <row r="619" spans="12:19">
      <c r="L619" s="4"/>
      <c r="M619" s="4"/>
      <c r="N619" s="4"/>
      <c r="O619" s="4"/>
      <c r="P619" s="4"/>
      <c r="Q619" s="6"/>
      <c r="R619" s="7"/>
      <c r="S619" s="3"/>
    </row>
    <row r="620" spans="12:19">
      <c r="L620" s="4"/>
      <c r="M620" s="4"/>
      <c r="N620" s="4"/>
      <c r="O620" s="4"/>
      <c r="P620" s="4"/>
      <c r="Q620" s="6"/>
      <c r="R620" s="7"/>
      <c r="S620" s="3"/>
    </row>
    <row r="621" spans="12:19">
      <c r="L621" s="4"/>
      <c r="M621" s="4"/>
      <c r="N621" s="4"/>
      <c r="O621" s="4"/>
      <c r="P621" s="4"/>
      <c r="Q621" s="6"/>
      <c r="R621" s="7"/>
      <c r="S621" s="3"/>
    </row>
    <row r="622" spans="12:19">
      <c r="L622" s="4"/>
      <c r="M622" s="4"/>
      <c r="N622" s="4"/>
      <c r="O622" s="4"/>
      <c r="P622" s="4"/>
      <c r="Q622" s="6"/>
      <c r="R622" s="7"/>
      <c r="S622" s="3"/>
    </row>
    <row r="623" spans="12:19">
      <c r="L623" s="4"/>
      <c r="M623" s="4"/>
      <c r="N623" s="4"/>
      <c r="O623" s="4"/>
      <c r="P623" s="4"/>
      <c r="Q623" s="6"/>
      <c r="R623" s="7"/>
      <c r="S623" s="3"/>
    </row>
    <row r="624" spans="12:19">
      <c r="L624" s="4"/>
      <c r="M624" s="4"/>
      <c r="N624" s="4"/>
      <c r="O624" s="4"/>
      <c r="P624" s="4"/>
      <c r="Q624" s="6"/>
      <c r="R624" s="7"/>
      <c r="S624" s="3"/>
    </row>
    <row r="625" spans="12:19">
      <c r="L625" s="4"/>
      <c r="M625" s="4"/>
      <c r="N625" s="4"/>
      <c r="O625" s="4"/>
      <c r="P625" s="4"/>
      <c r="Q625" s="6"/>
      <c r="R625" s="7"/>
      <c r="S625" s="3"/>
    </row>
    <row r="626" spans="12:19">
      <c r="L626" s="4"/>
      <c r="M626" s="4"/>
      <c r="N626" s="4"/>
      <c r="O626" s="4"/>
      <c r="P626" s="4"/>
      <c r="Q626" s="6"/>
      <c r="R626" s="7"/>
      <c r="S626" s="3"/>
    </row>
    <row r="627" spans="12:19">
      <c r="L627" s="4"/>
      <c r="M627" s="4"/>
      <c r="N627" s="4"/>
      <c r="O627" s="4"/>
      <c r="P627" s="4"/>
      <c r="Q627" s="6"/>
      <c r="R627" s="7"/>
      <c r="S627" s="3"/>
    </row>
    <row r="628" spans="12:19">
      <c r="L628" s="4"/>
      <c r="M628" s="4"/>
      <c r="N628" s="4"/>
      <c r="O628" s="4"/>
      <c r="P628" s="4"/>
      <c r="Q628" s="6"/>
      <c r="R628" s="7"/>
      <c r="S628" s="3"/>
    </row>
    <row r="629" spans="12:19">
      <c r="L629" s="4"/>
      <c r="M629" s="4"/>
      <c r="N629" s="4"/>
      <c r="O629" s="4"/>
      <c r="P629" s="4"/>
      <c r="Q629" s="6"/>
      <c r="R629" s="7"/>
      <c r="S629" s="3"/>
    </row>
    <row r="630" spans="12:19">
      <c r="L630" s="4"/>
      <c r="M630" s="4"/>
      <c r="N630" s="4"/>
      <c r="O630" s="4"/>
      <c r="P630" s="4"/>
      <c r="Q630" s="6"/>
      <c r="R630" s="7"/>
      <c r="S630" s="3"/>
    </row>
    <row r="631" spans="12:19">
      <c r="L631" s="4"/>
      <c r="M631" s="4"/>
      <c r="N631" s="4"/>
      <c r="O631" s="4"/>
      <c r="P631" s="4"/>
      <c r="Q631" s="6"/>
      <c r="R631" s="7"/>
      <c r="S631" s="3"/>
    </row>
    <row r="632" spans="12:19">
      <c r="L632" s="4"/>
      <c r="M632" s="4"/>
      <c r="N632" s="4"/>
      <c r="O632" s="4"/>
      <c r="P632" s="4"/>
      <c r="Q632" s="6"/>
      <c r="R632" s="7"/>
      <c r="S632" s="3"/>
    </row>
    <row r="633" spans="12:19">
      <c r="L633" s="4"/>
      <c r="M633" s="4"/>
      <c r="N633" s="4"/>
      <c r="O633" s="4"/>
      <c r="P633" s="4"/>
      <c r="Q633" s="6"/>
      <c r="R633" s="7"/>
      <c r="S633" s="3"/>
    </row>
    <row r="634" spans="12:19">
      <c r="L634" s="4"/>
      <c r="M634" s="4"/>
      <c r="N634" s="4"/>
      <c r="O634" s="4"/>
      <c r="P634" s="4"/>
      <c r="Q634" s="6"/>
      <c r="R634" s="7"/>
      <c r="S634" s="3"/>
    </row>
    <row r="635" spans="12:19">
      <c r="L635" s="4"/>
      <c r="M635" s="4"/>
      <c r="N635" s="4"/>
      <c r="O635" s="4"/>
      <c r="P635" s="4"/>
      <c r="Q635" s="6"/>
      <c r="R635" s="7"/>
      <c r="S635" s="3"/>
    </row>
    <row r="636" spans="12:19">
      <c r="L636" s="4"/>
      <c r="M636" s="4"/>
      <c r="N636" s="4"/>
      <c r="O636" s="4"/>
      <c r="P636" s="4"/>
      <c r="Q636" s="6"/>
      <c r="R636" s="7"/>
      <c r="S636" s="3"/>
    </row>
    <row r="637" spans="12:19">
      <c r="L637" s="4"/>
      <c r="M637" s="4"/>
      <c r="N637" s="4"/>
      <c r="O637" s="4"/>
      <c r="P637" s="4"/>
      <c r="Q637" s="6"/>
      <c r="R637" s="7"/>
      <c r="S637" s="3"/>
    </row>
    <row r="638" spans="12:19">
      <c r="L638" s="4"/>
      <c r="M638" s="4"/>
      <c r="N638" s="4"/>
      <c r="O638" s="4"/>
      <c r="P638" s="4"/>
      <c r="Q638" s="6"/>
      <c r="R638" s="7"/>
      <c r="S638" s="3"/>
    </row>
    <row r="639" spans="12:19">
      <c r="L639" s="4"/>
      <c r="M639" s="4"/>
      <c r="N639" s="4"/>
      <c r="O639" s="4"/>
      <c r="P639" s="4"/>
      <c r="Q639" s="6"/>
      <c r="R639" s="7"/>
      <c r="S639" s="3"/>
    </row>
    <row r="640" spans="12:19">
      <c r="L640" s="4"/>
      <c r="M640" s="4"/>
      <c r="N640" s="4"/>
      <c r="O640" s="4"/>
      <c r="P640" s="4"/>
      <c r="Q640" s="6"/>
      <c r="R640" s="7"/>
      <c r="S640" s="3"/>
    </row>
    <row r="641" spans="12:19">
      <c r="L641" s="4"/>
      <c r="M641" s="4"/>
      <c r="N641" s="4"/>
      <c r="O641" s="4"/>
      <c r="P641" s="4"/>
      <c r="Q641" s="6"/>
      <c r="R641" s="7"/>
      <c r="S641" s="3"/>
    </row>
    <row r="642" spans="12:19">
      <c r="L642" s="4"/>
      <c r="M642" s="4"/>
      <c r="N642" s="4"/>
      <c r="O642" s="4"/>
      <c r="P642" s="4"/>
      <c r="Q642" s="6"/>
      <c r="R642" s="7"/>
      <c r="S642" s="3"/>
    </row>
    <row r="643" spans="12:19">
      <c r="L643" s="4"/>
      <c r="M643" s="4"/>
      <c r="N643" s="4"/>
      <c r="O643" s="4"/>
      <c r="P643" s="4"/>
      <c r="Q643" s="6"/>
      <c r="R643" s="7"/>
      <c r="S643" s="3"/>
    </row>
    <row r="644" spans="12:19">
      <c r="L644" s="4"/>
      <c r="M644" s="4"/>
      <c r="N644" s="4"/>
      <c r="O644" s="4"/>
      <c r="P644" s="4"/>
      <c r="Q644" s="6"/>
      <c r="R644" s="7"/>
      <c r="S644" s="3"/>
    </row>
    <row r="645" spans="12:19">
      <c r="L645" s="4"/>
      <c r="M645" s="4"/>
      <c r="N645" s="4"/>
      <c r="O645" s="4"/>
      <c r="P645" s="4"/>
      <c r="Q645" s="6"/>
      <c r="R645" s="7"/>
      <c r="S645" s="3"/>
    </row>
    <row r="646" spans="12:19">
      <c r="L646" s="4"/>
      <c r="M646" s="4"/>
      <c r="N646" s="4"/>
      <c r="O646" s="4"/>
      <c r="P646" s="4"/>
      <c r="Q646" s="6"/>
      <c r="R646" s="7"/>
      <c r="S646" s="3"/>
    </row>
    <row r="647" spans="12:19">
      <c r="L647" s="4"/>
      <c r="M647" s="4"/>
      <c r="N647" s="4"/>
      <c r="O647" s="4"/>
      <c r="P647" s="4"/>
      <c r="Q647" s="6"/>
      <c r="R647" s="7"/>
      <c r="S647" s="3"/>
    </row>
    <row r="648" spans="12:19">
      <c r="L648" s="4"/>
      <c r="M648" s="4"/>
      <c r="N648" s="4"/>
      <c r="O648" s="4"/>
      <c r="P648" s="4"/>
      <c r="Q648" s="6"/>
      <c r="R648" s="7"/>
      <c r="S648" s="3"/>
    </row>
    <row r="649" spans="12:19">
      <c r="L649" s="4"/>
      <c r="M649" s="4"/>
      <c r="N649" s="4"/>
      <c r="O649" s="4"/>
      <c r="P649" s="4"/>
      <c r="Q649" s="6"/>
      <c r="R649" s="7"/>
      <c r="S649" s="3"/>
    </row>
    <row r="650" spans="12:19">
      <c r="L650" s="4"/>
      <c r="M650" s="4"/>
      <c r="N650" s="4"/>
      <c r="O650" s="4"/>
      <c r="P650" s="4"/>
      <c r="Q650" s="6"/>
      <c r="R650" s="7"/>
      <c r="S650" s="3"/>
    </row>
    <row r="651" spans="12:19">
      <c r="L651" s="4"/>
      <c r="M651" s="4"/>
      <c r="N651" s="4"/>
      <c r="O651" s="4"/>
      <c r="P651" s="4"/>
      <c r="Q651" s="6"/>
      <c r="R651" s="7"/>
      <c r="S651" s="3"/>
    </row>
    <row r="652" spans="12:19">
      <c r="L652" s="4"/>
      <c r="M652" s="4"/>
      <c r="N652" s="4"/>
      <c r="O652" s="4"/>
      <c r="P652" s="4"/>
      <c r="Q652" s="6"/>
      <c r="R652" s="7"/>
      <c r="S652" s="3"/>
    </row>
    <row r="653" spans="12:19">
      <c r="L653" s="4"/>
      <c r="M653" s="4"/>
      <c r="N653" s="4"/>
      <c r="O653" s="4"/>
      <c r="P653" s="4"/>
      <c r="Q653" s="6"/>
      <c r="R653" s="7"/>
      <c r="S653" s="3"/>
    </row>
    <row r="654" spans="12:19">
      <c r="L654" s="4"/>
      <c r="M654" s="4"/>
      <c r="N654" s="4"/>
      <c r="O654" s="4"/>
      <c r="P654" s="4"/>
      <c r="Q654" s="6"/>
      <c r="R654" s="7"/>
      <c r="S654" s="3"/>
    </row>
    <row r="655" spans="12:19">
      <c r="L655" s="4"/>
      <c r="M655" s="4"/>
      <c r="N655" s="4"/>
      <c r="O655" s="4"/>
      <c r="P655" s="4"/>
      <c r="Q655" s="6"/>
      <c r="R655" s="7"/>
      <c r="S655" s="3"/>
    </row>
    <row r="656" spans="12:19">
      <c r="L656" s="4"/>
      <c r="M656" s="4"/>
      <c r="N656" s="4"/>
      <c r="O656" s="4"/>
      <c r="P656" s="4"/>
      <c r="Q656" s="6"/>
      <c r="R656" s="7"/>
      <c r="S656" s="3"/>
    </row>
    <row r="657" spans="12:19">
      <c r="L657" s="4"/>
      <c r="M657" s="4"/>
      <c r="N657" s="4"/>
      <c r="O657" s="4"/>
      <c r="P657" s="4"/>
      <c r="Q657" s="6"/>
      <c r="R657" s="7"/>
      <c r="S657" s="3"/>
    </row>
    <row r="658" spans="12:19">
      <c r="L658" s="4"/>
      <c r="M658" s="4"/>
      <c r="N658" s="4"/>
      <c r="O658" s="4"/>
      <c r="P658" s="4"/>
      <c r="Q658" s="6"/>
      <c r="R658" s="7"/>
      <c r="S658" s="3"/>
    </row>
    <row r="659" spans="12:19">
      <c r="L659" s="4"/>
      <c r="M659" s="4"/>
      <c r="N659" s="4"/>
      <c r="O659" s="4"/>
      <c r="P659" s="4"/>
      <c r="Q659" s="6"/>
      <c r="R659" s="7"/>
      <c r="S659" s="3"/>
    </row>
    <row r="660" spans="12:19">
      <c r="L660" s="4"/>
      <c r="M660" s="4"/>
      <c r="N660" s="4"/>
      <c r="O660" s="4"/>
      <c r="P660" s="4"/>
      <c r="Q660" s="6"/>
      <c r="R660" s="7"/>
      <c r="S660" s="3"/>
    </row>
    <row r="661" spans="12:19">
      <c r="L661" s="4"/>
      <c r="M661" s="4"/>
      <c r="N661" s="4"/>
      <c r="O661" s="4"/>
      <c r="P661" s="4"/>
      <c r="Q661" s="6"/>
      <c r="R661" s="7"/>
      <c r="S661" s="3"/>
    </row>
    <row r="662" spans="12:19">
      <c r="L662" s="4"/>
      <c r="M662" s="4"/>
      <c r="N662" s="4"/>
      <c r="O662" s="4"/>
      <c r="P662" s="4"/>
      <c r="Q662" s="6"/>
      <c r="R662" s="7"/>
      <c r="S662" s="3"/>
    </row>
    <row r="663" spans="12:19">
      <c r="L663" s="4"/>
      <c r="M663" s="4"/>
      <c r="N663" s="4"/>
      <c r="O663" s="4"/>
      <c r="P663" s="4"/>
      <c r="Q663" s="6"/>
      <c r="R663" s="7"/>
      <c r="S663" s="3"/>
    </row>
    <row r="664" spans="12:19">
      <c r="L664" s="4"/>
      <c r="M664" s="4"/>
      <c r="N664" s="4"/>
      <c r="O664" s="4"/>
      <c r="P664" s="4"/>
      <c r="Q664" s="6"/>
      <c r="R664" s="7"/>
      <c r="S664" s="3"/>
    </row>
    <row r="665" spans="12:19">
      <c r="L665" s="4"/>
      <c r="M665" s="4"/>
      <c r="N665" s="4"/>
      <c r="O665" s="4"/>
      <c r="P665" s="4"/>
      <c r="Q665" s="6"/>
      <c r="R665" s="7"/>
      <c r="S665" s="3"/>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1C6B-1C20-4432-8042-4D09075F940E}">
  <dimension ref="A1:M11"/>
  <sheetViews>
    <sheetView zoomScale="142" zoomScaleNormal="142" workbookViewId="0">
      <selection activeCell="G4" sqref="G4"/>
    </sheetView>
  </sheetViews>
  <sheetFormatPr defaultRowHeight="15"/>
  <cols>
    <col min="2" max="2" width="12.42578125" customWidth="1"/>
    <col min="3" max="5" width="11.140625" customWidth="1"/>
    <col min="6" max="6" width="17.140625" customWidth="1"/>
    <col min="7" max="7" width="17.28515625" customWidth="1"/>
    <col min="8" max="8" width="10.5703125" customWidth="1"/>
    <col min="10" max="10" width="15.140625" bestFit="1" customWidth="1"/>
    <col min="11" max="11" width="13.140625" bestFit="1" customWidth="1"/>
    <col min="12" max="12" width="9.85546875" bestFit="1" customWidth="1"/>
  </cols>
  <sheetData>
    <row r="1" spans="1:13">
      <c r="A1">
        <v>0</v>
      </c>
      <c r="B1">
        <v>1</v>
      </c>
      <c r="C1">
        <v>2</v>
      </c>
      <c r="D1">
        <v>3</v>
      </c>
      <c r="E1">
        <v>4</v>
      </c>
      <c r="F1">
        <v>5</v>
      </c>
      <c r="G1">
        <v>6</v>
      </c>
    </row>
    <row r="2" spans="1:13">
      <c r="B2" t="s">
        <v>282</v>
      </c>
      <c r="C2" t="s">
        <v>283</v>
      </c>
      <c r="D2" t="s">
        <v>284</v>
      </c>
      <c r="E2" t="s">
        <v>2</v>
      </c>
      <c r="F2" t="s">
        <v>285</v>
      </c>
      <c r="G2" t="s">
        <v>4</v>
      </c>
    </row>
    <row r="3" spans="1:13">
      <c r="B3" t="s">
        <v>286</v>
      </c>
      <c r="C3">
        <v>5</v>
      </c>
      <c r="D3">
        <v>2.8</v>
      </c>
      <c r="E3" s="3" t="s">
        <v>16</v>
      </c>
      <c r="F3" t="s">
        <v>16</v>
      </c>
      <c r="G3" s="3" t="s">
        <v>17</v>
      </c>
    </row>
    <row r="4" spans="1:13">
      <c r="B4" t="s">
        <v>287</v>
      </c>
      <c r="C4">
        <v>10</v>
      </c>
      <c r="D4">
        <v>4</v>
      </c>
      <c r="E4" t="s">
        <v>19</v>
      </c>
      <c r="F4" s="3">
        <v>0.25</v>
      </c>
      <c r="G4" s="3">
        <v>0.75</v>
      </c>
    </row>
    <row r="5" spans="1:13">
      <c r="B5" t="s">
        <v>288</v>
      </c>
      <c r="C5">
        <v>15</v>
      </c>
      <c r="D5">
        <v>5.5</v>
      </c>
    </row>
    <row r="11" spans="1:13">
      <c r="M11" t="s">
        <v>289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Bilal Maarouf</dc:creator>
  <cp:keywords/>
  <dc:description/>
  <cp:lastModifiedBy/>
  <cp:revision/>
  <dcterms:created xsi:type="dcterms:W3CDTF">2015-06-05T18:17:20Z</dcterms:created>
  <dcterms:modified xsi:type="dcterms:W3CDTF">2025-05-03T15:37:30Z</dcterms:modified>
  <cp:category/>
  <cp:contentStatus/>
</cp:coreProperties>
</file>